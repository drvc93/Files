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Aplicaciones LYS\NuevoComercial\Plantilla\"/>
    </mc:Choice>
  </mc:AlternateContent>
  <bookViews>
    <workbookView xWindow="0" yWindow="0" windowWidth="20400" windowHeight="7755" tabRatio="839"/>
  </bookViews>
  <sheets>
    <sheet name="visor" sheetId="60406" r:id="rId1"/>
    <sheet name="visor rk" sheetId="60420" r:id="rId2"/>
    <sheet name="Venta" sheetId="60433" state="veryHidden" r:id="rId3"/>
    <sheet name="Maestro" sheetId="60434" state="veryHidden" r:id="rId4"/>
    <sheet name="Prob.Pago" sheetId="60435" state="veryHidden" r:id="rId5"/>
    <sheet name="Cuota" sheetId="60436" state="veryHidden" r:id="rId6"/>
    <sheet name="Rankin" sheetId="60437" state="veryHidden" r:id="rId7"/>
    <sheet name="Filtro" sheetId="60416" state="veryHidden" r:id="rId8"/>
  </sheets>
  <definedNames>
    <definedName name="_xlnm._FilterDatabase" localSheetId="2" hidden="1">Venta!$A$1:$DD$2</definedName>
    <definedName name="_xlnm._FilterDatabase" localSheetId="0" hidden="1">visor!#REF!</definedName>
    <definedName name="_xlnm._FilterDatabase" localSheetId="1" hidden="1">'visor rk'!#REF!</definedName>
    <definedName name="FcCheckIgv" localSheetId="0">visor!$V$10</definedName>
    <definedName name="FcCheckIgv" localSheetId="1">'visor rk'!$V$10</definedName>
    <definedName name="FcCheckMoneda" localSheetId="0">visor!$V$9</definedName>
    <definedName name="FcCheckMoneda" localSheetId="1">'visor rk'!$V$9</definedName>
    <definedName name="FcCheckProy" localSheetId="0">visor!$V$15</definedName>
    <definedName name="FcCheckProy" localSheetId="1">'visor rk'!$V$15</definedName>
    <definedName name="FcClave" localSheetId="5">Cuota!$E$2:$E$2</definedName>
    <definedName name="FcClave" localSheetId="3">Maestro!$B$2:$B$2</definedName>
    <definedName name="FcClave" localSheetId="4">Prob.Pago!$B$2:$B$2</definedName>
    <definedName name="FcClave" localSheetId="6">Rankin!$B$2:$B$2</definedName>
    <definedName name="FcClave" localSheetId="2">Venta!$G$2:$G$2</definedName>
    <definedName name="FcCliente" localSheetId="0">visor!$C$4</definedName>
    <definedName name="FcCliente" localSheetId="1">'visor rk'!$C$4</definedName>
    <definedName name="FcDetalle" localSheetId="5">Cuota!$A$2:$AO$2</definedName>
    <definedName name="FcDetalle" localSheetId="3">Maestro!$A$2:$AH$2</definedName>
    <definedName name="FcDetalle" localSheetId="4">Prob.Pago!$A$2:$BC$2</definedName>
    <definedName name="FcDetalle" localSheetId="6">Rankin!$A$2:$S$2</definedName>
    <definedName name="FcDetalle" localSheetId="2">Venta!$A$2:$DD$2</definedName>
    <definedName name="FcFecha" localSheetId="0">visor!$A$4</definedName>
    <definedName name="FcFecha" localSheetId="1">'visor rk'!$A$4</definedName>
    <definedName name="FcFiltroMarca" localSheetId="7">Filtro!$A$2:$C$100</definedName>
    <definedName name="FcFiltroMarcaCheck" localSheetId="7">Filtro!$C$1</definedName>
    <definedName name="FcFiltroMarcaClave" localSheetId="7">Filtro!$B$2:$B$100</definedName>
    <definedName name="FcFiltroSegmento" localSheetId="7">Filtro!$I$2:$K$100</definedName>
    <definedName name="FcFiltroSegmentoCheck" localSheetId="7">Filtro!$K$1</definedName>
    <definedName name="FcFiltroSegmentoClave" localSheetId="7">Filtro!$J$2:$J$100</definedName>
    <definedName name="FcFiltroUnidNeg" localSheetId="7">Filtro!$E$2:$G$100</definedName>
    <definedName name="FcFiltroUnidNegCheck" localSheetId="7">Filtro!$G$1</definedName>
    <definedName name="FcFiltroUnidNegClave" localSheetId="7">Filtro!$F$2:$F$100</definedName>
    <definedName name="FcFiltroVendedor" localSheetId="7">Filtro!$Q$2:$S$100</definedName>
    <definedName name="FcFiltroVendedorCheck" localSheetId="7">Filtro!$S$1</definedName>
    <definedName name="FcFiltroVendedorClave" localSheetId="7">Filtro!$R$2:$R$100</definedName>
    <definedName name="FcFiltroZona" localSheetId="7">Filtro!$M$2:$O$100</definedName>
    <definedName name="FcFiltroZonaCheck" localSheetId="7">Filtro!$O$1</definedName>
    <definedName name="FcFiltroZonaClave" localSheetId="7">Filtro!$N$2:$N$100</definedName>
    <definedName name="FcGrafCapsa" localSheetId="0">visor!$V$86</definedName>
    <definedName name="FcGrafCapsa" localSheetId="1">'visor rk'!$V$86</definedName>
    <definedName name="FcGrafGT" localSheetId="0">visor!$V$85</definedName>
    <definedName name="FcGrafGT" localSheetId="1">'visor rk'!$V$85</definedName>
    <definedName name="FcGrafHP" localSheetId="0">visor!$V$84</definedName>
    <definedName name="FcGrafHP" localSheetId="1">'visor rk'!$V$84</definedName>
    <definedName name="FcGrafLys" localSheetId="0">visor!$V$83</definedName>
    <definedName name="FcGrafLys" localSheetId="1">'visor rk'!$V$83</definedName>
    <definedName name="FcGrafTotal" localSheetId="0">visor!$V$87</definedName>
    <definedName name="FcGrafTotal" localSheetId="1">'visor rk'!$V$87</definedName>
    <definedName name="FcGrupoRK" localSheetId="2">Venta!$D$2:$D$2</definedName>
    <definedName name="FcGrupoRK" localSheetId="0">visor!$V$18</definedName>
    <definedName name="FcGrupoRK" localSheetId="1">'visor rk'!$V$18</definedName>
    <definedName name="FcInicioCantAnual" localSheetId="0">visor!$V$14</definedName>
    <definedName name="FcInicioCantAnual" localSheetId="1">'visor rk'!$V$14</definedName>
    <definedName name="FcInicioCantMes" localSheetId="0">visor!$V$13</definedName>
    <definedName name="FcInicioCantMes" localSheetId="1">'visor rk'!$V$13</definedName>
    <definedName name="FcInicioCuotaAnual" localSheetId="0">visor!$V$17</definedName>
    <definedName name="FcInicioCuotaAnual" localSheetId="1">'visor rk'!$V$17</definedName>
    <definedName name="FcInicioCuotaMes" localSheetId="0">visor!$V$16</definedName>
    <definedName name="FcInicioCuotaMes" localSheetId="1">'visor rk'!$V$16</definedName>
    <definedName name="FcInicioVtaAnual" localSheetId="0">visor!$V$12</definedName>
    <definedName name="FcInicioVtaAnual" localSheetId="1">'visor rk'!$V$12</definedName>
    <definedName name="FcInicioVtaMes" localSheetId="0">visor!$V$11</definedName>
    <definedName name="FcInicioVtaMes" localSheetId="1">'visor rk'!$V$11</definedName>
    <definedName name="FcMontoFiltro" localSheetId="6">Rankin!$P$2:$P$2</definedName>
    <definedName name="FcMontoTotal" localSheetId="6">Rankin!$N$2:$N$2</definedName>
    <definedName name="FcPromMovil" localSheetId="0">visor!$V$88</definedName>
    <definedName name="FcPromMovil" localSheetId="1">'visor rk'!$V$88</definedName>
    <definedName name="FcRankinFiltro" localSheetId="6">Rankin!$R$2:$R$2</definedName>
    <definedName name="FcRanking" localSheetId="6">Rankin!$J$2:$S$2</definedName>
    <definedName name="FcRankinTotal" localSheetId="6">Rankin!$Q$2:$Q$2</definedName>
    <definedName name="FcTipo" localSheetId="1">'visor rk'!$V$18</definedName>
    <definedName name="FcTipoGrafico" localSheetId="0">visor!$V$82</definedName>
    <definedName name="FcTipoGrafico" localSheetId="1">'visor rk'!$V$82</definedName>
    <definedName name="FcTipoProy" localSheetId="1">'visor rk'!$V$20</definedName>
  </definedNames>
  <calcPr calcId="152511"/>
</workbook>
</file>

<file path=xl/calcChain.xml><?xml version="1.0" encoding="utf-8"?>
<calcChain xmlns="http://schemas.openxmlformats.org/spreadsheetml/2006/main">
  <c r="L4" i="60420" l="1"/>
  <c r="L4" i="60406"/>
  <c r="R2" i="60437" l="1"/>
  <c r="Q2" i="60437"/>
  <c r="P2" i="60437"/>
  <c r="A10" i="60406" l="1"/>
  <c r="V18" i="60406" s="1"/>
  <c r="N2" i="60437" l="1"/>
  <c r="M2" i="60437"/>
  <c r="L2" i="60437"/>
  <c r="K2" i="60437"/>
  <c r="J2" i="60437"/>
  <c r="C4" i="60420" l="1"/>
  <c r="A10" i="60420" s="1"/>
  <c r="V18" i="60420" s="1"/>
  <c r="V12" i="60420"/>
  <c r="V11" i="60420"/>
  <c r="V12" i="60406"/>
  <c r="V11" i="60406"/>
  <c r="O10" i="60420" l="1"/>
  <c r="L10" i="60420"/>
  <c r="I9" i="60420"/>
  <c r="J9" i="60420"/>
  <c r="K9" i="60420"/>
  <c r="K10" i="60420"/>
  <c r="J10" i="60420"/>
  <c r="I10" i="60420"/>
  <c r="H10" i="60420"/>
  <c r="G10" i="60420"/>
  <c r="F10" i="60420"/>
  <c r="E10" i="60420"/>
  <c r="C10" i="60420"/>
  <c r="M8" i="60420"/>
  <c r="J8" i="60420"/>
  <c r="H8" i="60420"/>
  <c r="F8" i="60420"/>
  <c r="A8" i="60420"/>
  <c r="N6" i="60420"/>
  <c r="L6" i="60420"/>
  <c r="I6" i="60420"/>
  <c r="A6" i="60420"/>
  <c r="O4" i="60420"/>
  <c r="E4" i="60420"/>
  <c r="M8" i="60406"/>
  <c r="J8" i="60406"/>
  <c r="H8" i="60406"/>
  <c r="F8" i="60406"/>
  <c r="A8" i="60406"/>
  <c r="N6" i="60406"/>
  <c r="L6" i="60406"/>
  <c r="I6" i="60406"/>
  <c r="A6" i="60406"/>
  <c r="O10" i="60406"/>
  <c r="L10" i="60406"/>
  <c r="I9" i="60406"/>
  <c r="J9" i="60406"/>
  <c r="K9" i="60406"/>
  <c r="K10" i="60406"/>
  <c r="J10" i="60406"/>
  <c r="I10" i="60406"/>
  <c r="H10" i="60406"/>
  <c r="G10" i="60406"/>
  <c r="F10" i="60406"/>
  <c r="E10" i="60406"/>
  <c r="C10" i="60406"/>
  <c r="N4" i="60406" s="1"/>
  <c r="O4" i="60406"/>
  <c r="E4" i="60406"/>
  <c r="Q142" i="60420" l="1"/>
  <c r="H142" i="60420"/>
  <c r="S141" i="60420"/>
  <c r="J141" i="60420"/>
  <c r="R141" i="60420"/>
  <c r="E142" i="60420"/>
  <c r="G141" i="60420"/>
  <c r="L142" i="60420"/>
  <c r="N141" i="60420"/>
  <c r="F141" i="60420"/>
  <c r="N142" i="60420"/>
  <c r="F142" i="60420"/>
  <c r="Q141" i="60420"/>
  <c r="H141" i="60420"/>
  <c r="T142" i="60420"/>
  <c r="K142" i="60420"/>
  <c r="C142" i="60420"/>
  <c r="M141" i="60420"/>
  <c r="E141" i="60420"/>
  <c r="S142" i="60420"/>
  <c r="J142" i="60420"/>
  <c r="U141" i="60420"/>
  <c r="L141" i="60420"/>
  <c r="D141" i="60420"/>
  <c r="R142" i="60420"/>
  <c r="I142" i="60420"/>
  <c r="T141" i="60420"/>
  <c r="K141" i="60420"/>
  <c r="C141" i="60420"/>
  <c r="O142" i="60420"/>
  <c r="G142" i="60420"/>
  <c r="I141" i="60420"/>
  <c r="M142" i="60420"/>
  <c r="O141" i="60420"/>
  <c r="U142" i="60420"/>
  <c r="D142" i="60420"/>
  <c r="V17" i="60406"/>
  <c r="V16" i="60406"/>
  <c r="K2" i="60416" l="1"/>
  <c r="C2" i="60416"/>
  <c r="G2" i="60416"/>
  <c r="O2" i="60416"/>
  <c r="S2" i="60416"/>
  <c r="D270" i="60420" l="1"/>
  <c r="E270" i="60420"/>
  <c r="F270" i="60420"/>
  <c r="G270" i="60420"/>
  <c r="C270" i="60420"/>
  <c r="A270" i="60420"/>
  <c r="A269" i="60420"/>
  <c r="A268" i="60420"/>
  <c r="A267" i="60420"/>
  <c r="A266" i="60420"/>
  <c r="C263" i="60420"/>
  <c r="D263" i="60420"/>
  <c r="C258" i="60420"/>
  <c r="D258" i="60420"/>
  <c r="C257" i="60406"/>
  <c r="D257" i="60406"/>
  <c r="E263" i="60420"/>
  <c r="F263" i="60420"/>
  <c r="G263" i="60420"/>
  <c r="H263" i="60420"/>
  <c r="I263" i="60420"/>
  <c r="J263" i="60420"/>
  <c r="K263" i="60420"/>
  <c r="L263" i="60420"/>
  <c r="M263" i="60420"/>
  <c r="N263" i="60420"/>
  <c r="O263" i="60420"/>
  <c r="O262" i="60420"/>
  <c r="O261" i="60420"/>
  <c r="O260" i="60420"/>
  <c r="O259" i="60420"/>
  <c r="E258" i="60420"/>
  <c r="F258" i="60420"/>
  <c r="G258" i="60420"/>
  <c r="H258" i="60420"/>
  <c r="I258" i="60420"/>
  <c r="J258" i="60420"/>
  <c r="K258" i="60420"/>
  <c r="L258" i="60420"/>
  <c r="M258" i="60420"/>
  <c r="N258" i="60420"/>
  <c r="O258" i="60420"/>
  <c r="A263" i="60420"/>
  <c r="A262" i="60420"/>
  <c r="A261" i="60420"/>
  <c r="A260" i="60420"/>
  <c r="A259" i="60420"/>
  <c r="A258" i="60420"/>
  <c r="A257" i="60420"/>
  <c r="A256" i="60420"/>
  <c r="A255" i="60420"/>
  <c r="A254" i="60420"/>
  <c r="A253" i="60420"/>
  <c r="O90" i="60420"/>
  <c r="O90" i="60406"/>
  <c r="Q11" i="60420"/>
  <c r="A12" i="60420"/>
  <c r="O12" i="60420"/>
  <c r="A44" i="60420"/>
  <c r="B44" i="60420" s="1"/>
  <c r="A43" i="60420"/>
  <c r="B43" i="60420" s="1"/>
  <c r="A31" i="60420"/>
  <c r="A119" i="60420"/>
  <c r="B119" i="60420" s="1"/>
  <c r="A39" i="60420"/>
  <c r="B39" i="60420" s="1"/>
  <c r="A27" i="60420"/>
  <c r="A37" i="60420"/>
  <c r="B37" i="60420" s="1"/>
  <c r="A24" i="60420"/>
  <c r="G270" i="60406"/>
  <c r="F270" i="60406"/>
  <c r="E270" i="60406"/>
  <c r="D270" i="60406"/>
  <c r="C270" i="60406"/>
  <c r="A268" i="60406"/>
  <c r="A270" i="60406"/>
  <c r="A269" i="60406"/>
  <c r="A267" i="60406"/>
  <c r="A266" i="60406"/>
  <c r="C263" i="60406"/>
  <c r="D263" i="60406"/>
  <c r="E263" i="60406"/>
  <c r="A263" i="60406"/>
  <c r="A262" i="60406"/>
  <c r="A261" i="60406"/>
  <c r="A260" i="60406"/>
  <c r="A259" i="60406"/>
  <c r="N263" i="60406"/>
  <c r="M263" i="60406"/>
  <c r="L263" i="60406"/>
  <c r="K263" i="60406"/>
  <c r="J263" i="60406"/>
  <c r="I263" i="60406"/>
  <c r="H263" i="60406"/>
  <c r="G263" i="60406"/>
  <c r="F263" i="60406"/>
  <c r="C258" i="60406"/>
  <c r="D258" i="60406"/>
  <c r="E258" i="60406"/>
  <c r="A253" i="60406"/>
  <c r="A254" i="60406"/>
  <c r="O258" i="60406"/>
  <c r="N258" i="60406"/>
  <c r="M258" i="60406"/>
  <c r="L258" i="60406"/>
  <c r="K258" i="60406"/>
  <c r="J258" i="60406"/>
  <c r="I258" i="60406"/>
  <c r="H258" i="60406"/>
  <c r="G258" i="60406"/>
  <c r="F258" i="60406"/>
  <c r="A258" i="60406"/>
  <c r="A257" i="60406"/>
  <c r="A256" i="60406"/>
  <c r="A255" i="60406"/>
  <c r="B27" i="60420" l="1"/>
  <c r="I27" i="60420"/>
  <c r="H27" i="60420"/>
  <c r="O27" i="60420"/>
  <c r="G27" i="60420"/>
  <c r="C27" i="60420"/>
  <c r="N27" i="60420"/>
  <c r="F27" i="60420"/>
  <c r="D27" i="60420"/>
  <c r="M27" i="60420"/>
  <c r="E27" i="60420"/>
  <c r="L27" i="60420"/>
  <c r="J27" i="60420"/>
  <c r="K27" i="60420"/>
  <c r="B31" i="60420"/>
  <c r="M31" i="60420"/>
  <c r="E31" i="60420"/>
  <c r="L31" i="60420"/>
  <c r="D31" i="60420"/>
  <c r="K31" i="60420"/>
  <c r="C31" i="60420"/>
  <c r="O31" i="60420"/>
  <c r="J31" i="60420"/>
  <c r="I31" i="60420"/>
  <c r="H31" i="60420"/>
  <c r="N31" i="60420"/>
  <c r="F31" i="60420"/>
  <c r="G31" i="60420"/>
  <c r="B24" i="60420"/>
  <c r="L24" i="60420"/>
  <c r="K24" i="60420"/>
  <c r="J24" i="60420"/>
  <c r="I24" i="60420"/>
  <c r="G24" i="60420"/>
  <c r="H24" i="60420"/>
  <c r="O24" i="60420"/>
  <c r="N24" i="60420"/>
  <c r="M24" i="60420"/>
  <c r="F24" i="60420"/>
  <c r="U24" i="60420"/>
  <c r="S24" i="60420"/>
  <c r="Q24" i="60420"/>
  <c r="D24" i="60420"/>
  <c r="T24" i="60420"/>
  <c r="R24" i="60420"/>
  <c r="E24" i="60420"/>
  <c r="C24" i="60420"/>
  <c r="U27" i="60420"/>
  <c r="S27" i="60420"/>
  <c r="Q27" i="60420"/>
  <c r="T27" i="60420"/>
  <c r="R27" i="60420"/>
  <c r="T119" i="60420"/>
  <c r="R119" i="60420"/>
  <c r="O119" i="60420"/>
  <c r="M119" i="60420"/>
  <c r="K119" i="60420"/>
  <c r="I119" i="60420"/>
  <c r="G119" i="60420"/>
  <c r="E119" i="60420"/>
  <c r="C119" i="60420"/>
  <c r="S119" i="60420"/>
  <c r="N119" i="60420"/>
  <c r="J119" i="60420"/>
  <c r="F119" i="60420"/>
  <c r="U119" i="60420"/>
  <c r="Q119" i="60420"/>
  <c r="L119" i="60420"/>
  <c r="H119" i="60420"/>
  <c r="D119" i="60420"/>
  <c r="T43" i="60420"/>
  <c r="R43" i="60420"/>
  <c r="O43" i="60420"/>
  <c r="M43" i="60420"/>
  <c r="K43" i="60420"/>
  <c r="I43" i="60420"/>
  <c r="G43" i="60420"/>
  <c r="E43" i="60420"/>
  <c r="C43" i="60420"/>
  <c r="U43" i="60420"/>
  <c r="S43" i="60420"/>
  <c r="Q43" i="60420"/>
  <c r="N43" i="60420"/>
  <c r="L43" i="60420"/>
  <c r="J43" i="60420"/>
  <c r="H43" i="60420"/>
  <c r="F43" i="60420"/>
  <c r="D43" i="60420"/>
  <c r="T37" i="60420"/>
  <c r="R37" i="60420"/>
  <c r="O37" i="60420"/>
  <c r="M37" i="60420"/>
  <c r="K37" i="60420"/>
  <c r="I37" i="60420"/>
  <c r="G37" i="60420"/>
  <c r="E37" i="60420"/>
  <c r="C37" i="60420"/>
  <c r="U37" i="60420"/>
  <c r="S37" i="60420"/>
  <c r="Q37" i="60420"/>
  <c r="N37" i="60420"/>
  <c r="L37" i="60420"/>
  <c r="J37" i="60420"/>
  <c r="H37" i="60420"/>
  <c r="F37" i="60420"/>
  <c r="D37" i="60420"/>
  <c r="T39" i="60420"/>
  <c r="R39" i="60420"/>
  <c r="O39" i="60420"/>
  <c r="M39" i="60420"/>
  <c r="K39" i="60420"/>
  <c r="I39" i="60420"/>
  <c r="G39" i="60420"/>
  <c r="E39" i="60420"/>
  <c r="C39" i="60420"/>
  <c r="U39" i="60420"/>
  <c r="S39" i="60420"/>
  <c r="Q39" i="60420"/>
  <c r="N39" i="60420"/>
  <c r="L39" i="60420"/>
  <c r="J39" i="60420"/>
  <c r="H39" i="60420"/>
  <c r="F39" i="60420"/>
  <c r="D39" i="60420"/>
  <c r="U31" i="60420"/>
  <c r="S31" i="60420"/>
  <c r="Q31" i="60420"/>
  <c r="T31" i="60420"/>
  <c r="R31" i="60420"/>
  <c r="U44" i="60420"/>
  <c r="S44" i="60420"/>
  <c r="Q44" i="60420"/>
  <c r="N44" i="60420"/>
  <c r="L44" i="60420"/>
  <c r="J44" i="60420"/>
  <c r="H44" i="60420"/>
  <c r="F44" i="60420"/>
  <c r="D44" i="60420"/>
  <c r="T44" i="60420"/>
  <c r="R44" i="60420"/>
  <c r="O44" i="60420"/>
  <c r="M44" i="60420"/>
  <c r="K44" i="60420"/>
  <c r="I44" i="60420"/>
  <c r="G44" i="60420"/>
  <c r="E44" i="60420"/>
  <c r="C44" i="60420"/>
  <c r="A40" i="60420"/>
  <c r="B40" i="60420" s="1"/>
  <c r="A29" i="60420"/>
  <c r="A118" i="60420"/>
  <c r="B118" i="60420" s="1"/>
  <c r="A25" i="60420"/>
  <c r="A114" i="60420"/>
  <c r="B114" i="60420" s="1"/>
  <c r="A116" i="60420"/>
  <c r="B116" i="60420" s="1"/>
  <c r="A120" i="60420"/>
  <c r="B120" i="60420" s="1"/>
  <c r="A122" i="60420"/>
  <c r="B122" i="60420" s="1"/>
  <c r="A113" i="60420"/>
  <c r="B113" i="60420" s="1"/>
  <c r="A115" i="60420"/>
  <c r="B115" i="60420" s="1"/>
  <c r="A117" i="60420"/>
  <c r="B117" i="60420" s="1"/>
  <c r="A121" i="60420"/>
  <c r="B121" i="60420" s="1"/>
  <c r="A41" i="60420"/>
  <c r="B41" i="60420" s="1"/>
  <c r="A30" i="60420"/>
  <c r="A28" i="60420"/>
  <c r="A33" i="60420"/>
  <c r="A36" i="60420"/>
  <c r="B36" i="60420" s="1"/>
  <c r="A38" i="60420"/>
  <c r="B38" i="60420" s="1"/>
  <c r="A42" i="60420"/>
  <c r="B42" i="60420" s="1"/>
  <c r="A32" i="60420"/>
  <c r="A26" i="60420"/>
  <c r="A35" i="60420"/>
  <c r="B35" i="60420" s="1"/>
  <c r="A109" i="60406"/>
  <c r="B109" i="60406" s="1"/>
  <c r="A99" i="60406"/>
  <c r="B99" i="60406" s="1"/>
  <c r="A130" i="60406"/>
  <c r="B130" i="60406" s="1"/>
  <c r="A107" i="60406"/>
  <c r="B107" i="60406" s="1"/>
  <c r="A95" i="60406"/>
  <c r="B95" i="60406" s="1"/>
  <c r="A94" i="60406"/>
  <c r="B94" i="60406" s="1"/>
  <c r="A93" i="60406"/>
  <c r="B93" i="60406" s="1"/>
  <c r="A92" i="60406"/>
  <c r="B92" i="60406" s="1"/>
  <c r="B25" i="60420" l="1"/>
  <c r="O25" i="60420"/>
  <c r="G25" i="60420"/>
  <c r="N25" i="60420"/>
  <c r="F25" i="60420"/>
  <c r="I25" i="60420"/>
  <c r="M25" i="60420"/>
  <c r="E25" i="60420"/>
  <c r="L25" i="60420"/>
  <c r="D25" i="60420"/>
  <c r="K25" i="60420"/>
  <c r="C25" i="60420"/>
  <c r="J25" i="60420"/>
  <c r="H25" i="60420"/>
  <c r="B26" i="60420"/>
  <c r="H26" i="60420"/>
  <c r="O26" i="60420"/>
  <c r="G26" i="60420"/>
  <c r="N26" i="60420"/>
  <c r="F26" i="60420"/>
  <c r="E26" i="60420"/>
  <c r="C26" i="60420"/>
  <c r="M26" i="60420"/>
  <c r="L26" i="60420"/>
  <c r="D26" i="60420"/>
  <c r="K26" i="60420"/>
  <c r="J26" i="60420"/>
  <c r="I26" i="60420"/>
  <c r="B29" i="60420"/>
  <c r="K29" i="60420"/>
  <c r="C29" i="60420"/>
  <c r="J29" i="60420"/>
  <c r="E29" i="60420"/>
  <c r="I29" i="60420"/>
  <c r="F29" i="60420"/>
  <c r="H29" i="60420"/>
  <c r="M29" i="60420"/>
  <c r="O29" i="60420"/>
  <c r="G29" i="60420"/>
  <c r="N29" i="60420"/>
  <c r="L29" i="60420"/>
  <c r="D29" i="60420"/>
  <c r="B33" i="60420"/>
  <c r="O33" i="60420"/>
  <c r="G33" i="60420"/>
  <c r="N33" i="60420"/>
  <c r="M33" i="60420"/>
  <c r="E33" i="60420"/>
  <c r="D33" i="60420"/>
  <c r="L33" i="60420"/>
  <c r="I33" i="60420"/>
  <c r="K33" i="60420"/>
  <c r="C33" i="60420"/>
  <c r="J33" i="60420"/>
  <c r="H33" i="60420"/>
  <c r="F33" i="60420"/>
  <c r="B28" i="60420"/>
  <c r="J28" i="60420"/>
  <c r="I28" i="60420"/>
  <c r="H28" i="60420"/>
  <c r="L28" i="60420"/>
  <c r="O28" i="60420"/>
  <c r="G28" i="60420"/>
  <c r="D28" i="60420"/>
  <c r="N28" i="60420"/>
  <c r="F28" i="60420"/>
  <c r="M28" i="60420"/>
  <c r="E28" i="60420"/>
  <c r="K28" i="60420"/>
  <c r="C28" i="60420"/>
  <c r="B32" i="60420"/>
  <c r="N32" i="60420"/>
  <c r="F32" i="60420"/>
  <c r="M32" i="60420"/>
  <c r="E32" i="60420"/>
  <c r="L32" i="60420"/>
  <c r="D32" i="60420"/>
  <c r="I32" i="60420"/>
  <c r="H32" i="60420"/>
  <c r="K32" i="60420"/>
  <c r="C32" i="60420"/>
  <c r="J32" i="60420"/>
  <c r="O32" i="60420"/>
  <c r="G32" i="60420"/>
  <c r="B30" i="60420"/>
  <c r="L30" i="60420"/>
  <c r="D30" i="60420"/>
  <c r="K30" i="60420"/>
  <c r="J30" i="60420"/>
  <c r="I30" i="60420"/>
  <c r="G30" i="60420"/>
  <c r="H30" i="60420"/>
  <c r="O30" i="60420"/>
  <c r="N30" i="60420"/>
  <c r="F30" i="60420"/>
  <c r="M30" i="60420"/>
  <c r="E30" i="60420"/>
  <c r="C30" i="60420"/>
  <c r="U93" i="60406"/>
  <c r="U95" i="60406"/>
  <c r="U130" i="60406"/>
  <c r="U109" i="60406"/>
  <c r="U92" i="60406"/>
  <c r="U94" i="60406"/>
  <c r="U107" i="60406"/>
  <c r="U99" i="60406"/>
  <c r="T26" i="60420"/>
  <c r="R26" i="60420"/>
  <c r="U26" i="60420"/>
  <c r="S26" i="60420"/>
  <c r="Q26" i="60420"/>
  <c r="U42" i="60420"/>
  <c r="S42" i="60420"/>
  <c r="Q42" i="60420"/>
  <c r="N42" i="60420"/>
  <c r="L42" i="60420"/>
  <c r="J42" i="60420"/>
  <c r="H42" i="60420"/>
  <c r="F42" i="60420"/>
  <c r="D42" i="60420"/>
  <c r="T42" i="60420"/>
  <c r="R42" i="60420"/>
  <c r="O42" i="60420"/>
  <c r="M42" i="60420"/>
  <c r="K42" i="60420"/>
  <c r="I42" i="60420"/>
  <c r="G42" i="60420"/>
  <c r="E42" i="60420"/>
  <c r="C42" i="60420"/>
  <c r="U36" i="60420"/>
  <c r="S36" i="60420"/>
  <c r="Q36" i="60420"/>
  <c r="N36" i="60420"/>
  <c r="L36" i="60420"/>
  <c r="J36" i="60420"/>
  <c r="H36" i="60420"/>
  <c r="F36" i="60420"/>
  <c r="D36" i="60420"/>
  <c r="T36" i="60420"/>
  <c r="R36" i="60420"/>
  <c r="O36" i="60420"/>
  <c r="M36" i="60420"/>
  <c r="K36" i="60420"/>
  <c r="I36" i="60420"/>
  <c r="G36" i="60420"/>
  <c r="E36" i="60420"/>
  <c r="C36" i="60420"/>
  <c r="T28" i="60420"/>
  <c r="R28" i="60420"/>
  <c r="U28" i="60420"/>
  <c r="S28" i="60420"/>
  <c r="Q28" i="60420"/>
  <c r="T41" i="60420"/>
  <c r="R41" i="60420"/>
  <c r="O41" i="60420"/>
  <c r="M41" i="60420"/>
  <c r="K41" i="60420"/>
  <c r="I41" i="60420"/>
  <c r="G41" i="60420"/>
  <c r="E41" i="60420"/>
  <c r="C41" i="60420"/>
  <c r="U41" i="60420"/>
  <c r="S41" i="60420"/>
  <c r="Q41" i="60420"/>
  <c r="N41" i="60420"/>
  <c r="L41" i="60420"/>
  <c r="J41" i="60420"/>
  <c r="H41" i="60420"/>
  <c r="F41" i="60420"/>
  <c r="D41" i="60420"/>
  <c r="T117" i="60420"/>
  <c r="R117" i="60420"/>
  <c r="O117" i="60420"/>
  <c r="M117" i="60420"/>
  <c r="K117" i="60420"/>
  <c r="I117" i="60420"/>
  <c r="G117" i="60420"/>
  <c r="E117" i="60420"/>
  <c r="C117" i="60420"/>
  <c r="U117" i="60420"/>
  <c r="Q117" i="60420"/>
  <c r="L117" i="60420"/>
  <c r="H117" i="60420"/>
  <c r="D117" i="60420"/>
  <c r="S117" i="60420"/>
  <c r="N117" i="60420"/>
  <c r="J117" i="60420"/>
  <c r="F117" i="60420"/>
  <c r="U113" i="60420"/>
  <c r="S113" i="60420"/>
  <c r="Q113" i="60420"/>
  <c r="N113" i="60420"/>
  <c r="L113" i="60420"/>
  <c r="J113" i="60420"/>
  <c r="H113" i="60420"/>
  <c r="F113" i="60420"/>
  <c r="D113" i="60420"/>
  <c r="R113" i="60420"/>
  <c r="M113" i="60420"/>
  <c r="I113" i="60420"/>
  <c r="E113" i="60420"/>
  <c r="T113" i="60420"/>
  <c r="O113" i="60420"/>
  <c r="K113" i="60420"/>
  <c r="G113" i="60420"/>
  <c r="C113" i="60420"/>
  <c r="U120" i="60420"/>
  <c r="S120" i="60420"/>
  <c r="Q120" i="60420"/>
  <c r="N120" i="60420"/>
  <c r="L120" i="60420"/>
  <c r="J120" i="60420"/>
  <c r="H120" i="60420"/>
  <c r="F120" i="60420"/>
  <c r="D120" i="60420"/>
  <c r="T120" i="60420"/>
  <c r="O120" i="60420"/>
  <c r="K120" i="60420"/>
  <c r="G120" i="60420"/>
  <c r="C120" i="60420"/>
  <c r="R120" i="60420"/>
  <c r="M120" i="60420"/>
  <c r="I120" i="60420"/>
  <c r="E120" i="60420"/>
  <c r="U114" i="60420"/>
  <c r="S114" i="60420"/>
  <c r="Q114" i="60420"/>
  <c r="N114" i="60420"/>
  <c r="L114" i="60420"/>
  <c r="J114" i="60420"/>
  <c r="H114" i="60420"/>
  <c r="F114" i="60420"/>
  <c r="D114" i="60420"/>
  <c r="R114" i="60420"/>
  <c r="M114" i="60420"/>
  <c r="I114" i="60420"/>
  <c r="E114" i="60420"/>
  <c r="T114" i="60420"/>
  <c r="O114" i="60420"/>
  <c r="K114" i="60420"/>
  <c r="G114" i="60420"/>
  <c r="C114" i="60420"/>
  <c r="U118" i="60420"/>
  <c r="S118" i="60420"/>
  <c r="Q118" i="60420"/>
  <c r="N118" i="60420"/>
  <c r="L118" i="60420"/>
  <c r="J118" i="60420"/>
  <c r="H118" i="60420"/>
  <c r="F118" i="60420"/>
  <c r="D118" i="60420"/>
  <c r="R118" i="60420"/>
  <c r="M118" i="60420"/>
  <c r="I118" i="60420"/>
  <c r="E118" i="60420"/>
  <c r="T118" i="60420"/>
  <c r="O118" i="60420"/>
  <c r="K118" i="60420"/>
  <c r="G118" i="60420"/>
  <c r="C118" i="60420"/>
  <c r="U40" i="60420"/>
  <c r="S40" i="60420"/>
  <c r="Q40" i="60420"/>
  <c r="N40" i="60420"/>
  <c r="L40" i="60420"/>
  <c r="J40" i="60420"/>
  <c r="H40" i="60420"/>
  <c r="F40" i="60420"/>
  <c r="D40" i="60420"/>
  <c r="T40" i="60420"/>
  <c r="R40" i="60420"/>
  <c r="O40" i="60420"/>
  <c r="M40" i="60420"/>
  <c r="K40" i="60420"/>
  <c r="I40" i="60420"/>
  <c r="G40" i="60420"/>
  <c r="E40" i="60420"/>
  <c r="C40" i="60420"/>
  <c r="U35" i="60420"/>
  <c r="S35" i="60420"/>
  <c r="Q35" i="60420"/>
  <c r="N35" i="60420"/>
  <c r="L35" i="60420"/>
  <c r="J35" i="60420"/>
  <c r="H35" i="60420"/>
  <c r="F35" i="60420"/>
  <c r="D35" i="60420"/>
  <c r="T35" i="60420"/>
  <c r="R35" i="60420"/>
  <c r="O35" i="60420"/>
  <c r="M35" i="60420"/>
  <c r="K35" i="60420"/>
  <c r="I35" i="60420"/>
  <c r="G35" i="60420"/>
  <c r="E35" i="60420"/>
  <c r="C35" i="60420"/>
  <c r="T32" i="60420"/>
  <c r="R32" i="60420"/>
  <c r="U32" i="60420"/>
  <c r="S32" i="60420"/>
  <c r="Q32" i="60420"/>
  <c r="U38" i="60420"/>
  <c r="S38" i="60420"/>
  <c r="Q38" i="60420"/>
  <c r="N38" i="60420"/>
  <c r="L38" i="60420"/>
  <c r="J38" i="60420"/>
  <c r="H38" i="60420"/>
  <c r="F38" i="60420"/>
  <c r="D38" i="60420"/>
  <c r="T38" i="60420"/>
  <c r="R38" i="60420"/>
  <c r="O38" i="60420"/>
  <c r="M38" i="60420"/>
  <c r="K38" i="60420"/>
  <c r="I38" i="60420"/>
  <c r="G38" i="60420"/>
  <c r="E38" i="60420"/>
  <c r="C38" i="60420"/>
  <c r="U33" i="60420"/>
  <c r="S33" i="60420"/>
  <c r="Q33" i="60420"/>
  <c r="T33" i="60420"/>
  <c r="R33" i="60420"/>
  <c r="T30" i="60420"/>
  <c r="R30" i="60420"/>
  <c r="U30" i="60420"/>
  <c r="S30" i="60420"/>
  <c r="Q30" i="60420"/>
  <c r="T121" i="60420"/>
  <c r="R121" i="60420"/>
  <c r="O121" i="60420"/>
  <c r="M121" i="60420"/>
  <c r="K121" i="60420"/>
  <c r="I121" i="60420"/>
  <c r="G121" i="60420"/>
  <c r="E121" i="60420"/>
  <c r="C121" i="60420"/>
  <c r="U121" i="60420"/>
  <c r="Q121" i="60420"/>
  <c r="L121" i="60420"/>
  <c r="H121" i="60420"/>
  <c r="D121" i="60420"/>
  <c r="S121" i="60420"/>
  <c r="N121" i="60420"/>
  <c r="J121" i="60420"/>
  <c r="F121" i="60420"/>
  <c r="T115" i="60420"/>
  <c r="R115" i="60420"/>
  <c r="O115" i="60420"/>
  <c r="M115" i="60420"/>
  <c r="K115" i="60420"/>
  <c r="I115" i="60420"/>
  <c r="G115" i="60420"/>
  <c r="E115" i="60420"/>
  <c r="C115" i="60420"/>
  <c r="S115" i="60420"/>
  <c r="N115" i="60420"/>
  <c r="J115" i="60420"/>
  <c r="F115" i="60420"/>
  <c r="U115" i="60420"/>
  <c r="Q115" i="60420"/>
  <c r="L115" i="60420"/>
  <c r="H115" i="60420"/>
  <c r="D115" i="60420"/>
  <c r="U122" i="60420"/>
  <c r="S122" i="60420"/>
  <c r="Q122" i="60420"/>
  <c r="N122" i="60420"/>
  <c r="L122" i="60420"/>
  <c r="J122" i="60420"/>
  <c r="H122" i="60420"/>
  <c r="F122" i="60420"/>
  <c r="D122" i="60420"/>
  <c r="R122" i="60420"/>
  <c r="M122" i="60420"/>
  <c r="I122" i="60420"/>
  <c r="E122" i="60420"/>
  <c r="T122" i="60420"/>
  <c r="O122" i="60420"/>
  <c r="K122" i="60420"/>
  <c r="G122" i="60420"/>
  <c r="C122" i="60420"/>
  <c r="U116" i="60420"/>
  <c r="S116" i="60420"/>
  <c r="Q116" i="60420"/>
  <c r="N116" i="60420"/>
  <c r="L116" i="60420"/>
  <c r="J116" i="60420"/>
  <c r="H116" i="60420"/>
  <c r="F116" i="60420"/>
  <c r="D116" i="60420"/>
  <c r="T116" i="60420"/>
  <c r="O116" i="60420"/>
  <c r="K116" i="60420"/>
  <c r="G116" i="60420"/>
  <c r="C116" i="60420"/>
  <c r="R116" i="60420"/>
  <c r="M116" i="60420"/>
  <c r="I116" i="60420"/>
  <c r="E116" i="60420"/>
  <c r="U25" i="60420"/>
  <c r="S25" i="60420"/>
  <c r="Q25" i="60420"/>
  <c r="T25" i="60420"/>
  <c r="R25" i="60420"/>
  <c r="U29" i="60420"/>
  <c r="S29" i="60420"/>
  <c r="Q29" i="60420"/>
  <c r="T29" i="60420"/>
  <c r="R29" i="60420"/>
  <c r="E109" i="60406"/>
  <c r="M109" i="60406"/>
  <c r="F109" i="60406"/>
  <c r="N109" i="60406"/>
  <c r="T109" i="60406"/>
  <c r="G109" i="60406"/>
  <c r="H109" i="60406"/>
  <c r="Q109" i="60406"/>
  <c r="I109" i="60406"/>
  <c r="R109" i="60406"/>
  <c r="J109" i="60406"/>
  <c r="O109" i="60406"/>
  <c r="S109" i="60406"/>
  <c r="C109" i="60406"/>
  <c r="L109" i="60406"/>
  <c r="K109" i="60406"/>
  <c r="D109" i="60406"/>
  <c r="K92" i="60406"/>
  <c r="C92" i="60406"/>
  <c r="J92" i="60406"/>
  <c r="I92" i="60406"/>
  <c r="T92" i="60406"/>
  <c r="H92" i="60406"/>
  <c r="O92" i="60406"/>
  <c r="G92" i="60406"/>
  <c r="N92" i="60406"/>
  <c r="F92" i="60406"/>
  <c r="M92" i="60406"/>
  <c r="S92" i="60406"/>
  <c r="D92" i="60406"/>
  <c r="E92" i="60406"/>
  <c r="Q92" i="60406"/>
  <c r="L92" i="60406"/>
  <c r="R92" i="60406"/>
  <c r="J99" i="60406"/>
  <c r="I99" i="60406"/>
  <c r="T99" i="60406"/>
  <c r="H99" i="60406"/>
  <c r="O99" i="60406"/>
  <c r="G99" i="60406"/>
  <c r="N99" i="60406"/>
  <c r="F99" i="60406"/>
  <c r="M99" i="60406"/>
  <c r="E99" i="60406"/>
  <c r="K99" i="60406"/>
  <c r="S99" i="60406"/>
  <c r="D99" i="60406"/>
  <c r="Q99" i="60406"/>
  <c r="R99" i="60406"/>
  <c r="L99" i="60406"/>
  <c r="C99" i="60406"/>
  <c r="M94" i="60406"/>
  <c r="E94" i="60406"/>
  <c r="L94" i="60406"/>
  <c r="D94" i="60406"/>
  <c r="K94" i="60406"/>
  <c r="C94" i="60406"/>
  <c r="J94" i="60406"/>
  <c r="I94" i="60406"/>
  <c r="H94" i="60406"/>
  <c r="G94" i="60406"/>
  <c r="Q94" i="60406"/>
  <c r="R94" i="60406"/>
  <c r="N94" i="60406"/>
  <c r="O94" i="60406"/>
  <c r="F94" i="60406"/>
  <c r="S94" i="60406"/>
  <c r="T94" i="60406"/>
  <c r="N95" i="60406"/>
  <c r="F95" i="60406"/>
  <c r="M95" i="60406"/>
  <c r="E95" i="60406"/>
  <c r="L95" i="60406"/>
  <c r="D95" i="60406"/>
  <c r="K95" i="60406"/>
  <c r="C95" i="60406"/>
  <c r="J95" i="60406"/>
  <c r="I95" i="60406"/>
  <c r="R95" i="60406"/>
  <c r="T95" i="60406"/>
  <c r="O95" i="60406"/>
  <c r="G95" i="60406"/>
  <c r="Q95" i="60406"/>
  <c r="H95" i="60406"/>
  <c r="S95" i="60406"/>
  <c r="L93" i="60406"/>
  <c r="D93" i="60406"/>
  <c r="K93" i="60406"/>
  <c r="C93" i="60406"/>
  <c r="J93" i="60406"/>
  <c r="I93" i="60406"/>
  <c r="H93" i="60406"/>
  <c r="O93" i="60406"/>
  <c r="G93" i="60406"/>
  <c r="N93" i="60406"/>
  <c r="R93" i="60406"/>
  <c r="F93" i="60406"/>
  <c r="M93" i="60406"/>
  <c r="S93" i="60406"/>
  <c r="T93" i="60406"/>
  <c r="Q93" i="60406"/>
  <c r="E93" i="60406"/>
  <c r="G107" i="60406"/>
  <c r="H107" i="60406"/>
  <c r="Q107" i="60406"/>
  <c r="I107" i="60406"/>
  <c r="R107" i="60406"/>
  <c r="J107" i="60406"/>
  <c r="S107" i="60406"/>
  <c r="C107" i="60406"/>
  <c r="K107" i="60406"/>
  <c r="O107" i="60406"/>
  <c r="D107" i="60406"/>
  <c r="L107" i="60406"/>
  <c r="M107" i="60406"/>
  <c r="F107" i="60406"/>
  <c r="N107" i="60406"/>
  <c r="E107" i="60406"/>
  <c r="T107" i="60406"/>
  <c r="R130" i="60406"/>
  <c r="I130" i="60406"/>
  <c r="Q130" i="60406"/>
  <c r="H130" i="60406"/>
  <c r="O130" i="60406"/>
  <c r="G130" i="60406"/>
  <c r="N130" i="60406"/>
  <c r="F130" i="60406"/>
  <c r="M130" i="60406"/>
  <c r="E130" i="60406"/>
  <c r="L130" i="60406"/>
  <c r="D130" i="60406"/>
  <c r="J130" i="60406"/>
  <c r="T130" i="60406"/>
  <c r="C130" i="60406"/>
  <c r="K130" i="60406"/>
  <c r="S130" i="60406"/>
  <c r="A133" i="60406"/>
  <c r="B133" i="60406" s="1"/>
  <c r="A111" i="60406"/>
  <c r="B111" i="60406" s="1"/>
  <c r="A122" i="60406"/>
  <c r="B122" i="60406" s="1"/>
  <c r="A100" i="60406"/>
  <c r="B100" i="60406" s="1"/>
  <c r="A121" i="60406"/>
  <c r="B121" i="60406" s="1"/>
  <c r="A132" i="60406"/>
  <c r="B132" i="60406" s="1"/>
  <c r="A110" i="60406"/>
  <c r="B110" i="60406" s="1"/>
  <c r="A114" i="60406"/>
  <c r="B114" i="60406" s="1"/>
  <c r="A125" i="60406"/>
  <c r="B125" i="60406" s="1"/>
  <c r="A131" i="60406"/>
  <c r="B131" i="60406" s="1"/>
  <c r="A120" i="60406"/>
  <c r="B120" i="60406" s="1"/>
  <c r="A103" i="60406"/>
  <c r="B103" i="60406" s="1"/>
  <c r="A115" i="60406"/>
  <c r="B115" i="60406" s="1"/>
  <c r="A126" i="60406"/>
  <c r="B126" i="60406" s="1"/>
  <c r="A104" i="60406"/>
  <c r="B104" i="60406" s="1"/>
  <c r="A127" i="60406"/>
  <c r="B127" i="60406" s="1"/>
  <c r="A105" i="60406"/>
  <c r="B105" i="60406" s="1"/>
  <c r="A116" i="60406"/>
  <c r="B116" i="60406" s="1"/>
  <c r="A96" i="60406"/>
  <c r="B96" i="60406" s="1"/>
  <c r="A117" i="60406"/>
  <c r="B117" i="60406" s="1"/>
  <c r="A128" i="60406"/>
  <c r="B128" i="60406" s="1"/>
  <c r="A106" i="60406"/>
  <c r="B106" i="60406" s="1"/>
  <c r="A97" i="60406"/>
  <c r="B97" i="60406" s="1"/>
  <c r="A119" i="60406"/>
  <c r="B119" i="60406" s="1"/>
  <c r="A108" i="60406"/>
  <c r="B108" i="60406" s="1"/>
  <c r="A118" i="60406"/>
  <c r="B118" i="60406" s="1"/>
  <c r="A129" i="60406"/>
  <c r="B129" i="60406" s="1"/>
  <c r="A98" i="60406"/>
  <c r="B98" i="60406" s="1"/>
  <c r="A44" i="60406"/>
  <c r="B44" i="60406" s="1"/>
  <c r="A54" i="60406"/>
  <c r="B54" i="60406" s="1"/>
  <c r="A53" i="60406"/>
  <c r="B53" i="60406" s="1"/>
  <c r="A12" i="60406"/>
  <c r="O12" i="60406"/>
  <c r="A52" i="60406"/>
  <c r="B52" i="60406" s="1"/>
  <c r="A29" i="60406"/>
  <c r="B29" i="60406" s="1"/>
  <c r="A50" i="60406"/>
  <c r="B50" i="60406" s="1"/>
  <c r="A49" i="60406"/>
  <c r="B49" i="60406" s="1"/>
  <c r="A37" i="60406"/>
  <c r="B37" i="60406" s="1"/>
  <c r="A47" i="60406"/>
  <c r="B47" i="60406" s="1"/>
  <c r="Q11" i="60406"/>
  <c r="U129" i="60406" l="1"/>
  <c r="U108" i="60406"/>
  <c r="U97" i="60406"/>
  <c r="U128" i="60406"/>
  <c r="U96" i="60406"/>
  <c r="U105" i="60406"/>
  <c r="U104" i="60406"/>
  <c r="U115" i="60406"/>
  <c r="U120" i="60406"/>
  <c r="U125" i="60406"/>
  <c r="U110" i="60406"/>
  <c r="U121" i="60406"/>
  <c r="U122" i="60406"/>
  <c r="U133" i="60406"/>
  <c r="U98" i="60406"/>
  <c r="U118" i="60406"/>
  <c r="U119" i="60406"/>
  <c r="U106" i="60406"/>
  <c r="U117" i="60406"/>
  <c r="U116" i="60406"/>
  <c r="U127" i="60406"/>
  <c r="U126" i="60406"/>
  <c r="U103" i="60406"/>
  <c r="U131" i="60406"/>
  <c r="U114" i="60406"/>
  <c r="U132" i="60406"/>
  <c r="U100" i="60406"/>
  <c r="U111" i="60406"/>
  <c r="C103" i="60406"/>
  <c r="K103" i="60406"/>
  <c r="O103" i="60406"/>
  <c r="D103" i="60406"/>
  <c r="L103" i="60406"/>
  <c r="E103" i="60406"/>
  <c r="M103" i="60406"/>
  <c r="F103" i="60406"/>
  <c r="N103" i="60406"/>
  <c r="T103" i="60406"/>
  <c r="G103" i="60406"/>
  <c r="H103" i="60406"/>
  <c r="Q103" i="60406"/>
  <c r="R103" i="60406"/>
  <c r="J103" i="60406"/>
  <c r="I103" i="60406"/>
  <c r="S103" i="60406"/>
  <c r="H119" i="60406"/>
  <c r="O119" i="60406"/>
  <c r="G119" i="60406"/>
  <c r="T119" i="60406"/>
  <c r="N119" i="60406"/>
  <c r="F119" i="60406"/>
  <c r="S119" i="60406"/>
  <c r="M119" i="60406"/>
  <c r="E119" i="60406"/>
  <c r="R119" i="60406"/>
  <c r="L119" i="60406"/>
  <c r="D119" i="60406"/>
  <c r="K119" i="60406"/>
  <c r="C119" i="60406"/>
  <c r="J119" i="60406"/>
  <c r="Q119" i="60406"/>
  <c r="I119" i="60406"/>
  <c r="O96" i="60406"/>
  <c r="G96" i="60406"/>
  <c r="N96" i="60406"/>
  <c r="F96" i="60406"/>
  <c r="M96" i="60406"/>
  <c r="E96" i="60406"/>
  <c r="L96" i="60406"/>
  <c r="D96" i="60406"/>
  <c r="K96" i="60406"/>
  <c r="J96" i="60406"/>
  <c r="R96" i="60406"/>
  <c r="Q96" i="60406"/>
  <c r="T96" i="60406"/>
  <c r="I96" i="60406"/>
  <c r="C96" i="60406"/>
  <c r="H96" i="60406"/>
  <c r="S96" i="60406"/>
  <c r="I120" i="60406"/>
  <c r="H120" i="60406"/>
  <c r="O120" i="60406"/>
  <c r="G120" i="60406"/>
  <c r="T120" i="60406"/>
  <c r="N120" i="60406"/>
  <c r="F120" i="60406"/>
  <c r="S120" i="60406"/>
  <c r="M120" i="60406"/>
  <c r="E120" i="60406"/>
  <c r="R120" i="60406"/>
  <c r="L120" i="60406"/>
  <c r="D120" i="60406"/>
  <c r="C120" i="60406"/>
  <c r="J120" i="60406"/>
  <c r="K120" i="60406"/>
  <c r="Q120" i="60406"/>
  <c r="K122" i="60406"/>
  <c r="C122" i="60406"/>
  <c r="J122" i="60406"/>
  <c r="Q122" i="60406"/>
  <c r="I122" i="60406"/>
  <c r="H122" i="60406"/>
  <c r="O122" i="60406"/>
  <c r="G122" i="60406"/>
  <c r="T122" i="60406"/>
  <c r="N122" i="60406"/>
  <c r="F122" i="60406"/>
  <c r="S122" i="60406"/>
  <c r="R122" i="60406"/>
  <c r="M122" i="60406"/>
  <c r="D122" i="60406"/>
  <c r="E122" i="60406"/>
  <c r="L122" i="60406"/>
  <c r="K100" i="60406"/>
  <c r="C100" i="60406"/>
  <c r="J100" i="60406"/>
  <c r="I100" i="60406"/>
  <c r="H100" i="60406"/>
  <c r="O100" i="60406"/>
  <c r="G100" i="60406"/>
  <c r="N100" i="60406"/>
  <c r="F100" i="60406"/>
  <c r="T100" i="60406"/>
  <c r="S100" i="60406"/>
  <c r="D100" i="60406"/>
  <c r="E100" i="60406"/>
  <c r="M100" i="60406"/>
  <c r="Q100" i="60406"/>
  <c r="R100" i="60406"/>
  <c r="L100" i="60406"/>
  <c r="H97" i="60406"/>
  <c r="O97" i="60406"/>
  <c r="G97" i="60406"/>
  <c r="N97" i="60406"/>
  <c r="F97" i="60406"/>
  <c r="M97" i="60406"/>
  <c r="E97" i="60406"/>
  <c r="L97" i="60406"/>
  <c r="K97" i="60406"/>
  <c r="D97" i="60406"/>
  <c r="T97" i="60406"/>
  <c r="S97" i="60406"/>
  <c r="J97" i="60406"/>
  <c r="R97" i="60406"/>
  <c r="Q97" i="60406"/>
  <c r="I97" i="60406"/>
  <c r="C97" i="60406"/>
  <c r="M116" i="60406"/>
  <c r="E116" i="60406"/>
  <c r="R116" i="60406"/>
  <c r="L116" i="60406"/>
  <c r="D116" i="60406"/>
  <c r="S116" i="60406"/>
  <c r="K116" i="60406"/>
  <c r="C116" i="60406"/>
  <c r="J116" i="60406"/>
  <c r="Q116" i="60406"/>
  <c r="I116" i="60406"/>
  <c r="H116" i="60406"/>
  <c r="T116" i="60406"/>
  <c r="F116" i="60406"/>
  <c r="G116" i="60406"/>
  <c r="N116" i="60406"/>
  <c r="O116" i="60406"/>
  <c r="S131" i="60406"/>
  <c r="J131" i="60406"/>
  <c r="R131" i="60406"/>
  <c r="I131" i="60406"/>
  <c r="Q131" i="60406"/>
  <c r="H131" i="60406"/>
  <c r="O131" i="60406"/>
  <c r="G131" i="60406"/>
  <c r="N131" i="60406"/>
  <c r="F131" i="60406"/>
  <c r="M131" i="60406"/>
  <c r="E131" i="60406"/>
  <c r="L131" i="60406"/>
  <c r="C131" i="60406"/>
  <c r="T131" i="60406"/>
  <c r="D131" i="60406"/>
  <c r="K131" i="60406"/>
  <c r="C111" i="60406"/>
  <c r="K111" i="60406"/>
  <c r="D111" i="60406"/>
  <c r="L111" i="60406"/>
  <c r="E111" i="60406"/>
  <c r="M111" i="60406"/>
  <c r="F111" i="60406"/>
  <c r="N111" i="60406"/>
  <c r="T111" i="60406"/>
  <c r="G111" i="60406"/>
  <c r="H111" i="60406"/>
  <c r="Q111" i="60406"/>
  <c r="I111" i="60406"/>
  <c r="R111" i="60406"/>
  <c r="J111" i="60406"/>
  <c r="O111" i="60406"/>
  <c r="S111" i="60406"/>
  <c r="F108" i="60406"/>
  <c r="N108" i="60406"/>
  <c r="T108" i="60406"/>
  <c r="G108" i="60406"/>
  <c r="H108" i="60406"/>
  <c r="Q108" i="60406"/>
  <c r="I108" i="60406"/>
  <c r="R108" i="60406"/>
  <c r="J108" i="60406"/>
  <c r="O108" i="60406"/>
  <c r="S108" i="60406"/>
  <c r="C108" i="60406"/>
  <c r="K108" i="60406"/>
  <c r="E108" i="60406"/>
  <c r="M108" i="60406"/>
  <c r="D108" i="60406"/>
  <c r="L108" i="60406"/>
  <c r="L133" i="60406"/>
  <c r="D133" i="60406"/>
  <c r="T133" i="60406"/>
  <c r="K133" i="60406"/>
  <c r="C133" i="60406"/>
  <c r="S133" i="60406"/>
  <c r="J133" i="60406"/>
  <c r="R133" i="60406"/>
  <c r="I133" i="60406"/>
  <c r="Q133" i="60406"/>
  <c r="H133" i="60406"/>
  <c r="O133" i="60406"/>
  <c r="G133" i="60406"/>
  <c r="F133" i="60406"/>
  <c r="M133" i="60406"/>
  <c r="E133" i="60406"/>
  <c r="N133" i="60406"/>
  <c r="I105" i="60406"/>
  <c r="R105" i="60406"/>
  <c r="J105" i="60406"/>
  <c r="S105" i="60406"/>
  <c r="C105" i="60406"/>
  <c r="K105" i="60406"/>
  <c r="O105" i="60406"/>
  <c r="D105" i="60406"/>
  <c r="L105" i="60406"/>
  <c r="E105" i="60406"/>
  <c r="M105" i="60406"/>
  <c r="F105" i="60406"/>
  <c r="N105" i="60406"/>
  <c r="T105" i="60406"/>
  <c r="Q105" i="60406"/>
  <c r="G105" i="60406"/>
  <c r="H105" i="60406"/>
  <c r="I98" i="60406"/>
  <c r="T98" i="60406"/>
  <c r="H98" i="60406"/>
  <c r="O98" i="60406"/>
  <c r="G98" i="60406"/>
  <c r="N98" i="60406"/>
  <c r="F98" i="60406"/>
  <c r="M98" i="60406"/>
  <c r="E98" i="60406"/>
  <c r="L98" i="60406"/>
  <c r="K98" i="60406"/>
  <c r="S98" i="60406"/>
  <c r="D98" i="60406"/>
  <c r="C98" i="60406"/>
  <c r="J98" i="60406"/>
  <c r="R98" i="60406"/>
  <c r="Q98" i="60406"/>
  <c r="K114" i="60406"/>
  <c r="C114" i="60406"/>
  <c r="J114" i="60406"/>
  <c r="Q114" i="60406"/>
  <c r="I114" i="60406"/>
  <c r="H114" i="60406"/>
  <c r="O114" i="60406"/>
  <c r="G114" i="60406"/>
  <c r="T114" i="60406"/>
  <c r="N114" i="60406"/>
  <c r="F114" i="60406"/>
  <c r="M114" i="60406"/>
  <c r="S114" i="60406"/>
  <c r="E114" i="60406"/>
  <c r="L114" i="60406"/>
  <c r="R114" i="60406"/>
  <c r="D114" i="60406"/>
  <c r="N117" i="60406"/>
  <c r="F117" i="60406"/>
  <c r="M117" i="60406"/>
  <c r="E117" i="60406"/>
  <c r="R117" i="60406"/>
  <c r="L117" i="60406"/>
  <c r="D117" i="60406"/>
  <c r="S117" i="60406"/>
  <c r="K117" i="60406"/>
  <c r="C117" i="60406"/>
  <c r="J117" i="60406"/>
  <c r="Q117" i="60406"/>
  <c r="I117" i="60406"/>
  <c r="G117" i="60406"/>
  <c r="T117" i="60406"/>
  <c r="H117" i="60406"/>
  <c r="O117" i="60406"/>
  <c r="L125" i="60406"/>
  <c r="D125" i="60406"/>
  <c r="T125" i="60406"/>
  <c r="K125" i="60406"/>
  <c r="C125" i="60406"/>
  <c r="S125" i="60406"/>
  <c r="J125" i="60406"/>
  <c r="R125" i="60406"/>
  <c r="I125" i="60406"/>
  <c r="Q125" i="60406"/>
  <c r="H125" i="60406"/>
  <c r="O125" i="60406"/>
  <c r="G125" i="60406"/>
  <c r="M125" i="60406"/>
  <c r="E125" i="60406"/>
  <c r="F125" i="60406"/>
  <c r="N125" i="60406"/>
  <c r="N127" i="60406"/>
  <c r="F127" i="60406"/>
  <c r="M127" i="60406"/>
  <c r="E127" i="60406"/>
  <c r="L127" i="60406"/>
  <c r="D127" i="60406"/>
  <c r="T127" i="60406"/>
  <c r="K127" i="60406"/>
  <c r="C127" i="60406"/>
  <c r="S127" i="60406"/>
  <c r="J127" i="60406"/>
  <c r="R127" i="60406"/>
  <c r="I127" i="60406"/>
  <c r="Q127" i="60406"/>
  <c r="H127" i="60406"/>
  <c r="O127" i="60406"/>
  <c r="G127" i="60406"/>
  <c r="J104" i="60406"/>
  <c r="S104" i="60406"/>
  <c r="C104" i="60406"/>
  <c r="K104" i="60406"/>
  <c r="O104" i="60406"/>
  <c r="D104" i="60406"/>
  <c r="L104" i="60406"/>
  <c r="E104" i="60406"/>
  <c r="M104" i="60406"/>
  <c r="F104" i="60406"/>
  <c r="N104" i="60406"/>
  <c r="T104" i="60406"/>
  <c r="G104" i="60406"/>
  <c r="R104" i="60406"/>
  <c r="Q104" i="60406"/>
  <c r="H104" i="60406"/>
  <c r="I104" i="60406"/>
  <c r="D110" i="60406"/>
  <c r="L110" i="60406"/>
  <c r="E110" i="60406"/>
  <c r="M110" i="60406"/>
  <c r="F110" i="60406"/>
  <c r="N110" i="60406"/>
  <c r="T110" i="60406"/>
  <c r="G110" i="60406"/>
  <c r="H110" i="60406"/>
  <c r="Q110" i="60406"/>
  <c r="I110" i="60406"/>
  <c r="R110" i="60406"/>
  <c r="J110" i="60406"/>
  <c r="C110" i="60406"/>
  <c r="O110" i="60406"/>
  <c r="S110" i="60406"/>
  <c r="K110" i="60406"/>
  <c r="H106" i="60406"/>
  <c r="Q106" i="60406"/>
  <c r="I106" i="60406"/>
  <c r="R106" i="60406"/>
  <c r="J106" i="60406"/>
  <c r="S106" i="60406"/>
  <c r="C106" i="60406"/>
  <c r="K106" i="60406"/>
  <c r="O106" i="60406"/>
  <c r="D106" i="60406"/>
  <c r="L106" i="60406"/>
  <c r="E106" i="60406"/>
  <c r="M106" i="60406"/>
  <c r="F106" i="60406"/>
  <c r="T106" i="60406"/>
  <c r="N106" i="60406"/>
  <c r="G106" i="60406"/>
  <c r="T132" i="60406"/>
  <c r="K132" i="60406"/>
  <c r="C132" i="60406"/>
  <c r="S132" i="60406"/>
  <c r="J132" i="60406"/>
  <c r="R132" i="60406"/>
  <c r="I132" i="60406"/>
  <c r="Q132" i="60406"/>
  <c r="H132" i="60406"/>
  <c r="O132" i="60406"/>
  <c r="G132" i="60406"/>
  <c r="N132" i="60406"/>
  <c r="F132" i="60406"/>
  <c r="M132" i="60406"/>
  <c r="E132" i="60406"/>
  <c r="L132" i="60406"/>
  <c r="D132" i="60406"/>
  <c r="Q129" i="60406"/>
  <c r="H129" i="60406"/>
  <c r="O129" i="60406"/>
  <c r="G129" i="60406"/>
  <c r="N129" i="60406"/>
  <c r="F129" i="60406"/>
  <c r="M129" i="60406"/>
  <c r="E129" i="60406"/>
  <c r="L129" i="60406"/>
  <c r="D129" i="60406"/>
  <c r="T129" i="60406"/>
  <c r="K129" i="60406"/>
  <c r="C129" i="60406"/>
  <c r="J129" i="60406"/>
  <c r="I129" i="60406"/>
  <c r="S129" i="60406"/>
  <c r="R129" i="60406"/>
  <c r="M126" i="60406"/>
  <c r="E126" i="60406"/>
  <c r="L126" i="60406"/>
  <c r="D126" i="60406"/>
  <c r="T126" i="60406"/>
  <c r="K126" i="60406"/>
  <c r="C126" i="60406"/>
  <c r="S126" i="60406"/>
  <c r="J126" i="60406"/>
  <c r="R126" i="60406"/>
  <c r="I126" i="60406"/>
  <c r="Q126" i="60406"/>
  <c r="H126" i="60406"/>
  <c r="O126" i="60406"/>
  <c r="G126" i="60406"/>
  <c r="F126" i="60406"/>
  <c r="N126" i="60406"/>
  <c r="O118" i="60406"/>
  <c r="G118" i="60406"/>
  <c r="T118" i="60406"/>
  <c r="N118" i="60406"/>
  <c r="F118" i="60406"/>
  <c r="M118" i="60406"/>
  <c r="E118" i="60406"/>
  <c r="R118" i="60406"/>
  <c r="L118" i="60406"/>
  <c r="D118" i="60406"/>
  <c r="S118" i="60406"/>
  <c r="K118" i="60406"/>
  <c r="C118" i="60406"/>
  <c r="J118" i="60406"/>
  <c r="Q118" i="60406"/>
  <c r="I118" i="60406"/>
  <c r="H118" i="60406"/>
  <c r="O128" i="60406"/>
  <c r="G128" i="60406"/>
  <c r="N128" i="60406"/>
  <c r="F128" i="60406"/>
  <c r="M128" i="60406"/>
  <c r="E128" i="60406"/>
  <c r="L128" i="60406"/>
  <c r="D128" i="60406"/>
  <c r="T128" i="60406"/>
  <c r="K128" i="60406"/>
  <c r="C128" i="60406"/>
  <c r="S128" i="60406"/>
  <c r="J128" i="60406"/>
  <c r="I128" i="60406"/>
  <c r="Q128" i="60406"/>
  <c r="R128" i="60406"/>
  <c r="H128" i="60406"/>
  <c r="L115" i="60406"/>
  <c r="D115" i="60406"/>
  <c r="S115" i="60406"/>
  <c r="K115" i="60406"/>
  <c r="C115" i="60406"/>
  <c r="J115" i="60406"/>
  <c r="Q115" i="60406"/>
  <c r="I115" i="60406"/>
  <c r="H115" i="60406"/>
  <c r="O115" i="60406"/>
  <c r="G115" i="60406"/>
  <c r="T115" i="60406"/>
  <c r="F115" i="60406"/>
  <c r="M115" i="60406"/>
  <c r="E115" i="60406"/>
  <c r="R115" i="60406"/>
  <c r="N115" i="60406"/>
  <c r="J121" i="60406"/>
  <c r="Q121" i="60406"/>
  <c r="I121" i="60406"/>
  <c r="H121" i="60406"/>
  <c r="O121" i="60406"/>
  <c r="G121" i="60406"/>
  <c r="T121" i="60406"/>
  <c r="N121" i="60406"/>
  <c r="F121" i="60406"/>
  <c r="S121" i="60406"/>
  <c r="M121" i="60406"/>
  <c r="E121" i="60406"/>
  <c r="R121" i="60406"/>
  <c r="C121" i="60406"/>
  <c r="D121" i="60406"/>
  <c r="L121" i="60406"/>
  <c r="K121" i="60406"/>
  <c r="F47" i="60406"/>
  <c r="N47" i="60406"/>
  <c r="G47" i="60406"/>
  <c r="O47" i="60406"/>
  <c r="H47" i="60406"/>
  <c r="Q47" i="60406"/>
  <c r="I47" i="60406"/>
  <c r="R47" i="60406"/>
  <c r="J47" i="60406"/>
  <c r="S47" i="60406"/>
  <c r="C47" i="60406"/>
  <c r="K47" i="60406"/>
  <c r="T47" i="60406"/>
  <c r="E47" i="60406"/>
  <c r="M47" i="60406"/>
  <c r="D47" i="60406"/>
  <c r="L47" i="60406"/>
  <c r="U47" i="60406"/>
  <c r="H53" i="60406"/>
  <c r="Q53" i="60406"/>
  <c r="I53" i="60406"/>
  <c r="R53" i="60406"/>
  <c r="J53" i="60406"/>
  <c r="S53" i="60406"/>
  <c r="C53" i="60406"/>
  <c r="K53" i="60406"/>
  <c r="T53" i="60406"/>
  <c r="D53" i="60406"/>
  <c r="L53" i="60406"/>
  <c r="U53" i="60406"/>
  <c r="E53" i="60406"/>
  <c r="M53" i="60406"/>
  <c r="G53" i="60406"/>
  <c r="O53" i="60406"/>
  <c r="F53" i="60406"/>
  <c r="N53" i="60406"/>
  <c r="G54" i="60406"/>
  <c r="O54" i="60406"/>
  <c r="H54" i="60406"/>
  <c r="Q54" i="60406"/>
  <c r="I54" i="60406"/>
  <c r="R54" i="60406"/>
  <c r="J54" i="60406"/>
  <c r="S54" i="60406"/>
  <c r="C54" i="60406"/>
  <c r="K54" i="60406"/>
  <c r="T54" i="60406"/>
  <c r="D54" i="60406"/>
  <c r="L54" i="60406"/>
  <c r="U54" i="60406"/>
  <c r="F54" i="60406"/>
  <c r="N54" i="60406"/>
  <c r="E54" i="60406"/>
  <c r="M54" i="60406"/>
  <c r="T37" i="60406"/>
  <c r="I37" i="60406"/>
  <c r="H37" i="60406"/>
  <c r="S37" i="60406"/>
  <c r="O37" i="60406"/>
  <c r="G37" i="60406"/>
  <c r="R37" i="60406"/>
  <c r="N37" i="60406"/>
  <c r="F37" i="60406"/>
  <c r="Q37" i="60406"/>
  <c r="M37" i="60406"/>
  <c r="E37" i="60406"/>
  <c r="L37" i="60406"/>
  <c r="D37" i="60406"/>
  <c r="J37" i="60406"/>
  <c r="U37" i="60406"/>
  <c r="K37" i="60406"/>
  <c r="C37" i="60406"/>
  <c r="D49" i="60406"/>
  <c r="L49" i="60406"/>
  <c r="U49" i="60406"/>
  <c r="E49" i="60406"/>
  <c r="M49" i="60406"/>
  <c r="F49" i="60406"/>
  <c r="N49" i="60406"/>
  <c r="G49" i="60406"/>
  <c r="O49" i="60406"/>
  <c r="H49" i="60406"/>
  <c r="Q49" i="60406"/>
  <c r="I49" i="60406"/>
  <c r="R49" i="60406"/>
  <c r="C49" i="60406"/>
  <c r="K49" i="60406"/>
  <c r="T49" i="60406"/>
  <c r="J49" i="60406"/>
  <c r="S49" i="60406"/>
  <c r="H44" i="60406"/>
  <c r="S44" i="60406"/>
  <c r="O44" i="60406"/>
  <c r="G44" i="60406"/>
  <c r="R44" i="60406"/>
  <c r="N44" i="60406"/>
  <c r="F44" i="60406"/>
  <c r="Q44" i="60406"/>
  <c r="M44" i="60406"/>
  <c r="E44" i="60406"/>
  <c r="L44" i="60406"/>
  <c r="D44" i="60406"/>
  <c r="K44" i="60406"/>
  <c r="C44" i="60406"/>
  <c r="I44" i="60406"/>
  <c r="T44" i="60406"/>
  <c r="J44" i="60406"/>
  <c r="U44" i="60406"/>
  <c r="C50" i="60406"/>
  <c r="K50" i="60406"/>
  <c r="T50" i="60406"/>
  <c r="D50" i="60406"/>
  <c r="L50" i="60406"/>
  <c r="U50" i="60406"/>
  <c r="E50" i="60406"/>
  <c r="M50" i="60406"/>
  <c r="F50" i="60406"/>
  <c r="N50" i="60406"/>
  <c r="G50" i="60406"/>
  <c r="O50" i="60406"/>
  <c r="H50" i="60406"/>
  <c r="Q50" i="60406"/>
  <c r="J50" i="60406"/>
  <c r="S50" i="60406"/>
  <c r="I50" i="60406"/>
  <c r="R50" i="60406"/>
  <c r="T29" i="60406"/>
  <c r="Q29" i="60406"/>
  <c r="U29" i="60406"/>
  <c r="H29" i="60406"/>
  <c r="O29" i="60406"/>
  <c r="G29" i="60406"/>
  <c r="R29" i="60406"/>
  <c r="K29" i="60406"/>
  <c r="C29" i="60406"/>
  <c r="I29" i="60406"/>
  <c r="F29" i="60406"/>
  <c r="M29" i="60406"/>
  <c r="J29" i="60406"/>
  <c r="N29" i="60406"/>
  <c r="E29" i="60406"/>
  <c r="D29" i="60406"/>
  <c r="S29" i="60406"/>
  <c r="L29" i="60406"/>
  <c r="I52" i="60406"/>
  <c r="R52" i="60406"/>
  <c r="J52" i="60406"/>
  <c r="S52" i="60406"/>
  <c r="C52" i="60406"/>
  <c r="K52" i="60406"/>
  <c r="T52" i="60406"/>
  <c r="D52" i="60406"/>
  <c r="L52" i="60406"/>
  <c r="U52" i="60406"/>
  <c r="E52" i="60406"/>
  <c r="M52" i="60406"/>
  <c r="F52" i="60406"/>
  <c r="N52" i="60406"/>
  <c r="H52" i="60406"/>
  <c r="Q52" i="60406"/>
  <c r="G52" i="60406"/>
  <c r="O52" i="60406"/>
  <c r="L34" i="60420"/>
  <c r="O123" i="60420"/>
  <c r="O256" i="60420" s="1"/>
  <c r="U123" i="60420"/>
  <c r="G268" i="60420" s="1"/>
  <c r="Q123" i="60420"/>
  <c r="C268" i="60420" s="1"/>
  <c r="R123" i="60420"/>
  <c r="D268" i="60420" s="1"/>
  <c r="T123" i="60420"/>
  <c r="F268" i="60420" s="1"/>
  <c r="S123" i="60420"/>
  <c r="E268" i="60420" s="1"/>
  <c r="O45" i="60420"/>
  <c r="S45" i="60420"/>
  <c r="U45" i="60420"/>
  <c r="Q45" i="60420"/>
  <c r="T45" i="60420"/>
  <c r="R45" i="60420"/>
  <c r="A33" i="60406"/>
  <c r="B33" i="60406" s="1"/>
  <c r="A26" i="60406"/>
  <c r="B26" i="60406" s="1"/>
  <c r="A36" i="60406"/>
  <c r="B36" i="60406" s="1"/>
  <c r="A43" i="60406"/>
  <c r="B43" i="60406" s="1"/>
  <c r="A38" i="60406"/>
  <c r="B38" i="60406" s="1"/>
  <c r="A39" i="60406"/>
  <c r="B39" i="60406" s="1"/>
  <c r="A40" i="60406"/>
  <c r="B40" i="60406" s="1"/>
  <c r="A41" i="60406"/>
  <c r="B41" i="60406" s="1"/>
  <c r="A42" i="60406"/>
  <c r="B42" i="60406" s="1"/>
  <c r="A27" i="60406"/>
  <c r="B27" i="60406" s="1"/>
  <c r="A55" i="60406"/>
  <c r="B55" i="60406" s="1"/>
  <c r="A48" i="60406"/>
  <c r="B48" i="60406" s="1"/>
  <c r="A28" i="60406"/>
  <c r="B28" i="60406" s="1"/>
  <c r="A51" i="60406"/>
  <c r="B51" i="60406" s="1"/>
  <c r="A30" i="60406"/>
  <c r="B30" i="60406" s="1"/>
  <c r="A25" i="60406"/>
  <c r="B25" i="60406" s="1"/>
  <c r="A31" i="60406"/>
  <c r="B31" i="60406" s="1"/>
  <c r="A32" i="60406"/>
  <c r="B32" i="60406" s="1"/>
  <c r="O253" i="60420"/>
  <c r="U12" i="60420"/>
  <c r="T12" i="60420" s="1"/>
  <c r="N90" i="60420"/>
  <c r="M90" i="60420" s="1"/>
  <c r="L90" i="60420" s="1"/>
  <c r="K90" i="60420" s="1"/>
  <c r="J90" i="60420" s="1"/>
  <c r="I90" i="60420" s="1"/>
  <c r="H90" i="60420" s="1"/>
  <c r="G90" i="60420" s="1"/>
  <c r="F90" i="60420" s="1"/>
  <c r="E90" i="60420" s="1"/>
  <c r="D90" i="60420" s="1"/>
  <c r="C90" i="60420" s="1"/>
  <c r="U90" i="60420"/>
  <c r="T90" i="60420" s="1"/>
  <c r="S90" i="60420" s="1"/>
  <c r="R90" i="60420" s="1"/>
  <c r="Q90" i="60420" s="1"/>
  <c r="O253" i="60406"/>
  <c r="U12" i="60406"/>
  <c r="T12" i="60406" s="1"/>
  <c r="N90" i="60406"/>
  <c r="M90" i="60406" s="1"/>
  <c r="L90" i="60406" s="1"/>
  <c r="K90" i="60406" s="1"/>
  <c r="J90" i="60406" s="1"/>
  <c r="I90" i="60406" s="1"/>
  <c r="H90" i="60406" s="1"/>
  <c r="G90" i="60406" s="1"/>
  <c r="F90" i="60406" s="1"/>
  <c r="E90" i="60406" s="1"/>
  <c r="D90" i="60406" s="1"/>
  <c r="C90" i="60406" s="1"/>
  <c r="U90" i="60406"/>
  <c r="T90" i="60406" s="1"/>
  <c r="S90" i="60406" s="1"/>
  <c r="R90" i="60406" s="1"/>
  <c r="Q90" i="60406" s="1"/>
  <c r="N12" i="60420"/>
  <c r="S32" i="60406" l="1"/>
  <c r="R32" i="60406"/>
  <c r="K32" i="60406"/>
  <c r="C32" i="60406"/>
  <c r="T32" i="60406"/>
  <c r="Q32" i="60406"/>
  <c r="J32" i="60406"/>
  <c r="U32" i="60406"/>
  <c r="N32" i="60406"/>
  <c r="F32" i="60406"/>
  <c r="E32" i="60406"/>
  <c r="D32" i="60406"/>
  <c r="L32" i="60406"/>
  <c r="I32" i="60406"/>
  <c r="O32" i="60406"/>
  <c r="M32" i="60406"/>
  <c r="G32" i="60406"/>
  <c r="H32" i="60406"/>
  <c r="F55" i="60406"/>
  <c r="N55" i="60406"/>
  <c r="G55" i="60406"/>
  <c r="O55" i="60406"/>
  <c r="H55" i="60406"/>
  <c r="Q55" i="60406"/>
  <c r="I55" i="60406"/>
  <c r="R55" i="60406"/>
  <c r="J55" i="60406"/>
  <c r="S55" i="60406"/>
  <c r="C55" i="60406"/>
  <c r="K55" i="60406"/>
  <c r="T55" i="60406"/>
  <c r="E55" i="60406"/>
  <c r="M55" i="60406"/>
  <c r="D55" i="60406"/>
  <c r="L55" i="60406"/>
  <c r="U55" i="60406"/>
  <c r="O43" i="60406"/>
  <c r="G43" i="60406"/>
  <c r="R43" i="60406"/>
  <c r="N43" i="60406"/>
  <c r="F43" i="60406"/>
  <c r="Q43" i="60406"/>
  <c r="M43" i="60406"/>
  <c r="E43" i="60406"/>
  <c r="L43" i="60406"/>
  <c r="D43" i="60406"/>
  <c r="K43" i="60406"/>
  <c r="C43" i="60406"/>
  <c r="J43" i="60406"/>
  <c r="U43" i="60406"/>
  <c r="I43" i="60406"/>
  <c r="H43" i="60406"/>
  <c r="S43" i="60406"/>
  <c r="T43" i="60406"/>
  <c r="S31" i="60406"/>
  <c r="R31" i="60406"/>
  <c r="T31" i="60406"/>
  <c r="Q31" i="60406"/>
  <c r="J31" i="60406"/>
  <c r="U31" i="60406"/>
  <c r="I31" i="60406"/>
  <c r="O31" i="60406"/>
  <c r="M31" i="60406"/>
  <c r="E31" i="60406"/>
  <c r="L31" i="60406"/>
  <c r="H31" i="60406"/>
  <c r="F31" i="60406"/>
  <c r="C31" i="60406"/>
  <c r="G31" i="60406"/>
  <c r="D31" i="60406"/>
  <c r="K31" i="60406"/>
  <c r="N31" i="60406"/>
  <c r="T27" i="60406"/>
  <c r="O27" i="60406"/>
  <c r="N27" i="60406"/>
  <c r="F27" i="60406"/>
  <c r="M27" i="60406"/>
  <c r="E27" i="60406"/>
  <c r="S27" i="60406"/>
  <c r="R27" i="60406"/>
  <c r="U27" i="60406"/>
  <c r="I27" i="60406"/>
  <c r="C27" i="60406"/>
  <c r="Q27" i="60406"/>
  <c r="J27" i="60406"/>
  <c r="G27" i="60406"/>
  <c r="D27" i="60406"/>
  <c r="K27" i="60406"/>
  <c r="H27" i="60406"/>
  <c r="L27" i="60406"/>
  <c r="I36" i="60406"/>
  <c r="H36" i="60406"/>
  <c r="S36" i="60406"/>
  <c r="O36" i="60406"/>
  <c r="G36" i="60406"/>
  <c r="R36" i="60406"/>
  <c r="N36" i="60406"/>
  <c r="F36" i="60406"/>
  <c r="Q36" i="60406"/>
  <c r="M36" i="60406"/>
  <c r="E36" i="60406"/>
  <c r="L36" i="60406"/>
  <c r="D36" i="60406"/>
  <c r="K36" i="60406"/>
  <c r="C36" i="60406"/>
  <c r="T36" i="60406"/>
  <c r="J36" i="60406"/>
  <c r="U36" i="60406"/>
  <c r="J38" i="60406"/>
  <c r="U38" i="60406"/>
  <c r="T38" i="60406"/>
  <c r="I38" i="60406"/>
  <c r="H38" i="60406"/>
  <c r="S38" i="60406"/>
  <c r="O38" i="60406"/>
  <c r="G38" i="60406"/>
  <c r="R38" i="60406"/>
  <c r="N38" i="60406"/>
  <c r="F38" i="60406"/>
  <c r="Q38" i="60406"/>
  <c r="M38" i="60406"/>
  <c r="E38" i="60406"/>
  <c r="K38" i="60406"/>
  <c r="C38" i="60406"/>
  <c r="L38" i="60406"/>
  <c r="D38" i="60406"/>
  <c r="E48" i="60406"/>
  <c r="M48" i="60406"/>
  <c r="F48" i="60406"/>
  <c r="N48" i="60406"/>
  <c r="G48" i="60406"/>
  <c r="O48" i="60406"/>
  <c r="H48" i="60406"/>
  <c r="Q48" i="60406"/>
  <c r="I48" i="60406"/>
  <c r="R48" i="60406"/>
  <c r="J48" i="60406"/>
  <c r="S48" i="60406"/>
  <c r="D48" i="60406"/>
  <c r="L48" i="60406"/>
  <c r="U48" i="60406"/>
  <c r="C48" i="60406"/>
  <c r="K48" i="60406"/>
  <c r="T48" i="60406"/>
  <c r="M25" i="60406"/>
  <c r="S25" i="60406"/>
  <c r="L25" i="60406"/>
  <c r="D25" i="60406"/>
  <c r="R25" i="60406"/>
  <c r="K25" i="60406"/>
  <c r="C25" i="60406"/>
  <c r="Q25" i="60406"/>
  <c r="U25" i="60406"/>
  <c r="O25" i="60406"/>
  <c r="G25" i="60406"/>
  <c r="H25" i="60406"/>
  <c r="E25" i="60406"/>
  <c r="N25" i="60406"/>
  <c r="I25" i="60406"/>
  <c r="T25" i="60406"/>
  <c r="F25" i="60406"/>
  <c r="J25" i="60406"/>
  <c r="R30" i="60406"/>
  <c r="T30" i="60406"/>
  <c r="Q30" i="60406"/>
  <c r="U30" i="60406"/>
  <c r="I30" i="60406"/>
  <c r="H30" i="60406"/>
  <c r="N30" i="60406"/>
  <c r="S30" i="60406"/>
  <c r="L30" i="60406"/>
  <c r="D30" i="60406"/>
  <c r="F30" i="60406"/>
  <c r="C30" i="60406"/>
  <c r="O30" i="60406"/>
  <c r="M30" i="60406"/>
  <c r="J30" i="60406"/>
  <c r="G30" i="60406"/>
  <c r="K30" i="60406"/>
  <c r="E30" i="60406"/>
  <c r="M33" i="60406"/>
  <c r="S33" i="60406"/>
  <c r="L33" i="60406"/>
  <c r="D33" i="60406"/>
  <c r="R33" i="60406"/>
  <c r="K33" i="60406"/>
  <c r="C33" i="60406"/>
  <c r="T33" i="60406"/>
  <c r="U33" i="60406"/>
  <c r="O33" i="60406"/>
  <c r="G33" i="60406"/>
  <c r="N33" i="60406"/>
  <c r="H33" i="60406"/>
  <c r="E33" i="60406"/>
  <c r="Q33" i="60406"/>
  <c r="I33" i="60406"/>
  <c r="F33" i="60406"/>
  <c r="J33" i="60406"/>
  <c r="M41" i="60406"/>
  <c r="E41" i="60406"/>
  <c r="L41" i="60406"/>
  <c r="D41" i="60406"/>
  <c r="K41" i="60406"/>
  <c r="C41" i="60406"/>
  <c r="J41" i="60406"/>
  <c r="U41" i="60406"/>
  <c r="T41" i="60406"/>
  <c r="I41" i="60406"/>
  <c r="H41" i="60406"/>
  <c r="S41" i="60406"/>
  <c r="N41" i="60406"/>
  <c r="F41" i="60406"/>
  <c r="Q41" i="60406"/>
  <c r="O41" i="60406"/>
  <c r="G41" i="60406"/>
  <c r="R41" i="60406"/>
  <c r="N42" i="60406"/>
  <c r="F42" i="60406"/>
  <c r="Q42" i="60406"/>
  <c r="M42" i="60406"/>
  <c r="E42" i="60406"/>
  <c r="L42" i="60406"/>
  <c r="D42" i="60406"/>
  <c r="K42" i="60406"/>
  <c r="C42" i="60406"/>
  <c r="J42" i="60406"/>
  <c r="U42" i="60406"/>
  <c r="T42" i="60406"/>
  <c r="O42" i="60406"/>
  <c r="G42" i="60406"/>
  <c r="R42" i="60406"/>
  <c r="H42" i="60406"/>
  <c r="S42" i="60406"/>
  <c r="I42" i="60406"/>
  <c r="J51" i="60406"/>
  <c r="S51" i="60406"/>
  <c r="C51" i="60406"/>
  <c r="K51" i="60406"/>
  <c r="T51" i="60406"/>
  <c r="D51" i="60406"/>
  <c r="L51" i="60406"/>
  <c r="U51" i="60406"/>
  <c r="E51" i="60406"/>
  <c r="M51" i="60406"/>
  <c r="F51" i="60406"/>
  <c r="N51" i="60406"/>
  <c r="G51" i="60406"/>
  <c r="O51" i="60406"/>
  <c r="I51" i="60406"/>
  <c r="R51" i="60406"/>
  <c r="Q51" i="60406"/>
  <c r="H51" i="60406"/>
  <c r="N26" i="60406"/>
  <c r="M26" i="60406"/>
  <c r="E26" i="60406"/>
  <c r="S26" i="60406"/>
  <c r="L26" i="60406"/>
  <c r="D26" i="60406"/>
  <c r="R26" i="60406"/>
  <c r="Q26" i="60406"/>
  <c r="T26" i="60406"/>
  <c r="H26" i="60406"/>
  <c r="J26" i="60406"/>
  <c r="G26" i="60406"/>
  <c r="O26" i="60406"/>
  <c r="K26" i="60406"/>
  <c r="I26" i="60406"/>
  <c r="U26" i="60406"/>
  <c r="F26" i="60406"/>
  <c r="C26" i="60406"/>
  <c r="L40" i="60406"/>
  <c r="D40" i="60406"/>
  <c r="K40" i="60406"/>
  <c r="C40" i="60406"/>
  <c r="J40" i="60406"/>
  <c r="U40" i="60406"/>
  <c r="T40" i="60406"/>
  <c r="I40" i="60406"/>
  <c r="H40" i="60406"/>
  <c r="S40" i="60406"/>
  <c r="O40" i="60406"/>
  <c r="G40" i="60406"/>
  <c r="R40" i="60406"/>
  <c r="M40" i="60406"/>
  <c r="E40" i="60406"/>
  <c r="N40" i="60406"/>
  <c r="F40" i="60406"/>
  <c r="Q40" i="60406"/>
  <c r="U28" i="60406"/>
  <c r="T28" i="60406"/>
  <c r="O28" i="60406"/>
  <c r="G28" i="60406"/>
  <c r="N28" i="60406"/>
  <c r="F28" i="60406"/>
  <c r="S28" i="60406"/>
  <c r="Q28" i="60406"/>
  <c r="J28" i="60406"/>
  <c r="R28" i="60406"/>
  <c r="M28" i="60406"/>
  <c r="C28" i="60406"/>
  <c r="L28" i="60406"/>
  <c r="D28" i="60406"/>
  <c r="K28" i="60406"/>
  <c r="H28" i="60406"/>
  <c r="E28" i="60406"/>
  <c r="I28" i="60406"/>
  <c r="K39" i="60406"/>
  <c r="C39" i="60406"/>
  <c r="J39" i="60406"/>
  <c r="U39" i="60406"/>
  <c r="T39" i="60406"/>
  <c r="I39" i="60406"/>
  <c r="H39" i="60406"/>
  <c r="S39" i="60406"/>
  <c r="O39" i="60406"/>
  <c r="G39" i="60406"/>
  <c r="R39" i="60406"/>
  <c r="N39" i="60406"/>
  <c r="F39" i="60406"/>
  <c r="Q39" i="60406"/>
  <c r="L39" i="60406"/>
  <c r="D39" i="60406"/>
  <c r="M39" i="60406"/>
  <c r="E39" i="60406"/>
  <c r="N253" i="60420"/>
  <c r="G265" i="60420"/>
  <c r="N12" i="60406"/>
  <c r="S12" i="60406"/>
  <c r="F265" i="60406"/>
  <c r="S12" i="60420"/>
  <c r="F265" i="60420"/>
  <c r="G265" i="60406"/>
  <c r="M12" i="60420"/>
  <c r="N58" i="60420"/>
  <c r="A70" i="60406"/>
  <c r="B70" i="60406" s="1"/>
  <c r="A22" i="60406"/>
  <c r="B22" i="60406" s="1"/>
  <c r="L70" i="60406" l="1"/>
  <c r="D70" i="60406"/>
  <c r="J70" i="60406"/>
  <c r="K70" i="60406"/>
  <c r="C70" i="60406"/>
  <c r="I70" i="60406"/>
  <c r="H70" i="60406"/>
  <c r="G70" i="60406"/>
  <c r="M70" i="60406"/>
  <c r="E70" i="60406"/>
  <c r="N70" i="60406"/>
  <c r="F70" i="60406"/>
  <c r="D22" i="60406"/>
  <c r="L22" i="60406"/>
  <c r="U22" i="60406"/>
  <c r="T22" i="60406"/>
  <c r="E22" i="60406"/>
  <c r="M22" i="60406"/>
  <c r="C22" i="60406"/>
  <c r="F22" i="60406"/>
  <c r="N22" i="60406"/>
  <c r="J22" i="60406"/>
  <c r="G22" i="60406"/>
  <c r="O22" i="60406"/>
  <c r="H22" i="60406"/>
  <c r="Q22" i="60406"/>
  <c r="K22" i="60406"/>
  <c r="I22" i="60406"/>
  <c r="R22" i="60406"/>
  <c r="S22" i="60406"/>
  <c r="O70" i="60406"/>
  <c r="N123" i="60420"/>
  <c r="N256" i="60420" s="1"/>
  <c r="N45" i="60420"/>
  <c r="A96" i="60420"/>
  <c r="B96" i="60420" s="1"/>
  <c r="A111" i="60420"/>
  <c r="B111" i="60420" s="1"/>
  <c r="O58" i="60420"/>
  <c r="S58" i="60420"/>
  <c r="C269" i="60406"/>
  <c r="A18" i="60406"/>
  <c r="B18" i="60406" s="1"/>
  <c r="A19" i="60406"/>
  <c r="B19" i="60406" s="1"/>
  <c r="A67" i="60406"/>
  <c r="B67" i="60406" s="1"/>
  <c r="N253" i="60406"/>
  <c r="M12" i="60406"/>
  <c r="E265" i="60420"/>
  <c r="R12" i="60420"/>
  <c r="E265" i="60406"/>
  <c r="R12" i="60406"/>
  <c r="L12" i="60420"/>
  <c r="M253" i="60420"/>
  <c r="A55" i="60420"/>
  <c r="B55" i="60420" s="1"/>
  <c r="A20" i="60406"/>
  <c r="B20" i="60406" s="1"/>
  <c r="A21" i="60406"/>
  <c r="B21" i="60406" s="1"/>
  <c r="A70" i="60420"/>
  <c r="B70" i="60420" s="1"/>
  <c r="A100" i="60420"/>
  <c r="B100" i="60420" s="1"/>
  <c r="A22" i="60420"/>
  <c r="B22" i="60420" s="1"/>
  <c r="A16" i="60406"/>
  <c r="B16" i="60406" s="1"/>
  <c r="A133" i="60420"/>
  <c r="B133" i="60420" s="1"/>
  <c r="M59" i="60420"/>
  <c r="A65" i="60406"/>
  <c r="B65" i="60406" s="1"/>
  <c r="O59" i="60420"/>
  <c r="T58" i="60420"/>
  <c r="A14" i="60406"/>
  <c r="B14" i="60406" s="1"/>
  <c r="A69" i="60406"/>
  <c r="B69" i="60406" s="1"/>
  <c r="T59" i="60420"/>
  <c r="R59" i="60420"/>
  <c r="M58" i="60420"/>
  <c r="A68" i="60406"/>
  <c r="B68" i="60406" s="1"/>
  <c r="A17" i="60406"/>
  <c r="B17" i="60406" s="1"/>
  <c r="S59" i="60420"/>
  <c r="R58" i="60420"/>
  <c r="A103" i="60420"/>
  <c r="B103" i="60420" s="1"/>
  <c r="N59" i="60420"/>
  <c r="N60" i="60420" s="1"/>
  <c r="A105" i="60420"/>
  <c r="B105" i="60420" s="1"/>
  <c r="U58" i="60420"/>
  <c r="A62" i="60406"/>
  <c r="B62" i="60406" s="1"/>
  <c r="A15" i="60406"/>
  <c r="B15" i="60406" s="1"/>
  <c r="A63" i="60406"/>
  <c r="B63" i="60406" s="1"/>
  <c r="U59" i="60420"/>
  <c r="A66" i="60406"/>
  <c r="B66" i="60406" s="1"/>
  <c r="A18" i="60420"/>
  <c r="B18" i="60420" s="1"/>
  <c r="A64" i="60406"/>
  <c r="B64" i="60406" s="1"/>
  <c r="T100" i="60420" l="1"/>
  <c r="R100" i="60420"/>
  <c r="O100" i="60420"/>
  <c r="M100" i="60420"/>
  <c r="K100" i="60420"/>
  <c r="I100" i="60420"/>
  <c r="G100" i="60420"/>
  <c r="E100" i="60420"/>
  <c r="C100" i="60420"/>
  <c r="U100" i="60420"/>
  <c r="S100" i="60420"/>
  <c r="Q100" i="60420"/>
  <c r="N100" i="60420"/>
  <c r="L100" i="60420"/>
  <c r="J100" i="60420"/>
  <c r="H100" i="60420"/>
  <c r="F100" i="60420"/>
  <c r="D100" i="60420"/>
  <c r="U55" i="60420"/>
  <c r="S55" i="60420"/>
  <c r="Q55" i="60420"/>
  <c r="N55" i="60420"/>
  <c r="L55" i="60420"/>
  <c r="J55" i="60420"/>
  <c r="H55" i="60420"/>
  <c r="F55" i="60420"/>
  <c r="D55" i="60420"/>
  <c r="T55" i="60420"/>
  <c r="R55" i="60420"/>
  <c r="O55" i="60420"/>
  <c r="M55" i="60420"/>
  <c r="K55" i="60420"/>
  <c r="I55" i="60420"/>
  <c r="G55" i="60420"/>
  <c r="E55" i="60420"/>
  <c r="C55" i="60420"/>
  <c r="T96" i="60420"/>
  <c r="R96" i="60420"/>
  <c r="O96" i="60420"/>
  <c r="M96" i="60420"/>
  <c r="K96" i="60420"/>
  <c r="I96" i="60420"/>
  <c r="G96" i="60420"/>
  <c r="E96" i="60420"/>
  <c r="C96" i="60420"/>
  <c r="U96" i="60420"/>
  <c r="S96" i="60420"/>
  <c r="Q96" i="60420"/>
  <c r="N96" i="60420"/>
  <c r="L96" i="60420"/>
  <c r="J96" i="60420"/>
  <c r="H96" i="60420"/>
  <c r="F96" i="60420"/>
  <c r="D96" i="60420"/>
  <c r="S105" i="60420"/>
  <c r="Q105" i="60420"/>
  <c r="N105" i="60420"/>
  <c r="L105" i="60420"/>
  <c r="J105" i="60420"/>
  <c r="H105" i="60420"/>
  <c r="R105" i="60420"/>
  <c r="M105" i="60420"/>
  <c r="I105" i="60420"/>
  <c r="F105" i="60420"/>
  <c r="D105" i="60420"/>
  <c r="U105" i="60420"/>
  <c r="T105" i="60420"/>
  <c r="O105" i="60420"/>
  <c r="K105" i="60420"/>
  <c r="G105" i="60420"/>
  <c r="E105" i="60420"/>
  <c r="C105" i="60420"/>
  <c r="S103" i="60420"/>
  <c r="Q103" i="60420"/>
  <c r="N103" i="60420"/>
  <c r="L103" i="60420"/>
  <c r="J103" i="60420"/>
  <c r="H103" i="60420"/>
  <c r="U103" i="60420"/>
  <c r="T103" i="60420"/>
  <c r="O103" i="60420"/>
  <c r="K103" i="60420"/>
  <c r="G103" i="60420"/>
  <c r="F103" i="60420"/>
  <c r="D103" i="60420"/>
  <c r="R103" i="60420"/>
  <c r="M103" i="60420"/>
  <c r="I103" i="60420"/>
  <c r="E103" i="60420"/>
  <c r="C103" i="60420"/>
  <c r="U133" i="60420"/>
  <c r="S133" i="60420"/>
  <c r="Q133" i="60420"/>
  <c r="N133" i="60420"/>
  <c r="L133" i="60420"/>
  <c r="J133" i="60420"/>
  <c r="H133" i="60420"/>
  <c r="F133" i="60420"/>
  <c r="D133" i="60420"/>
  <c r="T133" i="60420"/>
  <c r="O133" i="60420"/>
  <c r="K133" i="60420"/>
  <c r="G133" i="60420"/>
  <c r="C133" i="60420"/>
  <c r="R133" i="60420"/>
  <c r="M133" i="60420"/>
  <c r="I133" i="60420"/>
  <c r="E133" i="60420"/>
  <c r="O70" i="60420"/>
  <c r="M70" i="60420"/>
  <c r="K70" i="60420"/>
  <c r="I70" i="60420"/>
  <c r="G70" i="60420"/>
  <c r="E70" i="60420"/>
  <c r="C70" i="60420"/>
  <c r="N70" i="60420"/>
  <c r="L70" i="60420"/>
  <c r="J70" i="60420"/>
  <c r="H70" i="60420"/>
  <c r="F70" i="60420"/>
  <c r="D70" i="60420"/>
  <c r="S111" i="60420"/>
  <c r="Q111" i="60420"/>
  <c r="N111" i="60420"/>
  <c r="L111" i="60420"/>
  <c r="J111" i="60420"/>
  <c r="H111" i="60420"/>
  <c r="U111" i="60420"/>
  <c r="T111" i="60420"/>
  <c r="O111" i="60420"/>
  <c r="K111" i="60420"/>
  <c r="F111" i="60420"/>
  <c r="D111" i="60420"/>
  <c r="R111" i="60420"/>
  <c r="M111" i="60420"/>
  <c r="I111" i="60420"/>
  <c r="G111" i="60420"/>
  <c r="E111" i="60420"/>
  <c r="C111" i="60420"/>
  <c r="U22" i="60420"/>
  <c r="L22" i="60420"/>
  <c r="D22" i="60420"/>
  <c r="T22" i="60420"/>
  <c r="K22" i="60420"/>
  <c r="C22" i="60420"/>
  <c r="M22" i="60420"/>
  <c r="E22" i="60420"/>
  <c r="S22" i="60420"/>
  <c r="J22" i="60420"/>
  <c r="R22" i="60420"/>
  <c r="I22" i="60420"/>
  <c r="Q22" i="60420"/>
  <c r="H22" i="60420"/>
  <c r="O22" i="60420"/>
  <c r="G22" i="60420"/>
  <c r="N22" i="60420"/>
  <c r="F22" i="60420"/>
  <c r="Q18" i="60420"/>
  <c r="H18" i="60420"/>
  <c r="O18" i="60420"/>
  <c r="G18" i="60420"/>
  <c r="N18" i="60420"/>
  <c r="F18" i="60420"/>
  <c r="M18" i="60420"/>
  <c r="E18" i="60420"/>
  <c r="U18" i="60420"/>
  <c r="L18" i="60420"/>
  <c r="D18" i="60420"/>
  <c r="T18" i="60420"/>
  <c r="K18" i="60420"/>
  <c r="C18" i="60420"/>
  <c r="I18" i="60420"/>
  <c r="S18" i="60420"/>
  <c r="J18" i="60420"/>
  <c r="R18" i="60420"/>
  <c r="N64" i="60406"/>
  <c r="F64" i="60406"/>
  <c r="C64" i="60406"/>
  <c r="M64" i="60406"/>
  <c r="E64" i="60406"/>
  <c r="L64" i="60406"/>
  <c r="D64" i="60406"/>
  <c r="J64" i="60406"/>
  <c r="I64" i="60406"/>
  <c r="K64" i="60406"/>
  <c r="H64" i="60406"/>
  <c r="G64" i="60406"/>
  <c r="K69" i="60406"/>
  <c r="C69" i="60406"/>
  <c r="J69" i="60406"/>
  <c r="I69" i="60406"/>
  <c r="G69" i="60406"/>
  <c r="N69" i="60406"/>
  <c r="F69" i="60406"/>
  <c r="L69" i="60406"/>
  <c r="D69" i="60406"/>
  <c r="H69" i="60406"/>
  <c r="M69" i="60406"/>
  <c r="E69" i="60406"/>
  <c r="I67" i="60406"/>
  <c r="G67" i="60406"/>
  <c r="H67" i="60406"/>
  <c r="N67" i="60406"/>
  <c r="M67" i="60406"/>
  <c r="E67" i="60406"/>
  <c r="L67" i="60406"/>
  <c r="D67" i="60406"/>
  <c r="J67" i="60406"/>
  <c r="K67" i="60406"/>
  <c r="C67" i="60406"/>
  <c r="F67" i="60406"/>
  <c r="L62" i="60406"/>
  <c r="D62" i="60406"/>
  <c r="I62" i="60406"/>
  <c r="K62" i="60406"/>
  <c r="C62" i="60406"/>
  <c r="J62" i="60406"/>
  <c r="H62" i="60406"/>
  <c r="G62" i="60406"/>
  <c r="N62" i="60406"/>
  <c r="F62" i="60406"/>
  <c r="M62" i="60406"/>
  <c r="E62" i="60406"/>
  <c r="J68" i="60406"/>
  <c r="G68" i="60406"/>
  <c r="I68" i="60406"/>
  <c r="H68" i="60406"/>
  <c r="N68" i="60406"/>
  <c r="F68" i="60406"/>
  <c r="M68" i="60406"/>
  <c r="E68" i="60406"/>
  <c r="L68" i="60406"/>
  <c r="D68" i="60406"/>
  <c r="K68" i="60406"/>
  <c r="C68" i="60406"/>
  <c r="H66" i="60406"/>
  <c r="M66" i="60406"/>
  <c r="G66" i="60406"/>
  <c r="N66" i="60406"/>
  <c r="F66" i="60406"/>
  <c r="E66" i="60406"/>
  <c r="L66" i="60406"/>
  <c r="D66" i="60406"/>
  <c r="K66" i="60406"/>
  <c r="C66" i="60406"/>
  <c r="J66" i="60406"/>
  <c r="I66" i="60406"/>
  <c r="G65" i="60406"/>
  <c r="M65" i="60406"/>
  <c r="E65" i="60406"/>
  <c r="N65" i="60406"/>
  <c r="F65" i="60406"/>
  <c r="L65" i="60406"/>
  <c r="K65" i="60406"/>
  <c r="C65" i="60406"/>
  <c r="J65" i="60406"/>
  <c r="H65" i="60406"/>
  <c r="D65" i="60406"/>
  <c r="I65" i="60406"/>
  <c r="M63" i="60406"/>
  <c r="E63" i="60406"/>
  <c r="K63" i="60406"/>
  <c r="C63" i="60406"/>
  <c r="L63" i="60406"/>
  <c r="D63" i="60406"/>
  <c r="I63" i="60406"/>
  <c r="H63" i="60406"/>
  <c r="N63" i="60406"/>
  <c r="F63" i="60406"/>
  <c r="G63" i="60406"/>
  <c r="J63" i="60406"/>
  <c r="I17" i="60406"/>
  <c r="R17" i="60406"/>
  <c r="J17" i="60406"/>
  <c r="S17" i="60406"/>
  <c r="O17" i="60406"/>
  <c r="H17" i="60406"/>
  <c r="Q17" i="60406"/>
  <c r="C17" i="60406"/>
  <c r="K17" i="60406"/>
  <c r="T17" i="60406"/>
  <c r="D17" i="60406"/>
  <c r="L17" i="60406"/>
  <c r="U17" i="60406"/>
  <c r="G17" i="60406"/>
  <c r="E17" i="60406"/>
  <c r="M17" i="60406"/>
  <c r="F17" i="60406"/>
  <c r="N17" i="60406"/>
  <c r="J16" i="60406"/>
  <c r="S16" i="60406"/>
  <c r="H16" i="60406"/>
  <c r="I16" i="60406"/>
  <c r="C16" i="60406"/>
  <c r="K16" i="60406"/>
  <c r="T16" i="60406"/>
  <c r="D16" i="60406"/>
  <c r="L16" i="60406"/>
  <c r="U16" i="60406"/>
  <c r="Q16" i="60406"/>
  <c r="E16" i="60406"/>
  <c r="M16" i="60406"/>
  <c r="F16" i="60406"/>
  <c r="N16" i="60406"/>
  <c r="R16" i="60406"/>
  <c r="G16" i="60406"/>
  <c r="O16" i="60406"/>
  <c r="D14" i="60406"/>
  <c r="L14" i="60406"/>
  <c r="U14" i="60406"/>
  <c r="S14" i="60406"/>
  <c r="E14" i="60406"/>
  <c r="M14" i="60406"/>
  <c r="J14" i="60406"/>
  <c r="F14" i="60406"/>
  <c r="N14" i="60406"/>
  <c r="G14" i="60406"/>
  <c r="O14" i="60406"/>
  <c r="H14" i="60406"/>
  <c r="Q14" i="60406"/>
  <c r="I14" i="60406"/>
  <c r="R14" i="60406"/>
  <c r="C14" i="60406"/>
  <c r="K14" i="60406"/>
  <c r="T14" i="60406"/>
  <c r="G19" i="60406"/>
  <c r="O19" i="60406"/>
  <c r="N19" i="60406"/>
  <c r="H19" i="60406"/>
  <c r="Q19" i="60406"/>
  <c r="E19" i="60406"/>
  <c r="I19" i="60406"/>
  <c r="R19" i="60406"/>
  <c r="J19" i="60406"/>
  <c r="S19" i="60406"/>
  <c r="M19" i="60406"/>
  <c r="C19" i="60406"/>
  <c r="K19" i="60406"/>
  <c r="T19" i="60406"/>
  <c r="F19" i="60406"/>
  <c r="D19" i="60406"/>
  <c r="L19" i="60406"/>
  <c r="U19" i="60406"/>
  <c r="H18" i="60406"/>
  <c r="Q18" i="60406"/>
  <c r="I18" i="60406"/>
  <c r="R18" i="60406"/>
  <c r="J18" i="60406"/>
  <c r="S18" i="60406"/>
  <c r="O18" i="60406"/>
  <c r="C18" i="60406"/>
  <c r="K18" i="60406"/>
  <c r="T18" i="60406"/>
  <c r="D18" i="60406"/>
  <c r="L18" i="60406"/>
  <c r="U18" i="60406"/>
  <c r="F18" i="60406"/>
  <c r="E18" i="60406"/>
  <c r="M18" i="60406"/>
  <c r="N18" i="60406"/>
  <c r="G18" i="60406"/>
  <c r="E21" i="60406"/>
  <c r="M21" i="60406"/>
  <c r="C21" i="60406"/>
  <c r="D21" i="60406"/>
  <c r="F21" i="60406"/>
  <c r="N21" i="60406"/>
  <c r="L21" i="60406"/>
  <c r="U21" i="60406"/>
  <c r="G21" i="60406"/>
  <c r="O21" i="60406"/>
  <c r="H21" i="60406"/>
  <c r="Q21" i="60406"/>
  <c r="T21" i="60406"/>
  <c r="I21" i="60406"/>
  <c r="R21" i="60406"/>
  <c r="K21" i="60406"/>
  <c r="J21" i="60406"/>
  <c r="S21" i="60406"/>
  <c r="F20" i="60406"/>
  <c r="N20" i="60406"/>
  <c r="L20" i="60406"/>
  <c r="G20" i="60406"/>
  <c r="O20" i="60406"/>
  <c r="H20" i="60406"/>
  <c r="Q20" i="60406"/>
  <c r="E20" i="60406"/>
  <c r="I20" i="60406"/>
  <c r="R20" i="60406"/>
  <c r="M20" i="60406"/>
  <c r="J20" i="60406"/>
  <c r="S20" i="60406"/>
  <c r="U20" i="60406"/>
  <c r="C20" i="60406"/>
  <c r="K20" i="60406"/>
  <c r="T20" i="60406"/>
  <c r="D20" i="60406"/>
  <c r="C15" i="60406"/>
  <c r="K15" i="60406"/>
  <c r="T15" i="60406"/>
  <c r="D15" i="60406"/>
  <c r="L15" i="60406"/>
  <c r="U15" i="60406"/>
  <c r="R15" i="60406"/>
  <c r="E15" i="60406"/>
  <c r="M15" i="60406"/>
  <c r="J15" i="60406"/>
  <c r="F15" i="60406"/>
  <c r="N15" i="60406"/>
  <c r="S15" i="60406"/>
  <c r="G15" i="60406"/>
  <c r="O15" i="60406"/>
  <c r="H15" i="60406"/>
  <c r="Q15" i="60406"/>
  <c r="I15" i="60406"/>
  <c r="O64" i="60406"/>
  <c r="O67" i="60406"/>
  <c r="O69" i="60406"/>
  <c r="O63" i="60406"/>
  <c r="O68" i="60406"/>
  <c r="O66" i="60406"/>
  <c r="O62" i="60406"/>
  <c r="O65" i="60406"/>
  <c r="M123" i="60420"/>
  <c r="O143" i="60420"/>
  <c r="S143" i="60420"/>
  <c r="M45" i="60420"/>
  <c r="N75" i="60420" s="1"/>
  <c r="T143" i="60420"/>
  <c r="S60" i="60420"/>
  <c r="O60" i="60420"/>
  <c r="L59" i="60420"/>
  <c r="A51" i="60420"/>
  <c r="B51" i="60420" s="1"/>
  <c r="A129" i="60420"/>
  <c r="B129" i="60420" s="1"/>
  <c r="A66" i="60420"/>
  <c r="B66" i="60420" s="1"/>
  <c r="A107" i="60420"/>
  <c r="B107" i="60420" s="1"/>
  <c r="U60" i="60420"/>
  <c r="A131" i="60420"/>
  <c r="B131" i="60420" s="1"/>
  <c r="A53" i="60420"/>
  <c r="B53" i="60420" s="1"/>
  <c r="A20" i="60420"/>
  <c r="B20" i="60420" s="1"/>
  <c r="M253" i="60406"/>
  <c r="L12" i="60406"/>
  <c r="Q12" i="60420"/>
  <c r="D265" i="60420"/>
  <c r="L253" i="60420"/>
  <c r="K12" i="60420"/>
  <c r="L58" i="60420"/>
  <c r="Q12" i="60406"/>
  <c r="D265" i="60406"/>
  <c r="U143" i="60420"/>
  <c r="A102" i="60420"/>
  <c r="B102" i="60420" s="1"/>
  <c r="M60" i="60420"/>
  <c r="A124" i="60420"/>
  <c r="B124" i="60420" s="1"/>
  <c r="T60" i="60420"/>
  <c r="A61" i="60420"/>
  <c r="B61" i="60420" s="1"/>
  <c r="A98" i="60420"/>
  <c r="B98" i="60420" s="1"/>
  <c r="A68" i="60420"/>
  <c r="B68" i="60420" s="1"/>
  <c r="M143" i="60420"/>
  <c r="A109" i="60420"/>
  <c r="B109" i="60420" s="1"/>
  <c r="R143" i="60420"/>
  <c r="R60" i="60420"/>
  <c r="A62" i="60420"/>
  <c r="B62" i="60420" s="1"/>
  <c r="A14" i="60420"/>
  <c r="B14" i="60420" s="1"/>
  <c r="A92" i="60420"/>
  <c r="B92" i="60420" s="1"/>
  <c r="N143" i="60420"/>
  <c r="A47" i="60420"/>
  <c r="B47" i="60420" s="1"/>
  <c r="A16" i="60420"/>
  <c r="B16" i="60420" s="1"/>
  <c r="A125" i="60420"/>
  <c r="B125" i="60420" s="1"/>
  <c r="A127" i="60420"/>
  <c r="B127" i="60420" s="1"/>
  <c r="A64" i="60420"/>
  <c r="B64" i="60420" s="1"/>
  <c r="A94" i="60420"/>
  <c r="B94" i="60420" s="1"/>
  <c r="A49" i="60420"/>
  <c r="B49" i="60420" s="1"/>
  <c r="A99" i="60420"/>
  <c r="B99" i="60420" s="1"/>
  <c r="A54" i="60420"/>
  <c r="B54" i="60420" s="1"/>
  <c r="A132" i="60420"/>
  <c r="B132" i="60420" s="1"/>
  <c r="A21" i="60420"/>
  <c r="B21" i="60420" s="1"/>
  <c r="A69" i="60420"/>
  <c r="B69" i="60420" s="1"/>
  <c r="A110" i="60420"/>
  <c r="B110" i="60420" s="1"/>
  <c r="A128" i="60420"/>
  <c r="B128" i="60420" s="1"/>
  <c r="A95" i="60420"/>
  <c r="B95" i="60420" s="1"/>
  <c r="A17" i="60420"/>
  <c r="B17" i="60420" s="1"/>
  <c r="A50" i="60420"/>
  <c r="B50" i="60420" s="1"/>
  <c r="A106" i="60420"/>
  <c r="B106" i="60420" s="1"/>
  <c r="A65" i="60420"/>
  <c r="B65" i="60420" s="1"/>
  <c r="A46" i="60420"/>
  <c r="B46" i="60420" s="1"/>
  <c r="A91" i="60420"/>
  <c r="B91" i="60420" s="1"/>
  <c r="A13" i="60420"/>
  <c r="B13" i="60420" s="1"/>
  <c r="A93" i="60420"/>
  <c r="B93" i="60420" s="1"/>
  <c r="A48" i="60420"/>
  <c r="B48" i="60420" s="1"/>
  <c r="A104" i="60420"/>
  <c r="B104" i="60420" s="1"/>
  <c r="A15" i="60420"/>
  <c r="B15" i="60420" s="1"/>
  <c r="A126" i="60420"/>
  <c r="B126" i="60420" s="1"/>
  <c r="A63" i="60420"/>
  <c r="B63" i="60420" s="1"/>
  <c r="A108" i="60420"/>
  <c r="B108" i="60420" s="1"/>
  <c r="A130" i="60420"/>
  <c r="B130" i="60420" s="1"/>
  <c r="A52" i="60420"/>
  <c r="B52" i="60420" s="1"/>
  <c r="A19" i="60420"/>
  <c r="B19" i="60420" s="1"/>
  <c r="A97" i="60420"/>
  <c r="B97" i="60420" s="1"/>
  <c r="A67" i="60420"/>
  <c r="B67" i="60420" s="1"/>
  <c r="U97" i="60420" l="1"/>
  <c r="S97" i="60420"/>
  <c r="Q97" i="60420"/>
  <c r="N97" i="60420"/>
  <c r="L97" i="60420"/>
  <c r="J97" i="60420"/>
  <c r="H97" i="60420"/>
  <c r="F97" i="60420"/>
  <c r="D97" i="60420"/>
  <c r="T97" i="60420"/>
  <c r="R97" i="60420"/>
  <c r="O97" i="60420"/>
  <c r="M97" i="60420"/>
  <c r="K97" i="60420"/>
  <c r="I97" i="60420"/>
  <c r="G97" i="60420"/>
  <c r="E97" i="60420"/>
  <c r="C97" i="60420"/>
  <c r="O67" i="60420"/>
  <c r="N67" i="60420"/>
  <c r="L67" i="60420"/>
  <c r="J67" i="60420"/>
  <c r="H67" i="60420"/>
  <c r="F67" i="60420"/>
  <c r="D67" i="60420"/>
  <c r="M67" i="60420"/>
  <c r="K67" i="60420"/>
  <c r="I67" i="60420"/>
  <c r="G67" i="60420"/>
  <c r="E67" i="60420"/>
  <c r="C67" i="60420"/>
  <c r="T130" i="60420"/>
  <c r="R130" i="60420"/>
  <c r="O130" i="60420"/>
  <c r="M130" i="60420"/>
  <c r="K130" i="60420"/>
  <c r="I130" i="60420"/>
  <c r="G130" i="60420"/>
  <c r="E130" i="60420"/>
  <c r="C130" i="60420"/>
  <c r="U130" i="60420"/>
  <c r="Q130" i="60420"/>
  <c r="L130" i="60420"/>
  <c r="H130" i="60420"/>
  <c r="D130" i="60420"/>
  <c r="S130" i="60420"/>
  <c r="N130" i="60420"/>
  <c r="J130" i="60420"/>
  <c r="F130" i="60420"/>
  <c r="O63" i="60420"/>
  <c r="N63" i="60420"/>
  <c r="L63" i="60420"/>
  <c r="J63" i="60420"/>
  <c r="H63" i="60420"/>
  <c r="F63" i="60420"/>
  <c r="D63" i="60420"/>
  <c r="M63" i="60420"/>
  <c r="K63" i="60420"/>
  <c r="I63" i="60420"/>
  <c r="G63" i="60420"/>
  <c r="E63" i="60420"/>
  <c r="C63" i="60420"/>
  <c r="T48" i="60420"/>
  <c r="R48" i="60420"/>
  <c r="O48" i="60420"/>
  <c r="M48" i="60420"/>
  <c r="K48" i="60420"/>
  <c r="I48" i="60420"/>
  <c r="G48" i="60420"/>
  <c r="E48" i="60420"/>
  <c r="C48" i="60420"/>
  <c r="U48" i="60420"/>
  <c r="S48" i="60420"/>
  <c r="Q48" i="60420"/>
  <c r="N48" i="60420"/>
  <c r="L48" i="60420"/>
  <c r="J48" i="60420"/>
  <c r="H48" i="60420"/>
  <c r="F48" i="60420"/>
  <c r="D48" i="60420"/>
  <c r="U46" i="60420"/>
  <c r="S46" i="60420"/>
  <c r="Q46" i="60420"/>
  <c r="N46" i="60420"/>
  <c r="L46" i="60420"/>
  <c r="J46" i="60420"/>
  <c r="H46" i="60420"/>
  <c r="F46" i="60420"/>
  <c r="D46" i="60420"/>
  <c r="T46" i="60420"/>
  <c r="R46" i="60420"/>
  <c r="O46" i="60420"/>
  <c r="M46" i="60420"/>
  <c r="K46" i="60420"/>
  <c r="I46" i="60420"/>
  <c r="G46" i="60420"/>
  <c r="E46" i="60420"/>
  <c r="C46" i="60420"/>
  <c r="U106" i="60420"/>
  <c r="T106" i="60420"/>
  <c r="R106" i="60420"/>
  <c r="O106" i="60420"/>
  <c r="M106" i="60420"/>
  <c r="K106" i="60420"/>
  <c r="I106" i="60420"/>
  <c r="S106" i="60420"/>
  <c r="N106" i="60420"/>
  <c r="J106" i="60420"/>
  <c r="G106" i="60420"/>
  <c r="E106" i="60420"/>
  <c r="C106" i="60420"/>
  <c r="Q106" i="60420"/>
  <c r="L106" i="60420"/>
  <c r="H106" i="60420"/>
  <c r="F106" i="60420"/>
  <c r="D106" i="60420"/>
  <c r="T128" i="60420"/>
  <c r="R128" i="60420"/>
  <c r="O128" i="60420"/>
  <c r="M128" i="60420"/>
  <c r="K128" i="60420"/>
  <c r="I128" i="60420"/>
  <c r="G128" i="60420"/>
  <c r="E128" i="60420"/>
  <c r="C128" i="60420"/>
  <c r="S128" i="60420"/>
  <c r="N128" i="60420"/>
  <c r="J128" i="60420"/>
  <c r="F128" i="60420"/>
  <c r="U128" i="60420"/>
  <c r="Q128" i="60420"/>
  <c r="L128" i="60420"/>
  <c r="H128" i="60420"/>
  <c r="D128" i="60420"/>
  <c r="N69" i="60420"/>
  <c r="L69" i="60420"/>
  <c r="J69" i="60420"/>
  <c r="H69" i="60420"/>
  <c r="F69" i="60420"/>
  <c r="D69" i="60420"/>
  <c r="O69" i="60420"/>
  <c r="M69" i="60420"/>
  <c r="K69" i="60420"/>
  <c r="I69" i="60420"/>
  <c r="G69" i="60420"/>
  <c r="E69" i="60420"/>
  <c r="C69" i="60420"/>
  <c r="T132" i="60420"/>
  <c r="R132" i="60420"/>
  <c r="O132" i="60420"/>
  <c r="M132" i="60420"/>
  <c r="K132" i="60420"/>
  <c r="I132" i="60420"/>
  <c r="G132" i="60420"/>
  <c r="E132" i="60420"/>
  <c r="C132" i="60420"/>
  <c r="S132" i="60420"/>
  <c r="N132" i="60420"/>
  <c r="J132" i="60420"/>
  <c r="F132" i="60420"/>
  <c r="U132" i="60420"/>
  <c r="Q132" i="60420"/>
  <c r="L132" i="60420"/>
  <c r="H132" i="60420"/>
  <c r="D132" i="60420"/>
  <c r="U99" i="60420"/>
  <c r="S99" i="60420"/>
  <c r="Q99" i="60420"/>
  <c r="N99" i="60420"/>
  <c r="L99" i="60420"/>
  <c r="J99" i="60420"/>
  <c r="H99" i="60420"/>
  <c r="F99" i="60420"/>
  <c r="D99" i="60420"/>
  <c r="T99" i="60420"/>
  <c r="R99" i="60420"/>
  <c r="O99" i="60420"/>
  <c r="M99" i="60420"/>
  <c r="K99" i="60420"/>
  <c r="I99" i="60420"/>
  <c r="G99" i="60420"/>
  <c r="E99" i="60420"/>
  <c r="C99" i="60420"/>
  <c r="T94" i="60420"/>
  <c r="R94" i="60420"/>
  <c r="O94" i="60420"/>
  <c r="M94" i="60420"/>
  <c r="K94" i="60420"/>
  <c r="I94" i="60420"/>
  <c r="G94" i="60420"/>
  <c r="E94" i="60420"/>
  <c r="C94" i="60420"/>
  <c r="U94" i="60420"/>
  <c r="S94" i="60420"/>
  <c r="Q94" i="60420"/>
  <c r="N94" i="60420"/>
  <c r="L94" i="60420"/>
  <c r="J94" i="60420"/>
  <c r="H94" i="60420"/>
  <c r="F94" i="60420"/>
  <c r="D94" i="60420"/>
  <c r="U127" i="60420"/>
  <c r="S127" i="60420"/>
  <c r="Q127" i="60420"/>
  <c r="N127" i="60420"/>
  <c r="L127" i="60420"/>
  <c r="J127" i="60420"/>
  <c r="H127" i="60420"/>
  <c r="F127" i="60420"/>
  <c r="D127" i="60420"/>
  <c r="R127" i="60420"/>
  <c r="M127" i="60420"/>
  <c r="I127" i="60420"/>
  <c r="E127" i="60420"/>
  <c r="T127" i="60420"/>
  <c r="O127" i="60420"/>
  <c r="K127" i="60420"/>
  <c r="G127" i="60420"/>
  <c r="C127" i="60420"/>
  <c r="S109" i="60420"/>
  <c r="Q109" i="60420"/>
  <c r="N109" i="60420"/>
  <c r="L109" i="60420"/>
  <c r="J109" i="60420"/>
  <c r="H109" i="60420"/>
  <c r="R109" i="60420"/>
  <c r="M109" i="60420"/>
  <c r="I109" i="60420"/>
  <c r="F109" i="60420"/>
  <c r="D109" i="60420"/>
  <c r="U109" i="60420"/>
  <c r="T109" i="60420"/>
  <c r="O109" i="60420"/>
  <c r="K109" i="60420"/>
  <c r="G109" i="60420"/>
  <c r="E109" i="60420"/>
  <c r="C109" i="60420"/>
  <c r="O68" i="60420"/>
  <c r="M68" i="60420"/>
  <c r="K68" i="60420"/>
  <c r="I68" i="60420"/>
  <c r="G68" i="60420"/>
  <c r="E68" i="60420"/>
  <c r="C68" i="60420"/>
  <c r="N68" i="60420"/>
  <c r="L68" i="60420"/>
  <c r="J68" i="60420"/>
  <c r="H68" i="60420"/>
  <c r="F68" i="60420"/>
  <c r="D68" i="60420"/>
  <c r="N61" i="60420"/>
  <c r="L61" i="60420"/>
  <c r="J61" i="60420"/>
  <c r="H61" i="60420"/>
  <c r="F61" i="60420"/>
  <c r="D61" i="60420"/>
  <c r="O61" i="60420"/>
  <c r="M61" i="60420"/>
  <c r="K61" i="60420"/>
  <c r="I61" i="60420"/>
  <c r="G61" i="60420"/>
  <c r="E61" i="60420"/>
  <c r="C61" i="60420"/>
  <c r="U124" i="60420"/>
  <c r="S124" i="60420"/>
  <c r="Q124" i="60420"/>
  <c r="N124" i="60420"/>
  <c r="L124" i="60420"/>
  <c r="J124" i="60420"/>
  <c r="H124" i="60420"/>
  <c r="F124" i="60420"/>
  <c r="D124" i="60420"/>
  <c r="R124" i="60420"/>
  <c r="M124" i="60420"/>
  <c r="I124" i="60420"/>
  <c r="E124" i="60420"/>
  <c r="T124" i="60420"/>
  <c r="O124" i="60420"/>
  <c r="K124" i="60420"/>
  <c r="G124" i="60420"/>
  <c r="C124" i="60420"/>
  <c r="U102" i="60420"/>
  <c r="T102" i="60420"/>
  <c r="R102" i="60420"/>
  <c r="O102" i="60420"/>
  <c r="M102" i="60420"/>
  <c r="K102" i="60420"/>
  <c r="I102" i="60420"/>
  <c r="G102" i="60420"/>
  <c r="E102" i="60420"/>
  <c r="C102" i="60420"/>
  <c r="S102" i="60420"/>
  <c r="Q102" i="60420"/>
  <c r="N102" i="60420"/>
  <c r="L102" i="60420"/>
  <c r="J102" i="60420"/>
  <c r="H102" i="60420"/>
  <c r="F102" i="60420"/>
  <c r="D102" i="60420"/>
  <c r="U53" i="60420"/>
  <c r="S53" i="60420"/>
  <c r="Q53" i="60420"/>
  <c r="N53" i="60420"/>
  <c r="L53" i="60420"/>
  <c r="J53" i="60420"/>
  <c r="H53" i="60420"/>
  <c r="F53" i="60420"/>
  <c r="D53" i="60420"/>
  <c r="T53" i="60420"/>
  <c r="R53" i="60420"/>
  <c r="O53" i="60420"/>
  <c r="M53" i="60420"/>
  <c r="K53" i="60420"/>
  <c r="I53" i="60420"/>
  <c r="G53" i="60420"/>
  <c r="E53" i="60420"/>
  <c r="C53" i="60420"/>
  <c r="M66" i="60420"/>
  <c r="K66" i="60420"/>
  <c r="I66" i="60420"/>
  <c r="G66" i="60420"/>
  <c r="E66" i="60420"/>
  <c r="C66" i="60420"/>
  <c r="O66" i="60420"/>
  <c r="N66" i="60420"/>
  <c r="L66" i="60420"/>
  <c r="J66" i="60420"/>
  <c r="H66" i="60420"/>
  <c r="F66" i="60420"/>
  <c r="D66" i="60420"/>
  <c r="U51" i="60420"/>
  <c r="S51" i="60420"/>
  <c r="Q51" i="60420"/>
  <c r="N51" i="60420"/>
  <c r="L51" i="60420"/>
  <c r="J51" i="60420"/>
  <c r="H51" i="60420"/>
  <c r="F51" i="60420"/>
  <c r="D51" i="60420"/>
  <c r="T51" i="60420"/>
  <c r="R51" i="60420"/>
  <c r="O51" i="60420"/>
  <c r="M51" i="60420"/>
  <c r="K51" i="60420"/>
  <c r="I51" i="60420"/>
  <c r="G51" i="60420"/>
  <c r="E51" i="60420"/>
  <c r="C51" i="60420"/>
  <c r="T52" i="60420"/>
  <c r="R52" i="60420"/>
  <c r="O52" i="60420"/>
  <c r="M52" i="60420"/>
  <c r="K52" i="60420"/>
  <c r="I52" i="60420"/>
  <c r="G52" i="60420"/>
  <c r="E52" i="60420"/>
  <c r="C52" i="60420"/>
  <c r="U52" i="60420"/>
  <c r="S52" i="60420"/>
  <c r="Q52" i="60420"/>
  <c r="N52" i="60420"/>
  <c r="L52" i="60420"/>
  <c r="J52" i="60420"/>
  <c r="H52" i="60420"/>
  <c r="F52" i="60420"/>
  <c r="D52" i="60420"/>
  <c r="U108" i="60420"/>
  <c r="T108" i="60420"/>
  <c r="R108" i="60420"/>
  <c r="O108" i="60420"/>
  <c r="M108" i="60420"/>
  <c r="K108" i="60420"/>
  <c r="I108" i="60420"/>
  <c r="Q108" i="60420"/>
  <c r="L108" i="60420"/>
  <c r="H108" i="60420"/>
  <c r="G108" i="60420"/>
  <c r="E108" i="60420"/>
  <c r="C108" i="60420"/>
  <c r="S108" i="60420"/>
  <c r="N108" i="60420"/>
  <c r="J108" i="60420"/>
  <c r="F108" i="60420"/>
  <c r="D108" i="60420"/>
  <c r="T126" i="60420"/>
  <c r="R126" i="60420"/>
  <c r="O126" i="60420"/>
  <c r="M126" i="60420"/>
  <c r="K126" i="60420"/>
  <c r="I126" i="60420"/>
  <c r="G126" i="60420"/>
  <c r="E126" i="60420"/>
  <c r="C126" i="60420"/>
  <c r="U126" i="60420"/>
  <c r="Q126" i="60420"/>
  <c r="L126" i="60420"/>
  <c r="H126" i="60420"/>
  <c r="D126" i="60420"/>
  <c r="S126" i="60420"/>
  <c r="N126" i="60420"/>
  <c r="J126" i="60420"/>
  <c r="F126" i="60420"/>
  <c r="U104" i="60420"/>
  <c r="T104" i="60420"/>
  <c r="R104" i="60420"/>
  <c r="O104" i="60420"/>
  <c r="M104" i="60420"/>
  <c r="K104" i="60420"/>
  <c r="I104" i="60420"/>
  <c r="G104" i="60420"/>
  <c r="Q104" i="60420"/>
  <c r="L104" i="60420"/>
  <c r="H104" i="60420"/>
  <c r="E104" i="60420"/>
  <c r="C104" i="60420"/>
  <c r="S104" i="60420"/>
  <c r="N104" i="60420"/>
  <c r="J104" i="60420"/>
  <c r="F104" i="60420"/>
  <c r="D104" i="60420"/>
  <c r="U93" i="60420"/>
  <c r="S93" i="60420"/>
  <c r="Q93" i="60420"/>
  <c r="N93" i="60420"/>
  <c r="L93" i="60420"/>
  <c r="J93" i="60420"/>
  <c r="H93" i="60420"/>
  <c r="F93" i="60420"/>
  <c r="D93" i="60420"/>
  <c r="T93" i="60420"/>
  <c r="R93" i="60420"/>
  <c r="O93" i="60420"/>
  <c r="M93" i="60420"/>
  <c r="K93" i="60420"/>
  <c r="I93" i="60420"/>
  <c r="G93" i="60420"/>
  <c r="E93" i="60420"/>
  <c r="C93" i="60420"/>
  <c r="S91" i="60420"/>
  <c r="Q91" i="60420"/>
  <c r="N91" i="60420"/>
  <c r="L91" i="60420"/>
  <c r="J91" i="60420"/>
  <c r="H91" i="60420"/>
  <c r="U91" i="60420"/>
  <c r="T91" i="60420"/>
  <c r="R91" i="60420"/>
  <c r="O91" i="60420"/>
  <c r="M91" i="60420"/>
  <c r="K91" i="60420"/>
  <c r="I91" i="60420"/>
  <c r="G91" i="60420"/>
  <c r="E91" i="60420"/>
  <c r="C91" i="60420"/>
  <c r="D91" i="60420"/>
  <c r="F91" i="60420"/>
  <c r="O65" i="60420"/>
  <c r="N65" i="60420"/>
  <c r="L65" i="60420"/>
  <c r="J65" i="60420"/>
  <c r="H65" i="60420"/>
  <c r="F65" i="60420"/>
  <c r="D65" i="60420"/>
  <c r="M65" i="60420"/>
  <c r="K65" i="60420"/>
  <c r="I65" i="60420"/>
  <c r="G65" i="60420"/>
  <c r="E65" i="60420"/>
  <c r="C65" i="60420"/>
  <c r="T50" i="60420"/>
  <c r="R50" i="60420"/>
  <c r="O50" i="60420"/>
  <c r="M50" i="60420"/>
  <c r="K50" i="60420"/>
  <c r="I50" i="60420"/>
  <c r="G50" i="60420"/>
  <c r="E50" i="60420"/>
  <c r="C50" i="60420"/>
  <c r="U50" i="60420"/>
  <c r="S50" i="60420"/>
  <c r="Q50" i="60420"/>
  <c r="N50" i="60420"/>
  <c r="L50" i="60420"/>
  <c r="J50" i="60420"/>
  <c r="H50" i="60420"/>
  <c r="F50" i="60420"/>
  <c r="D50" i="60420"/>
  <c r="U95" i="60420"/>
  <c r="S95" i="60420"/>
  <c r="Q95" i="60420"/>
  <c r="N95" i="60420"/>
  <c r="L95" i="60420"/>
  <c r="J95" i="60420"/>
  <c r="H95" i="60420"/>
  <c r="F95" i="60420"/>
  <c r="D95" i="60420"/>
  <c r="T95" i="60420"/>
  <c r="R95" i="60420"/>
  <c r="O95" i="60420"/>
  <c r="M95" i="60420"/>
  <c r="K95" i="60420"/>
  <c r="I95" i="60420"/>
  <c r="G95" i="60420"/>
  <c r="E95" i="60420"/>
  <c r="C95" i="60420"/>
  <c r="U110" i="60420"/>
  <c r="T110" i="60420"/>
  <c r="R110" i="60420"/>
  <c r="O110" i="60420"/>
  <c r="M110" i="60420"/>
  <c r="K110" i="60420"/>
  <c r="I110" i="60420"/>
  <c r="S110" i="60420"/>
  <c r="N110" i="60420"/>
  <c r="J110" i="60420"/>
  <c r="G110" i="60420"/>
  <c r="E110" i="60420"/>
  <c r="C110" i="60420"/>
  <c r="Q110" i="60420"/>
  <c r="L110" i="60420"/>
  <c r="H110" i="60420"/>
  <c r="F110" i="60420"/>
  <c r="D110" i="60420"/>
  <c r="T54" i="60420"/>
  <c r="R54" i="60420"/>
  <c r="O54" i="60420"/>
  <c r="M54" i="60420"/>
  <c r="K54" i="60420"/>
  <c r="I54" i="60420"/>
  <c r="G54" i="60420"/>
  <c r="E54" i="60420"/>
  <c r="C54" i="60420"/>
  <c r="U54" i="60420"/>
  <c r="S54" i="60420"/>
  <c r="Q54" i="60420"/>
  <c r="N54" i="60420"/>
  <c r="L54" i="60420"/>
  <c r="J54" i="60420"/>
  <c r="H54" i="60420"/>
  <c r="F54" i="60420"/>
  <c r="D54" i="60420"/>
  <c r="U49" i="60420"/>
  <c r="S49" i="60420"/>
  <c r="Q49" i="60420"/>
  <c r="N49" i="60420"/>
  <c r="L49" i="60420"/>
  <c r="J49" i="60420"/>
  <c r="H49" i="60420"/>
  <c r="F49" i="60420"/>
  <c r="D49" i="60420"/>
  <c r="T49" i="60420"/>
  <c r="R49" i="60420"/>
  <c r="O49" i="60420"/>
  <c r="M49" i="60420"/>
  <c r="K49" i="60420"/>
  <c r="I49" i="60420"/>
  <c r="G49" i="60420"/>
  <c r="E49" i="60420"/>
  <c r="C49" i="60420"/>
  <c r="O64" i="60420"/>
  <c r="M64" i="60420"/>
  <c r="K64" i="60420"/>
  <c r="I64" i="60420"/>
  <c r="G64" i="60420"/>
  <c r="E64" i="60420"/>
  <c r="C64" i="60420"/>
  <c r="N64" i="60420"/>
  <c r="L64" i="60420"/>
  <c r="J64" i="60420"/>
  <c r="H64" i="60420"/>
  <c r="F64" i="60420"/>
  <c r="D64" i="60420"/>
  <c r="U125" i="60420"/>
  <c r="S125" i="60420"/>
  <c r="Q125" i="60420"/>
  <c r="N125" i="60420"/>
  <c r="L125" i="60420"/>
  <c r="J125" i="60420"/>
  <c r="H125" i="60420"/>
  <c r="F125" i="60420"/>
  <c r="D125" i="60420"/>
  <c r="T125" i="60420"/>
  <c r="O125" i="60420"/>
  <c r="K125" i="60420"/>
  <c r="G125" i="60420"/>
  <c r="C125" i="60420"/>
  <c r="R125" i="60420"/>
  <c r="M125" i="60420"/>
  <c r="I125" i="60420"/>
  <c r="E125" i="60420"/>
  <c r="U47" i="60420"/>
  <c r="S47" i="60420"/>
  <c r="Q47" i="60420"/>
  <c r="N47" i="60420"/>
  <c r="L47" i="60420"/>
  <c r="J47" i="60420"/>
  <c r="H47" i="60420"/>
  <c r="F47" i="60420"/>
  <c r="D47" i="60420"/>
  <c r="T47" i="60420"/>
  <c r="R47" i="60420"/>
  <c r="O47" i="60420"/>
  <c r="M47" i="60420"/>
  <c r="K47" i="60420"/>
  <c r="I47" i="60420"/>
  <c r="G47" i="60420"/>
  <c r="E47" i="60420"/>
  <c r="C47" i="60420"/>
  <c r="T92" i="60420"/>
  <c r="R92" i="60420"/>
  <c r="O92" i="60420"/>
  <c r="M92" i="60420"/>
  <c r="K92" i="60420"/>
  <c r="I92" i="60420"/>
  <c r="G92" i="60420"/>
  <c r="E92" i="60420"/>
  <c r="C92" i="60420"/>
  <c r="U92" i="60420"/>
  <c r="S92" i="60420"/>
  <c r="Q92" i="60420"/>
  <c r="N92" i="60420"/>
  <c r="L92" i="60420"/>
  <c r="J92" i="60420"/>
  <c r="H92" i="60420"/>
  <c r="F92" i="60420"/>
  <c r="D92" i="60420"/>
  <c r="M62" i="60420"/>
  <c r="K62" i="60420"/>
  <c r="I62" i="60420"/>
  <c r="G62" i="60420"/>
  <c r="E62" i="60420"/>
  <c r="C62" i="60420"/>
  <c r="O62" i="60420"/>
  <c r="N62" i="60420"/>
  <c r="L62" i="60420"/>
  <c r="J62" i="60420"/>
  <c r="H62" i="60420"/>
  <c r="F62" i="60420"/>
  <c r="D62" i="60420"/>
  <c r="T98" i="60420"/>
  <c r="R98" i="60420"/>
  <c r="O98" i="60420"/>
  <c r="M98" i="60420"/>
  <c r="K98" i="60420"/>
  <c r="I98" i="60420"/>
  <c r="G98" i="60420"/>
  <c r="E98" i="60420"/>
  <c r="C98" i="60420"/>
  <c r="U98" i="60420"/>
  <c r="S98" i="60420"/>
  <c r="Q98" i="60420"/>
  <c r="N98" i="60420"/>
  <c r="L98" i="60420"/>
  <c r="J98" i="60420"/>
  <c r="H98" i="60420"/>
  <c r="F98" i="60420"/>
  <c r="D98" i="60420"/>
  <c r="U131" i="60420"/>
  <c r="S131" i="60420"/>
  <c r="Q131" i="60420"/>
  <c r="N131" i="60420"/>
  <c r="L131" i="60420"/>
  <c r="J131" i="60420"/>
  <c r="H131" i="60420"/>
  <c r="F131" i="60420"/>
  <c r="D131" i="60420"/>
  <c r="R131" i="60420"/>
  <c r="M131" i="60420"/>
  <c r="I131" i="60420"/>
  <c r="E131" i="60420"/>
  <c r="T131" i="60420"/>
  <c r="O131" i="60420"/>
  <c r="K131" i="60420"/>
  <c r="G131" i="60420"/>
  <c r="C131" i="60420"/>
  <c r="S107" i="60420"/>
  <c r="Q107" i="60420"/>
  <c r="N107" i="60420"/>
  <c r="L107" i="60420"/>
  <c r="J107" i="60420"/>
  <c r="H107" i="60420"/>
  <c r="U107" i="60420"/>
  <c r="T107" i="60420"/>
  <c r="O107" i="60420"/>
  <c r="K107" i="60420"/>
  <c r="F107" i="60420"/>
  <c r="D107" i="60420"/>
  <c r="R107" i="60420"/>
  <c r="M107" i="60420"/>
  <c r="I107" i="60420"/>
  <c r="G107" i="60420"/>
  <c r="E107" i="60420"/>
  <c r="C107" i="60420"/>
  <c r="U129" i="60420"/>
  <c r="S129" i="60420"/>
  <c r="Q129" i="60420"/>
  <c r="N129" i="60420"/>
  <c r="L129" i="60420"/>
  <c r="J129" i="60420"/>
  <c r="H129" i="60420"/>
  <c r="F129" i="60420"/>
  <c r="D129" i="60420"/>
  <c r="T129" i="60420"/>
  <c r="O129" i="60420"/>
  <c r="K129" i="60420"/>
  <c r="G129" i="60420"/>
  <c r="C129" i="60420"/>
  <c r="R129" i="60420"/>
  <c r="M129" i="60420"/>
  <c r="I129" i="60420"/>
  <c r="E129" i="60420"/>
  <c r="N13" i="60420"/>
  <c r="F13" i="60420"/>
  <c r="M13" i="60420"/>
  <c r="E13" i="60420"/>
  <c r="U13" i="60420"/>
  <c r="L13" i="60420"/>
  <c r="D13" i="60420"/>
  <c r="T13" i="60420"/>
  <c r="K13" i="60420"/>
  <c r="C13" i="60420"/>
  <c r="G13" i="60420"/>
  <c r="S13" i="60420"/>
  <c r="J13" i="60420"/>
  <c r="R13" i="60420"/>
  <c r="I13" i="60420"/>
  <c r="Q13" i="60420"/>
  <c r="H13" i="60420"/>
  <c r="O13" i="60420"/>
  <c r="S20" i="60420"/>
  <c r="J20" i="60420"/>
  <c r="R20" i="60420"/>
  <c r="I20" i="60420"/>
  <c r="Q20" i="60420"/>
  <c r="H20" i="60420"/>
  <c r="C20" i="60420"/>
  <c r="O20" i="60420"/>
  <c r="G20" i="60420"/>
  <c r="N20" i="60420"/>
  <c r="F20" i="60420"/>
  <c r="M20" i="60420"/>
  <c r="E20" i="60420"/>
  <c r="T20" i="60420"/>
  <c r="K20" i="60420"/>
  <c r="U20" i="60420"/>
  <c r="L20" i="60420"/>
  <c r="D20" i="60420"/>
  <c r="U14" i="60420"/>
  <c r="L14" i="60420"/>
  <c r="D14" i="60420"/>
  <c r="T14" i="60420"/>
  <c r="K14" i="60420"/>
  <c r="C14" i="60420"/>
  <c r="S14" i="60420"/>
  <c r="J14" i="60420"/>
  <c r="M14" i="60420"/>
  <c r="R14" i="60420"/>
  <c r="I14" i="60420"/>
  <c r="Q14" i="60420"/>
  <c r="H14" i="60420"/>
  <c r="O14" i="60420"/>
  <c r="G14" i="60420"/>
  <c r="E14" i="60420"/>
  <c r="N14" i="60420"/>
  <c r="F14" i="60420"/>
  <c r="T21" i="60420"/>
  <c r="K21" i="60420"/>
  <c r="C21" i="60420"/>
  <c r="S21" i="60420"/>
  <c r="J21" i="60420"/>
  <c r="R21" i="60420"/>
  <c r="I21" i="60420"/>
  <c r="Q21" i="60420"/>
  <c r="H21" i="60420"/>
  <c r="O21" i="60420"/>
  <c r="G21" i="60420"/>
  <c r="D21" i="60420"/>
  <c r="N21" i="60420"/>
  <c r="F21" i="60420"/>
  <c r="M21" i="60420"/>
  <c r="E21" i="60420"/>
  <c r="U21" i="60420"/>
  <c r="L21" i="60420"/>
  <c r="N16" i="60420"/>
  <c r="F16" i="60420"/>
  <c r="M16" i="60420"/>
  <c r="E16" i="60420"/>
  <c r="U16" i="60420"/>
  <c r="L16" i="60420"/>
  <c r="D16" i="60420"/>
  <c r="G16" i="60420"/>
  <c r="T16" i="60420"/>
  <c r="K16" i="60420"/>
  <c r="C16" i="60420"/>
  <c r="S16" i="60420"/>
  <c r="J16" i="60420"/>
  <c r="O16" i="60420"/>
  <c r="R16" i="60420"/>
  <c r="I16" i="60420"/>
  <c r="Q16" i="60420"/>
  <c r="H16" i="60420"/>
  <c r="M15" i="60420"/>
  <c r="E15" i="60420"/>
  <c r="U15" i="60420"/>
  <c r="L15" i="60420"/>
  <c r="D15" i="60420"/>
  <c r="T15" i="60420"/>
  <c r="K15" i="60420"/>
  <c r="C15" i="60420"/>
  <c r="S15" i="60420"/>
  <c r="J15" i="60420"/>
  <c r="R15" i="60420"/>
  <c r="I15" i="60420"/>
  <c r="Q15" i="60420"/>
  <c r="H15" i="60420"/>
  <c r="O15" i="60420"/>
  <c r="G15" i="60420"/>
  <c r="N15" i="60420"/>
  <c r="F15" i="60420"/>
  <c r="R19" i="60420"/>
  <c r="I19" i="60420"/>
  <c r="Q19" i="60420"/>
  <c r="H19" i="60420"/>
  <c r="S19" i="60420"/>
  <c r="O19" i="60420"/>
  <c r="G19" i="60420"/>
  <c r="N19" i="60420"/>
  <c r="F19" i="60420"/>
  <c r="M19" i="60420"/>
  <c r="E19" i="60420"/>
  <c r="U19" i="60420"/>
  <c r="L19" i="60420"/>
  <c r="D19" i="60420"/>
  <c r="T19" i="60420"/>
  <c r="K19" i="60420"/>
  <c r="C19" i="60420"/>
  <c r="J19" i="60420"/>
  <c r="O17" i="60420"/>
  <c r="G17" i="60420"/>
  <c r="N17" i="60420"/>
  <c r="F17" i="60420"/>
  <c r="H17" i="60420"/>
  <c r="M17" i="60420"/>
  <c r="E17" i="60420"/>
  <c r="U17" i="60420"/>
  <c r="L17" i="60420"/>
  <c r="D17" i="60420"/>
  <c r="Q17" i="60420"/>
  <c r="T17" i="60420"/>
  <c r="K17" i="60420"/>
  <c r="C17" i="60420"/>
  <c r="S17" i="60420"/>
  <c r="J17" i="60420"/>
  <c r="R17" i="60420"/>
  <c r="I17" i="60420"/>
  <c r="N138" i="60420"/>
  <c r="N261" i="60420" s="1"/>
  <c r="M256" i="60420"/>
  <c r="L123" i="60420"/>
  <c r="L143" i="60420"/>
  <c r="L45" i="60420"/>
  <c r="M75" i="60420" s="1"/>
  <c r="L60" i="60420"/>
  <c r="K12" i="60406"/>
  <c r="L253" i="60406"/>
  <c r="K253" i="60420"/>
  <c r="J12" i="60420"/>
  <c r="K58" i="60420"/>
  <c r="K59" i="60420"/>
  <c r="C265" i="60406"/>
  <c r="C265" i="60420"/>
  <c r="Q59" i="60420"/>
  <c r="Q58" i="60420"/>
  <c r="M138" i="60420" l="1"/>
  <c r="M261" i="60420" s="1"/>
  <c r="L256" i="60420"/>
  <c r="K123" i="60420"/>
  <c r="K45" i="60420"/>
  <c r="L75" i="60420" s="1"/>
  <c r="Q60" i="60420"/>
  <c r="K60" i="60420"/>
  <c r="K253" i="60406"/>
  <c r="J12" i="60406"/>
  <c r="Q143" i="60420"/>
  <c r="K143" i="60420"/>
  <c r="J253" i="60420"/>
  <c r="I12" i="60420"/>
  <c r="J58" i="60420"/>
  <c r="J59" i="60420"/>
  <c r="Q112" i="60420"/>
  <c r="M56" i="60420"/>
  <c r="K112" i="60420"/>
  <c r="K255" i="60420" s="1"/>
  <c r="S134" i="60420"/>
  <c r="E269" i="60420" s="1"/>
  <c r="N56" i="60420"/>
  <c r="U134" i="60420"/>
  <c r="G269" i="60420" s="1"/>
  <c r="N34" i="60420"/>
  <c r="K134" i="60420"/>
  <c r="K257" i="60420" s="1"/>
  <c r="R56" i="60420"/>
  <c r="K56" i="60420"/>
  <c r="R23" i="60420"/>
  <c r="Q23" i="60420"/>
  <c r="M112" i="60420"/>
  <c r="M255" i="60420" s="1"/>
  <c r="T56" i="60420"/>
  <c r="S112" i="60420"/>
  <c r="E267" i="60420" s="1"/>
  <c r="T112" i="60420"/>
  <c r="F267" i="60420" s="1"/>
  <c r="Q34" i="60420"/>
  <c r="S34" i="60420"/>
  <c r="T134" i="60420"/>
  <c r="F269" i="60420" s="1"/>
  <c r="T101" i="60420"/>
  <c r="F266" i="60420" s="1"/>
  <c r="N134" i="60420"/>
  <c r="N257" i="60420" s="1"/>
  <c r="L134" i="60420"/>
  <c r="L257" i="60420" s="1"/>
  <c r="O56" i="60420"/>
  <c r="S23" i="60420"/>
  <c r="L56" i="60420"/>
  <c r="L112" i="60420"/>
  <c r="L255" i="60420" s="1"/>
  <c r="K23" i="60420"/>
  <c r="U56" i="60420"/>
  <c r="R112" i="60420"/>
  <c r="Q56" i="60420"/>
  <c r="L23" i="60420"/>
  <c r="T23" i="60420"/>
  <c r="R134" i="60420"/>
  <c r="D269" i="60420" s="1"/>
  <c r="Q134" i="60420"/>
  <c r="C269" i="60420" s="1"/>
  <c r="N112" i="60420"/>
  <c r="N255" i="60420" s="1"/>
  <c r="S56" i="60420"/>
  <c r="O112" i="60420"/>
  <c r="O255" i="60420" s="1"/>
  <c r="R34" i="60420"/>
  <c r="O71" i="60420"/>
  <c r="N23" i="60420"/>
  <c r="U23" i="60420"/>
  <c r="O23" i="60420"/>
  <c r="O34" i="60420"/>
  <c r="N71" i="60420"/>
  <c r="K101" i="60420"/>
  <c r="M101" i="60420"/>
  <c r="M134" i="60420"/>
  <c r="M257" i="60420" s="1"/>
  <c r="T34" i="60420"/>
  <c r="R101" i="60420"/>
  <c r="D266" i="60420" s="1"/>
  <c r="N101" i="60420"/>
  <c r="U101" i="60420"/>
  <c r="G266" i="60420" s="1"/>
  <c r="O101" i="60420"/>
  <c r="K71" i="60420"/>
  <c r="M34" i="60420"/>
  <c r="Q101" i="60420"/>
  <c r="C266" i="60420" s="1"/>
  <c r="S101" i="60420"/>
  <c r="U112" i="60420"/>
  <c r="G267" i="60420" s="1"/>
  <c r="K34" i="60420"/>
  <c r="M71" i="60420"/>
  <c r="L101" i="60420"/>
  <c r="L71" i="60420"/>
  <c r="O134" i="60420"/>
  <c r="O257" i="60420" s="1"/>
  <c r="M23" i="60420"/>
  <c r="U34" i="60420"/>
  <c r="L254" i="60420" l="1"/>
  <c r="N254" i="60420"/>
  <c r="D267" i="60420"/>
  <c r="K254" i="60420"/>
  <c r="S135" i="60420"/>
  <c r="E266" i="60420"/>
  <c r="O254" i="60420"/>
  <c r="L138" i="60420"/>
  <c r="L261" i="60420" s="1"/>
  <c r="K256" i="60420"/>
  <c r="C267" i="60420"/>
  <c r="M57" i="60420"/>
  <c r="M254" i="60420"/>
  <c r="U135" i="60420"/>
  <c r="N135" i="60420"/>
  <c r="K135" i="60420"/>
  <c r="R135" i="60420"/>
  <c r="L135" i="60420"/>
  <c r="O135" i="60420"/>
  <c r="T135" i="60420"/>
  <c r="Q135" i="60420"/>
  <c r="M135" i="60420"/>
  <c r="J123" i="60420"/>
  <c r="L57" i="60420"/>
  <c r="S57" i="60420"/>
  <c r="N57" i="60420"/>
  <c r="K57" i="60420"/>
  <c r="Q57" i="60420"/>
  <c r="O57" i="60420"/>
  <c r="R57" i="60420"/>
  <c r="T57" i="60420"/>
  <c r="U57" i="60420"/>
  <c r="J45" i="60420"/>
  <c r="K75" i="60420" s="1"/>
  <c r="J56" i="60420"/>
  <c r="K76" i="60420" s="1"/>
  <c r="L257" i="60406"/>
  <c r="J34" i="60420"/>
  <c r="J143" i="60420"/>
  <c r="L139" i="60420"/>
  <c r="L262" i="60420" s="1"/>
  <c r="J71" i="60420"/>
  <c r="J134" i="60420"/>
  <c r="J112" i="60420"/>
  <c r="J255" i="60420" s="1"/>
  <c r="J60" i="60420"/>
  <c r="J101" i="60420"/>
  <c r="J253" i="60406"/>
  <c r="I12" i="60406"/>
  <c r="J23" i="60420"/>
  <c r="H12" i="60420"/>
  <c r="I253" i="60420"/>
  <c r="I59" i="60420"/>
  <c r="I58" i="60420"/>
  <c r="N76" i="60420"/>
  <c r="M76" i="60420"/>
  <c r="L137" i="60420"/>
  <c r="L260" i="60420" s="1"/>
  <c r="N139" i="60420"/>
  <c r="N262" i="60420" s="1"/>
  <c r="M137" i="60420"/>
  <c r="M260" i="60420" s="1"/>
  <c r="N137" i="60420"/>
  <c r="N260" i="60420" s="1"/>
  <c r="M139" i="60420"/>
  <c r="M262" i="60420" s="1"/>
  <c r="L76" i="60420"/>
  <c r="O72" i="60420"/>
  <c r="N73" i="60420"/>
  <c r="N72" i="60420"/>
  <c r="M73" i="60420"/>
  <c r="M72" i="60420"/>
  <c r="L73" i="60420"/>
  <c r="M136" i="60420"/>
  <c r="L74" i="60420"/>
  <c r="L136" i="60420"/>
  <c r="N136" i="60420"/>
  <c r="L72" i="60420"/>
  <c r="M74" i="60420"/>
  <c r="N74" i="60420"/>
  <c r="M259" i="60420" l="1"/>
  <c r="J254" i="60420"/>
  <c r="L259" i="60420"/>
  <c r="N259" i="60420"/>
  <c r="K139" i="60420"/>
  <c r="K262" i="60420" s="1"/>
  <c r="J257" i="60420"/>
  <c r="K138" i="60420"/>
  <c r="K261" i="60420" s="1"/>
  <c r="J256" i="60420"/>
  <c r="K137" i="60420"/>
  <c r="K260" i="60420" s="1"/>
  <c r="K136" i="60420"/>
  <c r="J135" i="60420"/>
  <c r="K140" i="60420" s="1"/>
  <c r="I60" i="60420"/>
  <c r="I123" i="60420"/>
  <c r="K73" i="60420"/>
  <c r="J57" i="60420"/>
  <c r="K77" i="60420" s="1"/>
  <c r="I45" i="60420"/>
  <c r="J75" i="60420" s="1"/>
  <c r="K74" i="60420"/>
  <c r="I143" i="60420"/>
  <c r="K257" i="60406"/>
  <c r="I101" i="60420"/>
  <c r="K72" i="60420"/>
  <c r="I253" i="60406"/>
  <c r="H12" i="60406"/>
  <c r="I134" i="60420"/>
  <c r="I56" i="60420"/>
  <c r="J76" i="60420" s="1"/>
  <c r="I112" i="60420"/>
  <c r="I255" i="60420" s="1"/>
  <c r="G12" i="60420"/>
  <c r="H253" i="60420"/>
  <c r="H58" i="60420"/>
  <c r="H59" i="60420"/>
  <c r="I34" i="60420"/>
  <c r="I71" i="60420"/>
  <c r="I23" i="60420"/>
  <c r="N77" i="60420"/>
  <c r="N140" i="60420"/>
  <c r="M77" i="60420"/>
  <c r="L77" i="60420"/>
  <c r="L140" i="60420"/>
  <c r="M140" i="60420"/>
  <c r="K259" i="60420" l="1"/>
  <c r="J139" i="60420"/>
  <c r="J262" i="60420" s="1"/>
  <c r="I257" i="60420"/>
  <c r="I254" i="60420"/>
  <c r="J138" i="60420"/>
  <c r="J261" i="60420" s="1"/>
  <c r="I256" i="60420"/>
  <c r="J136" i="60420"/>
  <c r="I135" i="60420"/>
  <c r="J140" i="60420" s="1"/>
  <c r="H123" i="60420"/>
  <c r="I57" i="60420"/>
  <c r="J77" i="60420" s="1"/>
  <c r="H45" i="60420"/>
  <c r="I75" i="60420" s="1"/>
  <c r="J257" i="60406"/>
  <c r="H143" i="60420"/>
  <c r="H112" i="60420"/>
  <c r="H255" i="60420" s="1"/>
  <c r="G12" i="60406"/>
  <c r="H253" i="60406"/>
  <c r="J72" i="60420"/>
  <c r="J73" i="60420"/>
  <c r="H60" i="60420"/>
  <c r="J74" i="60420"/>
  <c r="H101" i="60420"/>
  <c r="H71" i="60420"/>
  <c r="H34" i="60420"/>
  <c r="H23" i="60420"/>
  <c r="G253" i="60420"/>
  <c r="F12" i="60420"/>
  <c r="G58" i="60420"/>
  <c r="G59" i="60420"/>
  <c r="H56" i="60420"/>
  <c r="I76" i="60420" s="1"/>
  <c r="J137" i="60420"/>
  <c r="J260" i="60420" s="1"/>
  <c r="H134" i="60420"/>
  <c r="J259" i="60420" l="1"/>
  <c r="H254" i="60420"/>
  <c r="I138" i="60420"/>
  <c r="I261" i="60420" s="1"/>
  <c r="H256" i="60420"/>
  <c r="I139" i="60420"/>
  <c r="I262" i="60420" s="1"/>
  <c r="H257" i="60420"/>
  <c r="I137" i="60420"/>
  <c r="I260" i="60420" s="1"/>
  <c r="H135" i="60420"/>
  <c r="I140" i="60420" s="1"/>
  <c r="G123" i="60420"/>
  <c r="H57" i="60420"/>
  <c r="I77" i="60420" s="1"/>
  <c r="G45" i="60420"/>
  <c r="H75" i="60420" s="1"/>
  <c r="G143" i="60420"/>
  <c r="G60" i="60420"/>
  <c r="F12" i="60406"/>
  <c r="G253" i="60406"/>
  <c r="G101" i="60420"/>
  <c r="G112" i="60420"/>
  <c r="G255" i="60420" s="1"/>
  <c r="I136" i="60420"/>
  <c r="I73" i="60420"/>
  <c r="G134" i="60420"/>
  <c r="G56" i="60420"/>
  <c r="H76" i="60420" s="1"/>
  <c r="G23" i="60420"/>
  <c r="G34" i="60420"/>
  <c r="I74" i="60420"/>
  <c r="I72" i="60420"/>
  <c r="G71" i="60420"/>
  <c r="F253" i="60420"/>
  <c r="E12" i="60420"/>
  <c r="F58" i="60420"/>
  <c r="F59" i="60420"/>
  <c r="G254" i="60420" l="1"/>
  <c r="I259" i="60420"/>
  <c r="H137" i="60420"/>
  <c r="H260" i="60420" s="1"/>
  <c r="H138" i="60420"/>
  <c r="H261" i="60420" s="1"/>
  <c r="G256" i="60420"/>
  <c r="H139" i="60420"/>
  <c r="H262" i="60420" s="1"/>
  <c r="G257" i="60420"/>
  <c r="G135" i="60420"/>
  <c r="H140" i="60420" s="1"/>
  <c r="F123" i="60420"/>
  <c r="G57" i="60420"/>
  <c r="H77" i="60420" s="1"/>
  <c r="F45" i="60420"/>
  <c r="G75" i="60420" s="1"/>
  <c r="H257" i="60406"/>
  <c r="F253" i="60406"/>
  <c r="E12" i="60406"/>
  <c r="F23" i="60420"/>
  <c r="E253" i="60420"/>
  <c r="D12" i="60420"/>
  <c r="E58" i="60420"/>
  <c r="E59" i="60420"/>
  <c r="H73" i="60420"/>
  <c r="F34" i="60420"/>
  <c r="F60" i="60420"/>
  <c r="F112" i="60420"/>
  <c r="F255" i="60420" s="1"/>
  <c r="H136" i="60420"/>
  <c r="F101" i="60420"/>
  <c r="F56" i="60420"/>
  <c r="G76" i="60420" s="1"/>
  <c r="F134" i="60420"/>
  <c r="F71" i="60420"/>
  <c r="F143" i="60420"/>
  <c r="H74" i="60420"/>
  <c r="H72" i="60420"/>
  <c r="G138" i="60420" l="1"/>
  <c r="G261" i="60420" s="1"/>
  <c r="F256" i="60420"/>
  <c r="G139" i="60420"/>
  <c r="G262" i="60420" s="1"/>
  <c r="F257" i="60420"/>
  <c r="H259" i="60420"/>
  <c r="F254" i="60420"/>
  <c r="G137" i="60420"/>
  <c r="G260" i="60420" s="1"/>
  <c r="F135" i="60420"/>
  <c r="G140" i="60420" s="1"/>
  <c r="E123" i="60420"/>
  <c r="G73" i="60420"/>
  <c r="F57" i="60420"/>
  <c r="G77" i="60420" s="1"/>
  <c r="E45" i="60420"/>
  <c r="F75" i="60420" s="1"/>
  <c r="G257" i="60406"/>
  <c r="E253" i="60406"/>
  <c r="D12" i="60406"/>
  <c r="E56" i="60420"/>
  <c r="F76" i="60420" s="1"/>
  <c r="E23" i="60420"/>
  <c r="E34" i="60420"/>
  <c r="E60" i="60420"/>
  <c r="E134" i="60420"/>
  <c r="G74" i="60420"/>
  <c r="G72" i="60420"/>
  <c r="E101" i="60420"/>
  <c r="G136" i="60420"/>
  <c r="E143" i="60420"/>
  <c r="E71" i="60420"/>
  <c r="D253" i="60420"/>
  <c r="C12" i="60420"/>
  <c r="D58" i="60420"/>
  <c r="D59" i="60420"/>
  <c r="E112" i="60420"/>
  <c r="F137" i="60420" l="1"/>
  <c r="F260" i="60420" s="1"/>
  <c r="E255" i="60420"/>
  <c r="F139" i="60420"/>
  <c r="F262" i="60420" s="1"/>
  <c r="E257" i="60420"/>
  <c r="G259" i="60420"/>
  <c r="F138" i="60420"/>
  <c r="F261" i="60420" s="1"/>
  <c r="E256" i="60420"/>
  <c r="E254" i="60420"/>
  <c r="E135" i="60420"/>
  <c r="F140" i="60420" s="1"/>
  <c r="D123" i="60420"/>
  <c r="E57" i="60420"/>
  <c r="F77" i="60420" s="1"/>
  <c r="D45" i="60420"/>
  <c r="E75" i="60420" s="1"/>
  <c r="F257" i="60406"/>
  <c r="D143" i="60420"/>
  <c r="D60" i="60420"/>
  <c r="D253" i="60406"/>
  <c r="C12" i="60406"/>
  <c r="D23" i="60420"/>
  <c r="D71" i="60420"/>
  <c r="D101" i="60420"/>
  <c r="F74" i="60420"/>
  <c r="D134" i="60420"/>
  <c r="D34" i="60420"/>
  <c r="D81" i="60420" s="1"/>
  <c r="C253" i="60420"/>
  <c r="C58" i="60420"/>
  <c r="C59" i="60420"/>
  <c r="F136" i="60420"/>
  <c r="D112" i="60420"/>
  <c r="D56" i="60420"/>
  <c r="E76" i="60420" s="1"/>
  <c r="F73" i="60420"/>
  <c r="F72" i="60420"/>
  <c r="E137" i="60420" l="1"/>
  <c r="E260" i="60420" s="1"/>
  <c r="D255" i="60420"/>
  <c r="F259" i="60420"/>
  <c r="D254" i="60420"/>
  <c r="E138" i="60420"/>
  <c r="E261" i="60420" s="1"/>
  <c r="D256" i="60420"/>
  <c r="E139" i="60420"/>
  <c r="E262" i="60420" s="1"/>
  <c r="D257" i="60420"/>
  <c r="D135" i="60420"/>
  <c r="E140" i="60420" s="1"/>
  <c r="C123" i="60420"/>
  <c r="C256" i="60420" s="1"/>
  <c r="D80" i="60420"/>
  <c r="D57" i="60420"/>
  <c r="E77" i="60420" s="1"/>
  <c r="C45" i="60420"/>
  <c r="E72" i="60420"/>
  <c r="C143" i="60420"/>
  <c r="E257" i="60406"/>
  <c r="E73" i="60420"/>
  <c r="C253" i="60406"/>
  <c r="C71" i="60420"/>
  <c r="C134" i="60420"/>
  <c r="C257" i="60420" s="1"/>
  <c r="C56" i="60420"/>
  <c r="C112" i="60420"/>
  <c r="C255" i="60420" s="1"/>
  <c r="C101" i="60420"/>
  <c r="C34" i="60420"/>
  <c r="C23" i="60420"/>
  <c r="C60" i="60420"/>
  <c r="E74" i="60420"/>
  <c r="E136" i="60420"/>
  <c r="C254" i="60420" l="1"/>
  <c r="E259" i="60420"/>
  <c r="D138" i="60420"/>
  <c r="D261" i="60420" s="1"/>
  <c r="C138" i="60420"/>
  <c r="C261" i="60420" s="1"/>
  <c r="C135" i="60420"/>
  <c r="D75" i="60420"/>
  <c r="C75" i="60420"/>
  <c r="C57" i="60420"/>
  <c r="N8" i="60420"/>
  <c r="N10" i="60420"/>
  <c r="C76" i="60420"/>
  <c r="D76" i="60420"/>
  <c r="C137" i="60420"/>
  <c r="C260" i="60420" s="1"/>
  <c r="D137" i="60420"/>
  <c r="D260" i="60420" s="1"/>
  <c r="C139" i="60420"/>
  <c r="C262" i="60420" s="1"/>
  <c r="D139" i="60420"/>
  <c r="D262" i="60420" s="1"/>
  <c r="D73" i="60420"/>
  <c r="C73" i="60420"/>
  <c r="D72" i="60420"/>
  <c r="O8" i="60420"/>
  <c r="C74" i="60420"/>
  <c r="D74" i="60420"/>
  <c r="C136" i="60420"/>
  <c r="D136" i="60420"/>
  <c r="D259" i="60420" l="1"/>
  <c r="C259" i="60420"/>
  <c r="D140" i="60420"/>
  <c r="C140" i="60420"/>
  <c r="C77" i="60420"/>
  <c r="D77" i="60420"/>
  <c r="D262" i="60406" l="1"/>
  <c r="C262" i="60406"/>
  <c r="D260" i="60406"/>
  <c r="C260" i="60406"/>
  <c r="E262" i="60406"/>
  <c r="E260" i="60406"/>
  <c r="E259" i="60406"/>
  <c r="F262" i="60406"/>
  <c r="F260" i="60406"/>
  <c r="F259" i="60406"/>
  <c r="G262" i="60406"/>
  <c r="G260" i="60406"/>
  <c r="G259" i="60406"/>
  <c r="H260" i="60406"/>
  <c r="H259" i="60406"/>
  <c r="H262" i="60406"/>
  <c r="I262" i="60406"/>
  <c r="I260" i="60406"/>
  <c r="I259" i="60406"/>
  <c r="J260" i="60406"/>
  <c r="J262" i="60406"/>
  <c r="I257" i="60406"/>
  <c r="J259" i="60406"/>
  <c r="K262" i="60406"/>
  <c r="K260" i="60406"/>
  <c r="K259" i="60406"/>
  <c r="L262" i="60406"/>
  <c r="L260" i="60406"/>
  <c r="L259" i="60406"/>
  <c r="M260" i="60406"/>
  <c r="M262" i="60406"/>
  <c r="M259" i="60406"/>
  <c r="N260" i="60406"/>
  <c r="N259" i="60406"/>
  <c r="D259" i="60406"/>
  <c r="C259" i="60406"/>
  <c r="N262" i="60406"/>
  <c r="M257" i="60406"/>
  <c r="G269" i="60406"/>
  <c r="E269" i="60406"/>
  <c r="O257" i="60406"/>
  <c r="F269" i="60406"/>
  <c r="C261" i="60406"/>
  <c r="D261" i="60406"/>
  <c r="N261" i="60406"/>
  <c r="G261" i="60406"/>
  <c r="J261" i="60406"/>
  <c r="M261" i="60406"/>
  <c r="I261" i="60406"/>
  <c r="F261" i="60406"/>
  <c r="E261" i="60406"/>
  <c r="L261" i="60406"/>
  <c r="K261" i="60406"/>
  <c r="H261" i="60406"/>
  <c r="N257" i="60406"/>
  <c r="D269" i="60406"/>
  <c r="A24" i="60406"/>
  <c r="B24" i="60406" s="1"/>
  <c r="A61" i="60406"/>
  <c r="B61" i="60406" s="1"/>
  <c r="A46" i="60406"/>
  <c r="B46" i="60406" s="1"/>
  <c r="A124" i="60406"/>
  <c r="B124" i="60406" s="1"/>
  <c r="A102" i="60406"/>
  <c r="B102" i="60406" s="1"/>
  <c r="A35" i="60406"/>
  <c r="B35" i="60406" s="1"/>
  <c r="A91" i="60406"/>
  <c r="B91" i="60406" s="1"/>
  <c r="A113" i="60406"/>
  <c r="B113" i="60406" s="1"/>
  <c r="A13" i="60406"/>
  <c r="B13" i="60406" s="1"/>
  <c r="Q46" i="60406" l="1"/>
  <c r="Q56" i="60406" s="1"/>
  <c r="J61" i="60406"/>
  <c r="J71" i="60406" s="1"/>
  <c r="L13" i="60406"/>
  <c r="L23" i="60406" s="1"/>
  <c r="D91" i="60406"/>
  <c r="D101" i="60406" s="1"/>
  <c r="D254" i="60406" s="1"/>
  <c r="U91" i="60406"/>
  <c r="U101" i="60406" s="1"/>
  <c r="H102" i="60406"/>
  <c r="H112" i="60406" s="1"/>
  <c r="H255" i="60406" s="1"/>
  <c r="U102" i="60406"/>
  <c r="U112" i="60406" s="1"/>
  <c r="G267" i="60406" s="1"/>
  <c r="N113" i="60406"/>
  <c r="N123" i="60406" s="1"/>
  <c r="N256" i="60406" s="1"/>
  <c r="U113" i="60406"/>
  <c r="U123" i="60406" s="1"/>
  <c r="G268" i="60406" s="1"/>
  <c r="R124" i="60406"/>
  <c r="R134" i="60406" s="1"/>
  <c r="U124" i="60406"/>
  <c r="U134" i="60406" s="1"/>
  <c r="Q102" i="60406"/>
  <c r="Q112" i="60406" s="1"/>
  <c r="C267" i="60406" s="1"/>
  <c r="E124" i="60406"/>
  <c r="E134" i="60406" s="1"/>
  <c r="M91" i="60406"/>
  <c r="M101" i="60406" s="1"/>
  <c r="M254" i="60406" s="1"/>
  <c r="S13" i="60406"/>
  <c r="S23" i="60406" s="1"/>
  <c r="I35" i="60406"/>
  <c r="I45" i="60406" s="1"/>
  <c r="G91" i="60406"/>
  <c r="G101" i="60406" s="1"/>
  <c r="G254" i="60406" s="1"/>
  <c r="F46" i="60406"/>
  <c r="F56" i="60406" s="1"/>
  <c r="C102" i="60406"/>
  <c r="C112" i="60406" s="1"/>
  <c r="C255" i="60406" s="1"/>
  <c r="H113" i="60406"/>
  <c r="H123" i="60406" s="1"/>
  <c r="H256" i="60406" s="1"/>
  <c r="I46" i="60406"/>
  <c r="I56" i="60406" s="1"/>
  <c r="M35" i="60406"/>
  <c r="M45" i="60406" s="1"/>
  <c r="L102" i="60406"/>
  <c r="L112" i="60406" s="1"/>
  <c r="L255" i="60406" s="1"/>
  <c r="R102" i="60406"/>
  <c r="R112" i="60406" s="1"/>
  <c r="D267" i="60406" s="1"/>
  <c r="C46" i="60406"/>
  <c r="C56" i="60406" s="1"/>
  <c r="E35" i="60406"/>
  <c r="E45" i="60406" s="1"/>
  <c r="O46" i="60406"/>
  <c r="O56" i="60406" s="1"/>
  <c r="L61" i="60406"/>
  <c r="L71" i="60406" s="1"/>
  <c r="L35" i="60406"/>
  <c r="L45" i="60406" s="1"/>
  <c r="E13" i="60406"/>
  <c r="E23" i="60406" s="1"/>
  <c r="R24" i="60406"/>
  <c r="R34" i="60406" s="1"/>
  <c r="C24" i="60406"/>
  <c r="C34" i="60406" s="1"/>
  <c r="G24" i="60406"/>
  <c r="G34" i="60406" s="1"/>
  <c r="H24" i="60406"/>
  <c r="H34" i="60406" s="1"/>
  <c r="I24" i="60406"/>
  <c r="I34" i="60406" s="1"/>
  <c r="O24" i="60406"/>
  <c r="O34" i="60406" s="1"/>
  <c r="T24" i="60406"/>
  <c r="T34" i="60406" s="1"/>
  <c r="K24" i="60406"/>
  <c r="K34" i="60406" s="1"/>
  <c r="U24" i="60406"/>
  <c r="U34" i="60406" s="1"/>
  <c r="Q24" i="60406"/>
  <c r="Q34" i="60406" s="1"/>
  <c r="L24" i="60406"/>
  <c r="L34" i="60406" s="1"/>
  <c r="E24" i="60406"/>
  <c r="E34" i="60406" s="1"/>
  <c r="D24" i="60406"/>
  <c r="D34" i="60406" s="1"/>
  <c r="N24" i="60406"/>
  <c r="N34" i="60406" s="1"/>
  <c r="M24" i="60406"/>
  <c r="M34" i="60406" s="1"/>
  <c r="J24" i="60406"/>
  <c r="J34" i="60406" s="1"/>
  <c r="F113" i="60406"/>
  <c r="F123" i="60406" s="1"/>
  <c r="S24" i="60406"/>
  <c r="S34" i="60406" s="1"/>
  <c r="F91" i="60406"/>
  <c r="F101" i="60406" s="1"/>
  <c r="E91" i="60406"/>
  <c r="E101" i="60406" s="1"/>
  <c r="N91" i="60406"/>
  <c r="N101" i="60406" s="1"/>
  <c r="H91" i="60406"/>
  <c r="H101" i="60406" s="1"/>
  <c r="T91" i="60406"/>
  <c r="T101" i="60406" s="1"/>
  <c r="C91" i="60406"/>
  <c r="C101" i="60406" s="1"/>
  <c r="S91" i="60406"/>
  <c r="S101" i="60406" s="1"/>
  <c r="I91" i="60406"/>
  <c r="I101" i="60406" s="1"/>
  <c r="O91" i="60406"/>
  <c r="O101" i="60406" s="1"/>
  <c r="K91" i="60406"/>
  <c r="K101" i="60406" s="1"/>
  <c r="R91" i="60406"/>
  <c r="R101" i="60406" s="1"/>
  <c r="Q91" i="60406"/>
  <c r="Q101" i="60406" s="1"/>
  <c r="T124" i="60406"/>
  <c r="T134" i="60406" s="1"/>
  <c r="C124" i="60406"/>
  <c r="C134" i="60406" s="1"/>
  <c r="L124" i="60406"/>
  <c r="L134" i="60406" s="1"/>
  <c r="O124" i="60406"/>
  <c r="O134" i="60406" s="1"/>
  <c r="K124" i="60406"/>
  <c r="K134" i="60406" s="1"/>
  <c r="Q124" i="60406"/>
  <c r="Q134" i="60406" s="1"/>
  <c r="N124" i="60406"/>
  <c r="N134" i="60406" s="1"/>
  <c r="G124" i="60406"/>
  <c r="G134" i="60406" s="1"/>
  <c r="D124" i="60406"/>
  <c r="D134" i="60406" s="1"/>
  <c r="I124" i="60406"/>
  <c r="I134" i="60406" s="1"/>
  <c r="H124" i="60406"/>
  <c r="H134" i="60406" s="1"/>
  <c r="U13" i="60406"/>
  <c r="U23" i="60406" s="1"/>
  <c r="M13" i="60406"/>
  <c r="M23" i="60406" s="1"/>
  <c r="H13" i="60406"/>
  <c r="H23" i="60406" s="1"/>
  <c r="F13" i="60406"/>
  <c r="F23" i="60406" s="1"/>
  <c r="D13" i="60406"/>
  <c r="D23" i="60406" s="1"/>
  <c r="Q13" i="60406"/>
  <c r="Q23" i="60406" s="1"/>
  <c r="R13" i="60406"/>
  <c r="R23" i="60406" s="1"/>
  <c r="T13" i="60406"/>
  <c r="T23" i="60406" s="1"/>
  <c r="I13" i="60406"/>
  <c r="I23" i="60406" s="1"/>
  <c r="G13" i="60406"/>
  <c r="G23" i="60406" s="1"/>
  <c r="N13" i="60406"/>
  <c r="N23" i="60406" s="1"/>
  <c r="O13" i="60406"/>
  <c r="O23" i="60406" s="1"/>
  <c r="J13" i="60406"/>
  <c r="J23" i="60406" s="1"/>
  <c r="K13" i="60406"/>
  <c r="K23" i="60406" s="1"/>
  <c r="C13" i="60406"/>
  <c r="C23" i="60406" s="1"/>
  <c r="F124" i="60406"/>
  <c r="F134" i="60406" s="1"/>
  <c r="S124" i="60406"/>
  <c r="S134" i="60406" s="1"/>
  <c r="J91" i="60406"/>
  <c r="J101" i="60406" s="1"/>
  <c r="J124" i="60406"/>
  <c r="J134" i="60406" s="1"/>
  <c r="M124" i="60406"/>
  <c r="M134" i="60406" s="1"/>
  <c r="L91" i="60406"/>
  <c r="L101" i="60406" s="1"/>
  <c r="C113" i="60406"/>
  <c r="C123" i="60406" s="1"/>
  <c r="L113" i="60406"/>
  <c r="L123" i="60406" s="1"/>
  <c r="M113" i="60406"/>
  <c r="M123" i="60406" s="1"/>
  <c r="E113" i="60406"/>
  <c r="E123" i="60406" s="1"/>
  <c r="I113" i="60406"/>
  <c r="I123" i="60406" s="1"/>
  <c r="K113" i="60406"/>
  <c r="K123" i="60406" s="1"/>
  <c r="Q113" i="60406"/>
  <c r="Q123" i="60406" s="1"/>
  <c r="C268" i="60406" s="1"/>
  <c r="T113" i="60406"/>
  <c r="T123" i="60406" s="1"/>
  <c r="F268" i="60406" s="1"/>
  <c r="J113" i="60406"/>
  <c r="J123" i="60406" s="1"/>
  <c r="G113" i="60406"/>
  <c r="G123" i="60406" s="1"/>
  <c r="O113" i="60406"/>
  <c r="O123" i="60406" s="1"/>
  <c r="O256" i="60406" s="1"/>
  <c r="D113" i="60406"/>
  <c r="D123" i="60406" s="1"/>
  <c r="S113" i="60406"/>
  <c r="S123" i="60406" s="1"/>
  <c r="E268" i="60406" s="1"/>
  <c r="R113" i="60406"/>
  <c r="R123" i="60406" s="1"/>
  <c r="D268" i="60406" s="1"/>
  <c r="F24" i="60406"/>
  <c r="F34" i="60406" s="1"/>
  <c r="L46" i="60406"/>
  <c r="L56" i="60406" s="1"/>
  <c r="S102" i="60406"/>
  <c r="S112" i="60406" s="1"/>
  <c r="E267" i="60406" s="1"/>
  <c r="F61" i="60406"/>
  <c r="F71" i="60406" s="1"/>
  <c r="M61" i="60406"/>
  <c r="M71" i="60406" s="1"/>
  <c r="K35" i="60406"/>
  <c r="K45" i="60406" s="1"/>
  <c r="M102" i="60406"/>
  <c r="M112" i="60406" s="1"/>
  <c r="T102" i="60406"/>
  <c r="T112" i="60406" s="1"/>
  <c r="F267" i="60406" s="1"/>
  <c r="T46" i="60406"/>
  <c r="T56" i="60406" s="1"/>
  <c r="R46" i="60406"/>
  <c r="R56" i="60406" s="1"/>
  <c r="S35" i="60406"/>
  <c r="S45" i="60406" s="1"/>
  <c r="O61" i="60406"/>
  <c r="O71" i="60406" s="1"/>
  <c r="H46" i="60406"/>
  <c r="H56" i="60406" s="1"/>
  <c r="N35" i="60406"/>
  <c r="N45" i="60406" s="1"/>
  <c r="F102" i="60406"/>
  <c r="F112" i="60406" s="1"/>
  <c r="E46" i="60406"/>
  <c r="E56" i="60406" s="1"/>
  <c r="J102" i="60406"/>
  <c r="J112" i="60406" s="1"/>
  <c r="Q35" i="60406"/>
  <c r="Q45" i="60406" s="1"/>
  <c r="H61" i="60406"/>
  <c r="H71" i="60406" s="1"/>
  <c r="U35" i="60406"/>
  <c r="U45" i="60406" s="1"/>
  <c r="J46" i="60406"/>
  <c r="J56" i="60406" s="1"/>
  <c r="D102" i="60406"/>
  <c r="D112" i="60406" s="1"/>
  <c r="D255" i="60406" s="1"/>
  <c r="D46" i="60406"/>
  <c r="D56" i="60406" s="1"/>
  <c r="D61" i="60406"/>
  <c r="D71" i="60406" s="1"/>
  <c r="G46" i="60406"/>
  <c r="G56" i="60406" s="1"/>
  <c r="G35" i="60406"/>
  <c r="G45" i="60406" s="1"/>
  <c r="C61" i="60406"/>
  <c r="C71" i="60406" s="1"/>
  <c r="D35" i="60406"/>
  <c r="D45" i="60406" s="1"/>
  <c r="N61" i="60406"/>
  <c r="N71" i="60406" s="1"/>
  <c r="S46" i="60406"/>
  <c r="S56" i="60406" s="1"/>
  <c r="H35" i="60406"/>
  <c r="H45" i="60406" s="1"/>
  <c r="F35" i="60406"/>
  <c r="F45" i="60406" s="1"/>
  <c r="C35" i="60406"/>
  <c r="C45" i="60406" s="1"/>
  <c r="K61" i="60406"/>
  <c r="K71" i="60406" s="1"/>
  <c r="K102" i="60406"/>
  <c r="K112" i="60406" s="1"/>
  <c r="N46" i="60406"/>
  <c r="N56" i="60406" s="1"/>
  <c r="E102" i="60406"/>
  <c r="E112" i="60406" s="1"/>
  <c r="E255" i="60406" s="1"/>
  <c r="J35" i="60406"/>
  <c r="J45" i="60406" s="1"/>
  <c r="K46" i="60406"/>
  <c r="K56" i="60406" s="1"/>
  <c r="U46" i="60406"/>
  <c r="U56" i="60406" s="1"/>
  <c r="G102" i="60406"/>
  <c r="G112" i="60406" s="1"/>
  <c r="I102" i="60406"/>
  <c r="I112" i="60406" s="1"/>
  <c r="O35" i="60406"/>
  <c r="O45" i="60406" s="1"/>
  <c r="M46" i="60406"/>
  <c r="M56" i="60406" s="1"/>
  <c r="R35" i="60406"/>
  <c r="R45" i="60406" s="1"/>
  <c r="I61" i="60406"/>
  <c r="I71" i="60406" s="1"/>
  <c r="T35" i="60406"/>
  <c r="T45" i="60406" s="1"/>
  <c r="E61" i="60406"/>
  <c r="E71" i="60406" s="1"/>
  <c r="N102" i="60406"/>
  <c r="N112" i="60406" s="1"/>
  <c r="N255" i="60406" s="1"/>
  <c r="O102" i="60406"/>
  <c r="O112" i="60406" s="1"/>
  <c r="O255" i="60406" s="1"/>
  <c r="G61" i="60406"/>
  <c r="G71" i="60406" s="1"/>
  <c r="K139" i="60406" l="1"/>
  <c r="G139" i="60406"/>
  <c r="K75" i="60406"/>
  <c r="G75" i="60406"/>
  <c r="C76" i="60406"/>
  <c r="E72" i="60406"/>
  <c r="L72" i="60406"/>
  <c r="N76" i="60406"/>
  <c r="N139" i="60406"/>
  <c r="M73" i="60406"/>
  <c r="H75" i="60406"/>
  <c r="I137" i="60406"/>
  <c r="J76" i="60406"/>
  <c r="S57" i="60406"/>
  <c r="M74" i="60406"/>
  <c r="F73" i="60406"/>
  <c r="H74" i="60406"/>
  <c r="L76" i="60406"/>
  <c r="G74" i="60406"/>
  <c r="H76" i="60406"/>
  <c r="M137" i="60406"/>
  <c r="D137" i="60406"/>
  <c r="N75" i="60406"/>
  <c r="L75" i="60406"/>
  <c r="I138" i="60406"/>
  <c r="H137" i="60406"/>
  <c r="G255" i="60406"/>
  <c r="E75" i="60406"/>
  <c r="N138" i="60406"/>
  <c r="M256" i="60406"/>
  <c r="I72" i="60406"/>
  <c r="I57" i="60406"/>
  <c r="J73" i="60406"/>
  <c r="G142" i="60406"/>
  <c r="L142" i="60406"/>
  <c r="R141" i="60406"/>
  <c r="J141" i="60406"/>
  <c r="H142" i="60406"/>
  <c r="F142" i="60406"/>
  <c r="K141" i="60406"/>
  <c r="D141" i="60406"/>
  <c r="L141" i="60406"/>
  <c r="J142" i="60406"/>
  <c r="C142" i="60406"/>
  <c r="U142" i="60406"/>
  <c r="E141" i="60406"/>
  <c r="E142" i="60406"/>
  <c r="O142" i="60406"/>
  <c r="I142" i="60406"/>
  <c r="M141" i="60406"/>
  <c r="M142" i="60406"/>
  <c r="R142" i="60406"/>
  <c r="Q141" i="60406"/>
  <c r="O141" i="60406"/>
  <c r="S141" i="60406"/>
  <c r="H141" i="60406"/>
  <c r="T141" i="60406"/>
  <c r="D142" i="60406"/>
  <c r="T142" i="60406"/>
  <c r="Q142" i="60406"/>
  <c r="S142" i="60406"/>
  <c r="U141" i="60406"/>
  <c r="N142" i="60406"/>
  <c r="G141" i="60406"/>
  <c r="G143" i="60406" s="1"/>
  <c r="I141" i="60406"/>
  <c r="I143" i="60406" s="1"/>
  <c r="K142" i="60406"/>
  <c r="F141" i="60406"/>
  <c r="N141" i="60406"/>
  <c r="C141" i="60406"/>
  <c r="D266" i="60406"/>
  <c r="R135" i="60406"/>
  <c r="H135" i="60406"/>
  <c r="I136" i="60406"/>
  <c r="H254" i="60406"/>
  <c r="G135" i="60406"/>
  <c r="F74" i="60406"/>
  <c r="J74" i="60406"/>
  <c r="G256" i="60406"/>
  <c r="H138" i="60406"/>
  <c r="L256" i="60406"/>
  <c r="M138" i="60406"/>
  <c r="O57" i="60406"/>
  <c r="O72" i="60406"/>
  <c r="T57" i="60406"/>
  <c r="M59" i="60406"/>
  <c r="K59" i="60406"/>
  <c r="Q59" i="60406"/>
  <c r="I58" i="60406"/>
  <c r="K58" i="60406"/>
  <c r="O59" i="60406"/>
  <c r="E59" i="60406"/>
  <c r="I59" i="60406"/>
  <c r="T58" i="60406"/>
  <c r="F59" i="60406"/>
  <c r="J59" i="60406"/>
  <c r="R58" i="60406"/>
  <c r="H58" i="60406"/>
  <c r="F58" i="60406"/>
  <c r="S59" i="60406"/>
  <c r="C59" i="60406"/>
  <c r="Q58" i="60406"/>
  <c r="G58" i="60406"/>
  <c r="H59" i="60406"/>
  <c r="L59" i="60406"/>
  <c r="D58" i="60406"/>
  <c r="M58" i="60406"/>
  <c r="D59" i="60406"/>
  <c r="G59" i="60406"/>
  <c r="O58" i="60406"/>
  <c r="J58" i="60406"/>
  <c r="R59" i="60406"/>
  <c r="U59" i="60406"/>
  <c r="L58" i="60406"/>
  <c r="N58" i="60406"/>
  <c r="E58" i="60406"/>
  <c r="E60" i="60406" s="1"/>
  <c r="T59" i="60406"/>
  <c r="N59" i="60406"/>
  <c r="S58" i="60406"/>
  <c r="C58" i="60406"/>
  <c r="U58" i="60406"/>
  <c r="U60" i="60406" s="1"/>
  <c r="L139" i="60406"/>
  <c r="K254" i="60406"/>
  <c r="L136" i="60406"/>
  <c r="K135" i="60406"/>
  <c r="N135" i="60406"/>
  <c r="N254" i="60406"/>
  <c r="I74" i="60406"/>
  <c r="F139" i="60406"/>
  <c r="C75" i="60406"/>
  <c r="D75" i="60406"/>
  <c r="M76" i="60406"/>
  <c r="J256" i="60406"/>
  <c r="K138" i="60406"/>
  <c r="C138" i="60406"/>
  <c r="D138" i="60406"/>
  <c r="C256" i="60406"/>
  <c r="M75" i="60406"/>
  <c r="F72" i="60406"/>
  <c r="G73" i="60406"/>
  <c r="F57" i="60406"/>
  <c r="I139" i="60406"/>
  <c r="O254" i="60406"/>
  <c r="O135" i="60406"/>
  <c r="E254" i="60406"/>
  <c r="E135" i="60406"/>
  <c r="F136" i="60406"/>
  <c r="G76" i="60406"/>
  <c r="J255" i="60406"/>
  <c r="K137" i="60406"/>
  <c r="U135" i="60406"/>
  <c r="G266" i="60406"/>
  <c r="H57" i="60406"/>
  <c r="I73" i="60406"/>
  <c r="H72" i="60406"/>
  <c r="J139" i="60406"/>
  <c r="M139" i="60406"/>
  <c r="J136" i="60406"/>
  <c r="I254" i="60406"/>
  <c r="I135" i="60406"/>
  <c r="F254" i="60406"/>
  <c r="G136" i="60406"/>
  <c r="F135" i="60406"/>
  <c r="G138" i="60406"/>
  <c r="F256" i="60406"/>
  <c r="D74" i="60406"/>
  <c r="C74" i="60406"/>
  <c r="I75" i="60406"/>
  <c r="F76" i="60406"/>
  <c r="D73" i="60406"/>
  <c r="C57" i="60406"/>
  <c r="C73" i="60406"/>
  <c r="N57" i="60406"/>
  <c r="N72" i="60406"/>
  <c r="R57" i="60406"/>
  <c r="M57" i="60406"/>
  <c r="N73" i="60406"/>
  <c r="M72" i="60406"/>
  <c r="E139" i="60406"/>
  <c r="D139" i="60406"/>
  <c r="C139" i="60406"/>
  <c r="E266" i="60406"/>
  <c r="S135" i="60406"/>
  <c r="K74" i="60406"/>
  <c r="F137" i="60406"/>
  <c r="E76" i="60406"/>
  <c r="G137" i="60406"/>
  <c r="F255" i="60406"/>
  <c r="M255" i="60406"/>
  <c r="N137" i="60406"/>
  <c r="L138" i="60406"/>
  <c r="K256" i="60406"/>
  <c r="M136" i="60406"/>
  <c r="L135" i="60406"/>
  <c r="L254" i="60406"/>
  <c r="D76" i="60406"/>
  <c r="K57" i="60406"/>
  <c r="L73" i="60406"/>
  <c r="K72" i="60406"/>
  <c r="Q57" i="60406"/>
  <c r="H139" i="60406"/>
  <c r="C254" i="60406"/>
  <c r="C135" i="60406"/>
  <c r="C136" i="60406"/>
  <c r="D136" i="60406"/>
  <c r="N74" i="60406"/>
  <c r="L74" i="60406"/>
  <c r="H136" i="60406"/>
  <c r="E137" i="60406"/>
  <c r="J138" i="60406"/>
  <c r="I256" i="60406"/>
  <c r="K73" i="60406"/>
  <c r="J72" i="60406"/>
  <c r="J57" i="60406"/>
  <c r="E73" i="60406"/>
  <c r="D80" i="60406"/>
  <c r="D57" i="60406"/>
  <c r="D72" i="60406"/>
  <c r="C137" i="60406"/>
  <c r="F75" i="60406"/>
  <c r="D135" i="60406"/>
  <c r="N136" i="60406"/>
  <c r="J137" i="60406"/>
  <c r="I255" i="60406"/>
  <c r="L137" i="60406"/>
  <c r="K255" i="60406"/>
  <c r="K76" i="60406"/>
  <c r="I76" i="60406"/>
  <c r="E138" i="60406"/>
  <c r="D256" i="60406"/>
  <c r="F138" i="60406"/>
  <c r="E256" i="60406"/>
  <c r="L57" i="60406"/>
  <c r="J254" i="60406"/>
  <c r="K136" i="60406"/>
  <c r="J135" i="60406"/>
  <c r="G57" i="60406"/>
  <c r="G72" i="60406"/>
  <c r="H73" i="60406"/>
  <c r="U57" i="60406"/>
  <c r="Q135" i="60406"/>
  <c r="C266" i="60406"/>
  <c r="F266" i="60406"/>
  <c r="T135" i="60406"/>
  <c r="J75" i="60406"/>
  <c r="E74" i="60406"/>
  <c r="D81" i="60406"/>
  <c r="E57" i="60406"/>
  <c r="E136" i="60406"/>
  <c r="M135" i="60406"/>
  <c r="F143" i="60406" l="1"/>
  <c r="F60" i="60406"/>
  <c r="H143" i="60406"/>
  <c r="Q60" i="60406"/>
  <c r="O60" i="60406"/>
  <c r="S60" i="60406"/>
  <c r="J60" i="60406"/>
  <c r="K60" i="60406"/>
  <c r="U143" i="60406"/>
  <c r="L60" i="60406"/>
  <c r="I60" i="60406"/>
  <c r="C60" i="60406"/>
  <c r="C143" i="60406"/>
  <c r="M60" i="60406"/>
  <c r="H77" i="60406"/>
  <c r="G140" i="60406"/>
  <c r="N77" i="60406"/>
  <c r="E140" i="60406"/>
  <c r="N140" i="60406"/>
  <c r="M77" i="60406"/>
  <c r="K77" i="60406"/>
  <c r="O143" i="60406"/>
  <c r="F140" i="60406"/>
  <c r="D60" i="60406"/>
  <c r="H60" i="60406"/>
  <c r="T143" i="60406"/>
  <c r="D143" i="60406"/>
  <c r="I77" i="60406"/>
  <c r="R60" i="60406"/>
  <c r="I140" i="60406"/>
  <c r="K143" i="60406"/>
  <c r="J77" i="60406"/>
  <c r="J140" i="60406"/>
  <c r="S143" i="60406"/>
  <c r="K140" i="60406"/>
  <c r="L77" i="60406"/>
  <c r="G60" i="60406"/>
  <c r="E143" i="60406"/>
  <c r="T60" i="60406"/>
  <c r="Q143" i="60406"/>
  <c r="J143" i="60406"/>
  <c r="D140" i="60406"/>
  <c r="C140" i="60406"/>
  <c r="G77" i="60406"/>
  <c r="L140" i="60406"/>
  <c r="N143" i="60406"/>
  <c r="R143" i="60406"/>
  <c r="M140" i="60406"/>
  <c r="H140" i="60406"/>
  <c r="O8" i="60406"/>
  <c r="E77" i="60406"/>
  <c r="N8" i="60406"/>
  <c r="N10" i="60406"/>
  <c r="F77" i="60406"/>
  <c r="C77" i="60406"/>
  <c r="D77" i="60406"/>
  <c r="N60" i="60406"/>
  <c r="M143" i="60406"/>
  <c r="L143" i="60406"/>
</calcChain>
</file>

<file path=xl/sharedStrings.xml><?xml version="1.0" encoding="utf-8"?>
<sst xmlns="http://schemas.openxmlformats.org/spreadsheetml/2006/main" count="387" uniqueCount="281">
  <si>
    <t>Departamento</t>
  </si>
  <si>
    <t>Provincia</t>
  </si>
  <si>
    <t>Distrito</t>
  </si>
  <si>
    <t>Segmento</t>
  </si>
  <si>
    <t>Todos</t>
  </si>
  <si>
    <t>Dirección</t>
  </si>
  <si>
    <t>Capsa</t>
  </si>
  <si>
    <t>compras anuales unds.</t>
  </si>
  <si>
    <t>DATOS PARA LOS GRAFICOS:</t>
  </si>
  <si>
    <t>12 meses</t>
  </si>
  <si>
    <t>Total</t>
  </si>
  <si>
    <t>Teléfono</t>
  </si>
  <si>
    <t>RUC</t>
  </si>
  <si>
    <t>PPU</t>
  </si>
  <si>
    <t>Referencia</t>
  </si>
  <si>
    <t>Vendedor</t>
  </si>
  <si>
    <t>Estado</t>
  </si>
  <si>
    <t>Código</t>
  </si>
  <si>
    <t>Canibalización</t>
  </si>
  <si>
    <t>Frec.</t>
  </si>
  <si>
    <t>Prom.</t>
  </si>
  <si>
    <t>Lys</t>
  </si>
  <si>
    <t>HP</t>
  </si>
  <si>
    <t>Prom. Mov.</t>
  </si>
  <si>
    <t>Unidades</t>
  </si>
  <si>
    <t>Todas</t>
  </si>
  <si>
    <t>FILTROS LYS S.A. - MODELO DE CLIENTES</t>
  </si>
  <si>
    <t>Zona</t>
  </si>
  <si>
    <t>Cliente</t>
  </si>
  <si>
    <t>Rank</t>
  </si>
  <si>
    <t>Fecha</t>
  </si>
  <si>
    <t>Razón Social</t>
  </si>
  <si>
    <t>Marca</t>
  </si>
  <si>
    <t>Vendedor LYS</t>
  </si>
  <si>
    <t>Código Unico</t>
  </si>
  <si>
    <t>Grupo</t>
  </si>
  <si>
    <t>Giro</t>
  </si>
  <si>
    <t>Clientes en el grupo</t>
  </si>
  <si>
    <t>Area</t>
  </si>
  <si>
    <t>Prob. de pago</t>
  </si>
  <si>
    <t>Proy LYS</t>
  </si>
  <si>
    <t>Proy HP</t>
  </si>
  <si>
    <t>Proy Total</t>
  </si>
  <si>
    <t>GT</t>
  </si>
  <si>
    <t>Compañía</t>
  </si>
  <si>
    <t>Orden</t>
  </si>
  <si>
    <t>CiaSec</t>
  </si>
  <si>
    <t>Mes01</t>
  </si>
  <si>
    <t>Mes02</t>
  </si>
  <si>
    <t>Mes03</t>
  </si>
  <si>
    <t>Mes04</t>
  </si>
  <si>
    <t>Mes05</t>
  </si>
  <si>
    <t>Mes06</t>
  </si>
  <si>
    <t>Mes07</t>
  </si>
  <si>
    <t>Mes08</t>
  </si>
  <si>
    <t>Mes09</t>
  </si>
  <si>
    <t>Mes10</t>
  </si>
  <si>
    <t>Mes11</t>
  </si>
  <si>
    <t>Mes12</t>
  </si>
  <si>
    <t>Mes13</t>
  </si>
  <si>
    <t>U.Neg</t>
  </si>
  <si>
    <t>Pais</t>
  </si>
  <si>
    <t>Ruc</t>
  </si>
  <si>
    <t>Telefono</t>
  </si>
  <si>
    <t>Clave</t>
  </si>
  <si>
    <t>Unid.Neg</t>
  </si>
  <si>
    <t>Cuota LYS</t>
  </si>
  <si>
    <t>Cuota HP</t>
  </si>
  <si>
    <t>cia</t>
  </si>
  <si>
    <t>Rsocial</t>
  </si>
  <si>
    <t>GrupoNom</t>
  </si>
  <si>
    <t>ListGrup</t>
  </si>
  <si>
    <t>SegDesc</t>
  </si>
  <si>
    <t>Direcc</t>
  </si>
  <si>
    <t>Prov</t>
  </si>
  <si>
    <t>Depart</t>
  </si>
  <si>
    <t>Vend</t>
  </si>
  <si>
    <t>VendUsu</t>
  </si>
  <si>
    <t>VenNomb</t>
  </si>
  <si>
    <t>UsuNomb</t>
  </si>
  <si>
    <t>Estadp</t>
  </si>
  <si>
    <t>AreaCod</t>
  </si>
  <si>
    <t>AreaVenta</t>
  </si>
  <si>
    <t>ZonaCod</t>
  </si>
  <si>
    <t>ZonaCVenta</t>
  </si>
  <si>
    <t>LocalidadCod</t>
  </si>
  <si>
    <t>LocalidaVent</t>
  </si>
  <si>
    <t>ZDespCod</t>
  </si>
  <si>
    <t>ZonaDesp</t>
  </si>
  <si>
    <t>Cant01</t>
  </si>
  <si>
    <t>Cant02</t>
  </si>
  <si>
    <t>Cant03</t>
  </si>
  <si>
    <t>Cant04</t>
  </si>
  <si>
    <t>Cant05</t>
  </si>
  <si>
    <t>Cant06</t>
  </si>
  <si>
    <t>Cant07</t>
  </si>
  <si>
    <t>Cant08</t>
  </si>
  <si>
    <t>Cant09</t>
  </si>
  <si>
    <t>Cant10</t>
  </si>
  <si>
    <t>Cant11</t>
  </si>
  <si>
    <t>Cant12</t>
  </si>
  <si>
    <t>Cant13</t>
  </si>
  <si>
    <t>Vtasi01</t>
  </si>
  <si>
    <t>Vtasi02</t>
  </si>
  <si>
    <t>Vtasi03</t>
  </si>
  <si>
    <t>Vtasi04</t>
  </si>
  <si>
    <t>Vtasi05</t>
  </si>
  <si>
    <t>Vtasi06</t>
  </si>
  <si>
    <t>Vtasi07</t>
  </si>
  <si>
    <t>Vtasi08</t>
  </si>
  <si>
    <t>Vtasi09</t>
  </si>
  <si>
    <t>Vtasi10</t>
  </si>
  <si>
    <t>Vtasi11</t>
  </si>
  <si>
    <t>Vtasi12</t>
  </si>
  <si>
    <t>Vtasi13</t>
  </si>
  <si>
    <t>Vtaci01</t>
  </si>
  <si>
    <t>Vtaci02</t>
  </si>
  <si>
    <t>Vtaci03</t>
  </si>
  <si>
    <t>Vtaci04</t>
  </si>
  <si>
    <t>Vtaci05</t>
  </si>
  <si>
    <t>Vtaci06</t>
  </si>
  <si>
    <t>Vtaci07</t>
  </si>
  <si>
    <t>Vtaci08</t>
  </si>
  <si>
    <t>Vtaci09</t>
  </si>
  <si>
    <t>Vtaci10</t>
  </si>
  <si>
    <t>Vtaci11</t>
  </si>
  <si>
    <t>Vtaci12</t>
  </si>
  <si>
    <t>Vtaci13</t>
  </si>
  <si>
    <t>Vtesi01</t>
  </si>
  <si>
    <t>Vtesi02</t>
  </si>
  <si>
    <t>Vtesi03</t>
  </si>
  <si>
    <t>Vtesi04</t>
  </si>
  <si>
    <t>Vtesi05</t>
  </si>
  <si>
    <t>Vtesi06</t>
  </si>
  <si>
    <t>Vtesi07</t>
  </si>
  <si>
    <t>Vtesi08</t>
  </si>
  <si>
    <t>Vtesi09</t>
  </si>
  <si>
    <t>Vtesi10</t>
  </si>
  <si>
    <t>Vtesi11</t>
  </si>
  <si>
    <t>Vtesi12</t>
  </si>
  <si>
    <t>Vtesi13</t>
  </si>
  <si>
    <t>Vteci01</t>
  </si>
  <si>
    <t>Vteci02</t>
  </si>
  <si>
    <t>Vteci03</t>
  </si>
  <si>
    <t>Vteci04</t>
  </si>
  <si>
    <t>Vteci05</t>
  </si>
  <si>
    <t>Vteci06</t>
  </si>
  <si>
    <t>Vteci07</t>
  </si>
  <si>
    <t>Vteci08</t>
  </si>
  <si>
    <t>Vteci09</t>
  </si>
  <si>
    <t>Vteci10</t>
  </si>
  <si>
    <t>Vteci11</t>
  </si>
  <si>
    <t>Vteci12</t>
  </si>
  <si>
    <t>Vteci13</t>
  </si>
  <si>
    <t>A.Cant01</t>
  </si>
  <si>
    <t>A.Cant02</t>
  </si>
  <si>
    <t>A.Cant03</t>
  </si>
  <si>
    <t>A.Cant04</t>
  </si>
  <si>
    <t>A.Cant05</t>
  </si>
  <si>
    <t>A.CantP</t>
  </si>
  <si>
    <t>A.Vtasi01</t>
  </si>
  <si>
    <t>A.Vtasi02</t>
  </si>
  <si>
    <t>A.Vtasi03</t>
  </si>
  <si>
    <t>A.Vtasi04</t>
  </si>
  <si>
    <t>A.Vtasi05</t>
  </si>
  <si>
    <t>A.Proy</t>
  </si>
  <si>
    <t>A.Vtaci01</t>
  </si>
  <si>
    <t>A.Vtaci02</t>
  </si>
  <si>
    <t>A.Vtaci03</t>
  </si>
  <si>
    <t>A.Vtaci04</t>
  </si>
  <si>
    <t>A.Vtaci05</t>
  </si>
  <si>
    <t>A.Vtesi01</t>
  </si>
  <si>
    <t>A.Vtesi02</t>
  </si>
  <si>
    <t>A.Vtesi03</t>
  </si>
  <si>
    <t>A.Vtesi04</t>
  </si>
  <si>
    <t>A.Vtesi05</t>
  </si>
  <si>
    <t>A.Vteci01</t>
  </si>
  <si>
    <t>A.Vteci02</t>
  </si>
  <si>
    <t>A.Vteci03</t>
  </si>
  <si>
    <t>A.Vteci04</t>
  </si>
  <si>
    <t>A.Vteci05</t>
  </si>
  <si>
    <t>cliente</t>
  </si>
  <si>
    <t>grupo</t>
  </si>
  <si>
    <t>pt01</t>
  </si>
  <si>
    <t>rf01</t>
  </si>
  <si>
    <t>rn01</t>
  </si>
  <si>
    <t>pt02</t>
  </si>
  <si>
    <t>rf02</t>
  </si>
  <si>
    <t>rn02</t>
  </si>
  <si>
    <t>pt03</t>
  </si>
  <si>
    <t>rf03</t>
  </si>
  <si>
    <t>rn03</t>
  </si>
  <si>
    <t>pt04</t>
  </si>
  <si>
    <t>rf04</t>
  </si>
  <si>
    <t>rn04</t>
  </si>
  <si>
    <t>pt05</t>
  </si>
  <si>
    <t>rf05</t>
  </si>
  <si>
    <t>rn05</t>
  </si>
  <si>
    <t>pt06</t>
  </si>
  <si>
    <t>rf06</t>
  </si>
  <si>
    <t>rn06</t>
  </si>
  <si>
    <t>pt07</t>
  </si>
  <si>
    <t>rf07</t>
  </si>
  <si>
    <t>rn07</t>
  </si>
  <si>
    <t>pt08</t>
  </si>
  <si>
    <t>rf08</t>
  </si>
  <si>
    <t>rn08</t>
  </si>
  <si>
    <t>pt09</t>
  </si>
  <si>
    <t>rf09</t>
  </si>
  <si>
    <t>rn09</t>
  </si>
  <si>
    <t>pt10</t>
  </si>
  <si>
    <t>rf10</t>
  </si>
  <si>
    <t>rn10</t>
  </si>
  <si>
    <t>pt11</t>
  </si>
  <si>
    <t>rf11</t>
  </si>
  <si>
    <t>rn11</t>
  </si>
  <si>
    <t>pt12</t>
  </si>
  <si>
    <t>rf12</t>
  </si>
  <si>
    <t>rn12</t>
  </si>
  <si>
    <t>pt13</t>
  </si>
  <si>
    <t>rf13</t>
  </si>
  <si>
    <t>rn13</t>
  </si>
  <si>
    <t>CL01</t>
  </si>
  <si>
    <t>CL02</t>
  </si>
  <si>
    <t>CL03</t>
  </si>
  <si>
    <t>CL04</t>
  </si>
  <si>
    <t>CL05</t>
  </si>
  <si>
    <t>CL06</t>
  </si>
  <si>
    <t>CL07</t>
  </si>
  <si>
    <t>CL08</t>
  </si>
  <si>
    <t>CL09</t>
  </si>
  <si>
    <t>CL10</t>
  </si>
  <si>
    <t>CL11</t>
  </si>
  <si>
    <t>CL12</t>
  </si>
  <si>
    <t>CL13</t>
  </si>
  <si>
    <t>CLA01</t>
  </si>
  <si>
    <t>CLA02</t>
  </si>
  <si>
    <t>CLA03</t>
  </si>
  <si>
    <t>CLA04</t>
  </si>
  <si>
    <t>CLA05</t>
  </si>
  <si>
    <t>CE01</t>
  </si>
  <si>
    <t>CE02</t>
  </si>
  <si>
    <t>CE03</t>
  </si>
  <si>
    <t>CE04</t>
  </si>
  <si>
    <t>CE05</t>
  </si>
  <si>
    <t>CE06</t>
  </si>
  <si>
    <t>CE07</t>
  </si>
  <si>
    <t>CE08</t>
  </si>
  <si>
    <t>CE09</t>
  </si>
  <si>
    <t>CE10</t>
  </si>
  <si>
    <t>CE11</t>
  </si>
  <si>
    <t>CE12</t>
  </si>
  <si>
    <t>CE13</t>
  </si>
  <si>
    <t>CEA01</t>
  </si>
  <si>
    <t>CEA02</t>
  </si>
  <si>
    <t>CEA03</t>
  </si>
  <si>
    <t>CEA04</t>
  </si>
  <si>
    <t>CEA05</t>
  </si>
  <si>
    <t>GrupoRK</t>
  </si>
  <si>
    <t>VtaRank</t>
  </si>
  <si>
    <t>VtaLys</t>
  </si>
  <si>
    <t>VtaHp</t>
  </si>
  <si>
    <t>VtaGt</t>
  </si>
  <si>
    <t>VtaCap</t>
  </si>
  <si>
    <t>VtaToRk</t>
  </si>
  <si>
    <t>Grupo Rk</t>
  </si>
  <si>
    <t>Reg.Unico</t>
  </si>
  <si>
    <t>grupork</t>
  </si>
  <si>
    <t>uneg</t>
  </si>
  <si>
    <t>segment</t>
  </si>
  <si>
    <t>area</t>
  </si>
  <si>
    <t>vendedor</t>
  </si>
  <si>
    <t>vtgt</t>
  </si>
  <si>
    <t>vtlys</t>
  </si>
  <si>
    <t>vthp</t>
  </si>
  <si>
    <t>vcap</t>
  </si>
  <si>
    <t>vtto</t>
  </si>
  <si>
    <t>MontoFiltro</t>
  </si>
  <si>
    <t>RankTotal</t>
  </si>
  <si>
    <t>RankFiltro</t>
  </si>
  <si>
    <t>Tipo 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</si>
</sst>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m"/>
    <numFmt numFmtId="166" formatCode="_([$€-2]\ * #,##0.00_);_([$€-2]\ * \(#,##0.00\);_([$€-2]\ * &quot;-&quot;??_)"/>
  </numFmts>
  <fonts count="40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color indexed="10"/>
      <name val="Arial"/>
      <family val="2"/>
    </font>
    <font>
      <b/>
      <sz val="11"/>
      <color indexed="18"/>
      <name val="Arial"/>
      <family val="2"/>
    </font>
    <font>
      <sz val="8"/>
      <name val="Arial"/>
      <family val="2"/>
    </font>
    <font>
      <b/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22"/>
      <name val="Arial"/>
      <family val="2"/>
    </font>
    <font>
      <b/>
      <sz val="8"/>
      <color indexed="22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6"/>
      <color indexed="8"/>
      <name val="Arial Narrow"/>
      <family val="2"/>
    </font>
    <font>
      <sz val="6"/>
      <color indexed="9"/>
      <name val="Arial"/>
      <family val="2"/>
    </font>
    <font>
      <sz val="9"/>
      <color indexed="9"/>
      <name val="Arial"/>
      <family val="2"/>
    </font>
    <font>
      <b/>
      <sz val="8"/>
      <name val="Arial Narrow"/>
      <family val="2"/>
    </font>
    <font>
      <sz val="10"/>
      <color indexed="9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8"/>
      <color indexed="8"/>
      <name val="Arial"/>
      <family val="2"/>
    </font>
    <font>
      <b/>
      <sz val="8"/>
      <color indexed="52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8"/>
      <color theme="3"/>
      <name val="Arial"/>
      <family val="2"/>
    </font>
    <font>
      <sz val="8"/>
      <color rgb="FF000000"/>
      <name val="Tahoma"/>
      <family val="2"/>
    </font>
    <font>
      <b/>
      <u/>
      <sz val="11"/>
      <color indexed="18"/>
      <name val="Arial"/>
      <family val="2"/>
    </font>
    <font>
      <b/>
      <sz val="8"/>
      <color theme="0"/>
      <name val="Arial"/>
      <family val="2"/>
    </font>
    <font>
      <b/>
      <sz val="8"/>
      <color theme="4" tint="-0.249977111117893"/>
      <name val="Arial"/>
      <family val="2"/>
    </font>
    <font>
      <sz val="8"/>
      <color theme="0"/>
      <name val="Arial"/>
      <family val="2"/>
    </font>
    <font>
      <b/>
      <sz val="8"/>
      <color theme="7" tint="-0.249977111117893"/>
      <name val="Arial"/>
      <family val="2"/>
    </font>
    <font>
      <b/>
      <sz val="8"/>
      <color rgb="FF0070C0"/>
      <name val="Arial"/>
      <family val="2"/>
    </font>
    <font>
      <b/>
      <sz val="11"/>
      <color rgb="FF0070C0"/>
      <name val="Arial"/>
      <family val="2"/>
    </font>
    <font>
      <sz val="10"/>
      <color theme="7" tint="-0.249977111117893"/>
      <name val="Arial"/>
      <family val="2"/>
    </font>
    <font>
      <b/>
      <sz val="14"/>
      <name val="Arial"/>
      <family val="2"/>
    </font>
    <font>
      <b/>
      <sz val="12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medium">
        <color indexed="22"/>
      </right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22"/>
      </left>
      <right style="hair">
        <color indexed="22"/>
      </right>
      <top style="medium">
        <color indexed="22"/>
      </top>
      <bottom style="hair">
        <color indexed="22"/>
      </bottom>
      <diagonal/>
    </border>
    <border>
      <left style="hair">
        <color indexed="22"/>
      </left>
      <right style="medium">
        <color indexed="22"/>
      </right>
      <top style="medium">
        <color indexed="22"/>
      </top>
      <bottom style="hair">
        <color indexed="22"/>
      </bottom>
      <diagonal/>
    </border>
    <border>
      <left style="hair">
        <color indexed="22"/>
      </left>
      <right style="medium">
        <color indexed="22"/>
      </right>
      <top style="hair">
        <color indexed="22"/>
      </top>
      <bottom style="medium">
        <color indexed="2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22"/>
      </left>
      <right style="hair">
        <color indexed="22"/>
      </right>
      <top style="medium">
        <color indexed="22"/>
      </top>
      <bottom style="hair">
        <color indexed="22"/>
      </bottom>
      <diagonal/>
    </border>
    <border>
      <left style="medium">
        <color indexed="22"/>
      </left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 style="medium">
        <color indexed="22"/>
      </right>
      <top style="hair">
        <color indexed="22"/>
      </top>
      <bottom/>
      <diagonal/>
    </border>
    <border>
      <left/>
      <right/>
      <top style="medium">
        <color indexed="22"/>
      </top>
      <bottom/>
      <diagonal/>
    </border>
    <border>
      <left style="medium">
        <color indexed="22"/>
      </left>
      <right style="hair">
        <color indexed="22"/>
      </right>
      <top style="hair">
        <color indexed="22"/>
      </top>
      <bottom style="medium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medium">
        <color indexed="2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345">
    <xf numFmtId="0" fontId="0" fillId="0" borderId="0" xfId="0"/>
    <xf numFmtId="0" fontId="2" fillId="0" borderId="0" xfId="0" applyFont="1" applyFill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17" fontId="3" fillId="2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left" vertical="center" wrapText="1" indent="1"/>
    </xf>
    <xf numFmtId="0" fontId="7" fillId="4" borderId="1" xfId="0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17" fontId="7" fillId="5" borderId="2" xfId="0" applyNumberFormat="1" applyFont="1" applyFill="1" applyBorder="1" applyAlignment="1" applyProtection="1">
      <alignment horizontal="left" vertical="center"/>
    </xf>
    <xf numFmtId="17" fontId="7" fillId="5" borderId="3" xfId="0" applyNumberFormat="1" applyFont="1" applyFill="1" applyBorder="1" applyAlignment="1" applyProtection="1">
      <alignment horizontal="center" vertical="center"/>
    </xf>
    <xf numFmtId="17" fontId="7" fillId="5" borderId="4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left" vertical="center"/>
    </xf>
    <xf numFmtId="0" fontId="7" fillId="5" borderId="6" xfId="0" applyFont="1" applyFill="1" applyBorder="1" applyAlignment="1" applyProtection="1">
      <alignment vertical="center"/>
    </xf>
    <xf numFmtId="0" fontId="7" fillId="5" borderId="7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vertical="center"/>
    </xf>
    <xf numFmtId="0" fontId="7" fillId="3" borderId="9" xfId="0" applyFont="1" applyFill="1" applyBorder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7" fillId="3" borderId="10" xfId="0" applyFont="1" applyFill="1" applyBorder="1" applyAlignment="1" applyProtection="1">
      <alignment vertical="center"/>
    </xf>
    <xf numFmtId="0" fontId="7" fillId="3" borderId="0" xfId="0" applyFont="1" applyFill="1" applyBorder="1" applyAlignment="1" applyProtection="1">
      <alignment horizontal="left" vertical="center"/>
    </xf>
    <xf numFmtId="0" fontId="7" fillId="3" borderId="10" xfId="0" applyFont="1" applyFill="1" applyBorder="1" applyAlignment="1" applyProtection="1">
      <alignment horizontal="left" vertical="center"/>
    </xf>
    <xf numFmtId="0" fontId="7" fillId="3" borderId="11" xfId="0" applyFont="1" applyFill="1" applyBorder="1" applyAlignment="1" applyProtection="1">
      <alignment horizontal="left" vertical="center"/>
    </xf>
    <xf numFmtId="0" fontId="7" fillId="3" borderId="12" xfId="0" applyFont="1" applyFill="1" applyBorder="1" applyAlignment="1" applyProtection="1">
      <alignment horizontal="left" vertical="center"/>
    </xf>
    <xf numFmtId="0" fontId="8" fillId="3" borderId="13" xfId="0" applyFont="1" applyFill="1" applyBorder="1" applyAlignment="1" applyProtection="1">
      <alignment horizontal="left" vertical="center"/>
    </xf>
    <xf numFmtId="0" fontId="8" fillId="3" borderId="8" xfId="0" applyFont="1" applyFill="1" applyBorder="1" applyAlignment="1" applyProtection="1">
      <alignment horizontal="left" vertical="center"/>
    </xf>
    <xf numFmtId="0" fontId="8" fillId="3" borderId="8" xfId="0" applyFont="1" applyFill="1" applyBorder="1" applyAlignment="1" applyProtection="1">
      <alignment vertical="center"/>
    </xf>
    <xf numFmtId="0" fontId="8" fillId="3" borderId="14" xfId="0" applyFont="1" applyFill="1" applyBorder="1" applyAlignment="1" applyProtection="1">
      <alignment vertical="center"/>
    </xf>
    <xf numFmtId="0" fontId="8" fillId="3" borderId="14" xfId="0" applyFont="1" applyFill="1" applyBorder="1" applyAlignment="1" applyProtection="1">
      <alignment horizontal="left" vertical="center"/>
    </xf>
    <xf numFmtId="0" fontId="8" fillId="3" borderId="1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6" xfId="0" applyFont="1" applyFill="1" applyBorder="1" applyAlignment="1" applyProtection="1">
      <alignment horizontal="left" vertical="center"/>
    </xf>
    <xf numFmtId="0" fontId="9" fillId="5" borderId="2" xfId="0" applyFont="1" applyFill="1" applyBorder="1" applyAlignment="1" applyProtection="1">
      <alignment horizontal="left" vertical="center"/>
    </xf>
    <xf numFmtId="0" fontId="7" fillId="0" borderId="0" xfId="0" quotePrefix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center" vertical="center"/>
    </xf>
    <xf numFmtId="0" fontId="13" fillId="3" borderId="17" xfId="0" applyNumberFormat="1" applyFont="1" applyFill="1" applyBorder="1" applyAlignment="1" applyProtection="1">
      <alignment horizontal="left" vertical="center"/>
    </xf>
    <xf numFmtId="0" fontId="8" fillId="5" borderId="18" xfId="0" applyFont="1" applyFill="1" applyBorder="1" applyAlignment="1" applyProtection="1">
      <alignment horizontal="left" vertical="center"/>
    </xf>
    <xf numFmtId="0" fontId="4" fillId="0" borderId="0" xfId="0" quotePrefix="1" applyFont="1" applyFill="1" applyAlignment="1" applyProtection="1">
      <alignment vertical="center"/>
    </xf>
    <xf numFmtId="164" fontId="7" fillId="6" borderId="3" xfId="3" applyNumberFormat="1" applyFont="1" applyFill="1" applyBorder="1" applyAlignment="1" applyProtection="1">
      <alignment horizontal="center" vertical="center"/>
    </xf>
    <xf numFmtId="164" fontId="14" fillId="6" borderId="2" xfId="3" applyNumberFormat="1" applyFont="1" applyFill="1" applyBorder="1" applyAlignment="1" applyProtection="1">
      <alignment horizontal="left" vertical="center"/>
    </xf>
    <xf numFmtId="164" fontId="7" fillId="3" borderId="19" xfId="3" applyNumberFormat="1" applyFont="1" applyFill="1" applyBorder="1" applyAlignment="1" applyProtection="1">
      <alignment horizontal="left" vertical="center"/>
    </xf>
    <xf numFmtId="164" fontId="7" fillId="3" borderId="20" xfId="3" applyNumberFormat="1" applyFont="1" applyFill="1" applyBorder="1" applyAlignment="1" applyProtection="1">
      <alignment horizontal="left" vertical="center"/>
    </xf>
    <xf numFmtId="164" fontId="7" fillId="3" borderId="18" xfId="3" applyNumberFormat="1" applyFont="1" applyFill="1" applyBorder="1" applyAlignment="1" applyProtection="1">
      <alignment horizontal="left" vertical="center"/>
    </xf>
    <xf numFmtId="1" fontId="11" fillId="0" borderId="21" xfId="0" applyNumberFormat="1" applyFont="1" applyFill="1" applyBorder="1" applyAlignment="1" applyProtection="1">
      <alignment horizontal="left" vertical="center"/>
    </xf>
    <xf numFmtId="1" fontId="11" fillId="0" borderId="22" xfId="0" applyNumberFormat="1" applyFont="1" applyFill="1" applyBorder="1" applyAlignment="1" applyProtection="1">
      <alignment horizontal="center" vertical="center"/>
    </xf>
    <xf numFmtId="1" fontId="11" fillId="0" borderId="23" xfId="0" applyNumberFormat="1" applyFont="1" applyFill="1" applyBorder="1" applyAlignment="1" applyProtection="1">
      <alignment horizontal="center" vertical="center"/>
    </xf>
    <xf numFmtId="0" fontId="2" fillId="0" borderId="0" xfId="0" quotePrefix="1" applyFont="1" applyFill="1" applyAlignment="1" applyProtection="1">
      <alignment vertical="center"/>
    </xf>
    <xf numFmtId="0" fontId="8" fillId="0" borderId="0" xfId="0" applyFont="1" applyFill="1" applyAlignment="1" applyProtection="1">
      <alignment horizontal="right" vertical="center"/>
    </xf>
    <xf numFmtId="0" fontId="9" fillId="5" borderId="24" xfId="0" applyFont="1" applyFill="1" applyBorder="1" applyAlignment="1" applyProtection="1">
      <alignment horizontal="center" vertical="center"/>
    </xf>
    <xf numFmtId="0" fontId="9" fillId="5" borderId="25" xfId="0" applyFont="1" applyFill="1" applyBorder="1" applyAlignment="1" applyProtection="1">
      <alignment horizontal="center" vertical="center"/>
    </xf>
    <xf numFmtId="0" fontId="9" fillId="5" borderId="26" xfId="0" applyFont="1" applyFill="1" applyBorder="1" applyAlignment="1" applyProtection="1">
      <alignment horizontal="center" vertical="center"/>
    </xf>
    <xf numFmtId="164" fontId="9" fillId="5" borderId="27" xfId="0" applyNumberFormat="1" applyFont="1" applyFill="1" applyBorder="1" applyAlignment="1" applyProtection="1">
      <alignment horizontal="center" vertical="center"/>
    </xf>
    <xf numFmtId="0" fontId="9" fillId="5" borderId="28" xfId="0" applyFont="1" applyFill="1" applyBorder="1" applyAlignment="1" applyProtection="1">
      <alignment horizontal="center" vertical="center"/>
    </xf>
    <xf numFmtId="0" fontId="9" fillId="5" borderId="29" xfId="0" applyFont="1" applyFill="1" applyBorder="1" applyAlignment="1" applyProtection="1">
      <alignment horizontal="center" vertical="center"/>
    </xf>
    <xf numFmtId="0" fontId="6" fillId="0" borderId="0" xfId="0" applyFont="1" applyFill="1" applyAlignment="1" applyProtection="1">
      <alignment vertical="center"/>
    </xf>
    <xf numFmtId="3" fontId="13" fillId="3" borderId="30" xfId="0" applyNumberFormat="1" applyFont="1" applyFill="1" applyBorder="1" applyAlignment="1" applyProtection="1">
      <alignment horizontal="center" vertical="center"/>
    </xf>
    <xf numFmtId="3" fontId="13" fillId="3" borderId="31" xfId="0" applyNumberFormat="1" applyFont="1" applyFill="1" applyBorder="1" applyAlignment="1" applyProtection="1">
      <alignment horizontal="center" vertical="center"/>
    </xf>
    <xf numFmtId="3" fontId="8" fillId="5" borderId="32" xfId="0" applyNumberFormat="1" applyFont="1" applyFill="1" applyBorder="1" applyAlignment="1" applyProtection="1">
      <alignment horizontal="center" vertical="center"/>
    </xf>
    <xf numFmtId="3" fontId="8" fillId="5" borderId="33" xfId="0" applyNumberFormat="1" applyFont="1" applyFill="1" applyBorder="1" applyAlignment="1" applyProtection="1">
      <alignment horizontal="center" vertical="center"/>
    </xf>
    <xf numFmtId="3" fontId="9" fillId="5" borderId="34" xfId="0" applyNumberFormat="1" applyFont="1" applyFill="1" applyBorder="1" applyAlignment="1" applyProtection="1">
      <alignment horizontal="center" vertical="center"/>
    </xf>
    <xf numFmtId="3" fontId="9" fillId="5" borderId="4" xfId="0" applyNumberFormat="1" applyFont="1" applyFill="1" applyBorder="1" applyAlignment="1" applyProtection="1">
      <alignment horizontal="center" vertical="center"/>
    </xf>
    <xf numFmtId="3" fontId="7" fillId="3" borderId="35" xfId="3" applyNumberFormat="1" applyFont="1" applyFill="1" applyBorder="1" applyAlignment="1" applyProtection="1">
      <alignment horizontal="center" vertical="center"/>
    </xf>
    <xf numFmtId="3" fontId="7" fillId="3" borderId="36" xfId="3" applyNumberFormat="1" applyFont="1" applyFill="1" applyBorder="1" applyAlignment="1" applyProtection="1">
      <alignment horizontal="center" vertical="center"/>
    </xf>
    <xf numFmtId="3" fontId="7" fillId="3" borderId="30" xfId="3" applyNumberFormat="1" applyFont="1" applyFill="1" applyBorder="1" applyAlignment="1" applyProtection="1">
      <alignment horizontal="center" vertical="center"/>
    </xf>
    <xf numFmtId="3" fontId="7" fillId="3" borderId="31" xfId="3" applyNumberFormat="1" applyFont="1" applyFill="1" applyBorder="1" applyAlignment="1" applyProtection="1">
      <alignment horizontal="center" vertical="center"/>
    </xf>
    <xf numFmtId="3" fontId="7" fillId="3" borderId="37" xfId="3" applyNumberFormat="1" applyFont="1" applyFill="1" applyBorder="1" applyAlignment="1" applyProtection="1">
      <alignment horizontal="center" vertical="center"/>
    </xf>
    <xf numFmtId="3" fontId="7" fillId="3" borderId="33" xfId="3" applyNumberFormat="1" applyFont="1" applyFill="1" applyBorder="1" applyAlignment="1" applyProtection="1">
      <alignment horizontal="center" vertical="center"/>
    </xf>
    <xf numFmtId="0" fontId="9" fillId="5" borderId="16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left" vertical="center"/>
    </xf>
    <xf numFmtId="0" fontId="8" fillId="3" borderId="11" xfId="0" applyFont="1" applyFill="1" applyBorder="1" applyAlignment="1" applyProtection="1">
      <alignment horizontal="left" vertical="center"/>
    </xf>
    <xf numFmtId="17" fontId="9" fillId="4" borderId="8" xfId="0" applyNumberFormat="1" applyFont="1" applyFill="1" applyBorder="1" applyAlignment="1" applyProtection="1">
      <alignment horizontal="center" vertical="center"/>
      <protection locked="0"/>
    </xf>
    <xf numFmtId="0" fontId="8" fillId="5" borderId="32" xfId="0" applyFont="1" applyFill="1" applyBorder="1" applyAlignment="1" applyProtection="1">
      <alignment horizontal="left" vertical="center"/>
    </xf>
    <xf numFmtId="0" fontId="9" fillId="5" borderId="34" xfId="0" applyFont="1" applyFill="1" applyBorder="1" applyAlignment="1" applyProtection="1">
      <alignment horizontal="left" vertical="center"/>
    </xf>
    <xf numFmtId="164" fontId="14" fillId="6" borderId="34" xfId="3" applyNumberFormat="1" applyFont="1" applyFill="1" applyBorder="1" applyAlignment="1" applyProtection="1">
      <alignment horizontal="left" vertical="center"/>
    </xf>
    <xf numFmtId="164" fontId="7" fillId="3" borderId="38" xfId="3" applyNumberFormat="1" applyFont="1" applyFill="1" applyBorder="1" applyAlignment="1" applyProtection="1">
      <alignment horizontal="left" vertical="center"/>
    </xf>
    <xf numFmtId="164" fontId="7" fillId="3" borderId="39" xfId="3" applyNumberFormat="1" applyFont="1" applyFill="1" applyBorder="1" applyAlignment="1" applyProtection="1">
      <alignment horizontal="left" vertical="center"/>
    </xf>
    <xf numFmtId="164" fontId="7" fillId="3" borderId="32" xfId="3" applyNumberFormat="1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vertical="center"/>
    </xf>
    <xf numFmtId="0" fontId="7" fillId="3" borderId="11" xfId="0" applyFont="1" applyFill="1" applyBorder="1" applyAlignment="1" applyProtection="1">
      <alignment vertical="center"/>
    </xf>
    <xf numFmtId="0" fontId="7" fillId="5" borderId="40" xfId="0" applyFont="1" applyFill="1" applyBorder="1" applyAlignment="1" applyProtection="1">
      <alignment horizontal="left" vertical="center" indent="1"/>
    </xf>
    <xf numFmtId="0" fontId="7" fillId="5" borderId="16" xfId="0" applyFont="1" applyFill="1" applyBorder="1" applyAlignment="1" applyProtection="1">
      <alignment horizontal="left" vertical="center" indent="1"/>
    </xf>
    <xf numFmtId="0" fontId="7" fillId="3" borderId="41" xfId="0" applyFont="1" applyFill="1" applyBorder="1" applyAlignment="1" applyProtection="1">
      <alignment horizontal="center" vertical="center"/>
    </xf>
    <xf numFmtId="164" fontId="9" fillId="3" borderId="28" xfId="0" applyNumberFormat="1" applyFont="1" applyFill="1" applyBorder="1" applyAlignment="1" applyProtection="1">
      <alignment horizontal="center" vertical="center"/>
    </xf>
    <xf numFmtId="0" fontId="7" fillId="5" borderId="42" xfId="0" applyFont="1" applyFill="1" applyBorder="1" applyAlignment="1" applyProtection="1">
      <alignment horizontal="center" vertical="center"/>
    </xf>
    <xf numFmtId="0" fontId="7" fillId="5" borderId="43" xfId="0" applyFont="1" applyFill="1" applyBorder="1" applyAlignment="1" applyProtection="1">
      <alignment horizontal="center" vertical="center"/>
    </xf>
    <xf numFmtId="164" fontId="9" fillId="5" borderId="44" xfId="0" applyNumberFormat="1" applyFont="1" applyFill="1" applyBorder="1" applyAlignment="1" applyProtection="1">
      <alignment horizontal="center" vertical="center"/>
    </xf>
    <xf numFmtId="0" fontId="2" fillId="4" borderId="41" xfId="0" applyFont="1" applyFill="1" applyBorder="1" applyAlignment="1" applyProtection="1">
      <alignment vertical="center"/>
    </xf>
    <xf numFmtId="0" fontId="2" fillId="4" borderId="45" xfId="0" applyFont="1" applyFill="1" applyBorder="1" applyAlignment="1" applyProtection="1">
      <alignment vertical="center"/>
    </xf>
    <xf numFmtId="0" fontId="13" fillId="3" borderId="46" xfId="0" applyNumberFormat="1" applyFont="1" applyFill="1" applyBorder="1" applyAlignment="1" applyProtection="1">
      <alignment horizontal="left" vertical="center"/>
    </xf>
    <xf numFmtId="0" fontId="15" fillId="3" borderId="14" xfId="0" applyNumberFormat="1" applyFont="1" applyFill="1" applyBorder="1" applyAlignment="1" applyProtection="1">
      <alignment horizontal="left" vertical="center"/>
    </xf>
    <xf numFmtId="3" fontId="9" fillId="6" borderId="3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Alignment="1" applyProtection="1">
      <alignment horizontal="left" vertical="center"/>
    </xf>
    <xf numFmtId="0" fontId="16" fillId="0" borderId="0" xfId="0" applyFont="1" applyFill="1" applyAlignment="1" applyProtection="1">
      <alignment horizontal="left" vertical="center" wrapText="1"/>
    </xf>
    <xf numFmtId="0" fontId="17" fillId="0" borderId="0" xfId="0" applyFont="1" applyFill="1" applyAlignment="1" applyProtection="1">
      <alignment horizontal="left" vertical="center" wrapText="1"/>
    </xf>
    <xf numFmtId="17" fontId="11" fillId="0" borderId="47" xfId="0" applyNumberFormat="1" applyFont="1" applyFill="1" applyBorder="1" applyAlignment="1" applyProtection="1">
      <alignment horizontal="left" vertical="center"/>
    </xf>
    <xf numFmtId="17" fontId="11" fillId="0" borderId="47" xfId="0" applyNumberFormat="1" applyFont="1" applyFill="1" applyBorder="1" applyAlignment="1" applyProtection="1">
      <alignment horizontal="center" vertical="center"/>
    </xf>
    <xf numFmtId="17" fontId="11" fillId="0" borderId="48" xfId="0" applyNumberFormat="1" applyFont="1" applyFill="1" applyBorder="1" applyAlignment="1" applyProtection="1">
      <alignment horizontal="center" vertical="center"/>
    </xf>
    <xf numFmtId="1" fontId="12" fillId="0" borderId="21" xfId="0" applyNumberFormat="1" applyFont="1" applyFill="1" applyBorder="1" applyAlignment="1" applyProtection="1">
      <alignment horizontal="left" vertical="center"/>
    </xf>
    <xf numFmtId="1" fontId="12" fillId="0" borderId="22" xfId="0" applyNumberFormat="1" applyFont="1" applyFill="1" applyBorder="1" applyAlignment="1" applyProtection="1">
      <alignment horizontal="left" vertical="center"/>
    </xf>
    <xf numFmtId="1" fontId="11" fillId="0" borderId="22" xfId="0" applyNumberFormat="1" applyFont="1" applyFill="1" applyBorder="1" applyAlignment="1" applyProtection="1">
      <alignment horizontal="left" vertical="center"/>
    </xf>
    <xf numFmtId="1" fontId="11" fillId="0" borderId="49" xfId="0" applyNumberFormat="1" applyFont="1" applyFill="1" applyBorder="1" applyAlignment="1" applyProtection="1">
      <alignment horizontal="left" vertical="center"/>
    </xf>
    <xf numFmtId="3" fontId="9" fillId="6" borderId="4" xfId="0" applyNumberFormat="1" applyFont="1" applyFill="1" applyBorder="1" applyAlignment="1" applyProtection="1">
      <alignment horizontal="center" vertical="center"/>
    </xf>
    <xf numFmtId="3" fontId="13" fillId="3" borderId="28" xfId="0" applyNumberFormat="1" applyFont="1" applyFill="1" applyBorder="1" applyAlignment="1" applyProtection="1">
      <alignment horizontal="center" vertical="center"/>
    </xf>
    <xf numFmtId="3" fontId="13" fillId="3" borderId="27" xfId="0" applyNumberFormat="1" applyFont="1" applyFill="1" applyBorder="1" applyAlignment="1" applyProtection="1">
      <alignment horizontal="center" vertical="center"/>
    </xf>
    <xf numFmtId="0" fontId="10" fillId="5" borderId="2" xfId="0" applyFont="1" applyFill="1" applyBorder="1" applyAlignment="1" applyProtection="1">
      <alignment horizontal="left" vertical="center"/>
    </xf>
    <xf numFmtId="0" fontId="10" fillId="5" borderId="34" xfId="0" applyFont="1" applyFill="1" applyBorder="1" applyAlignment="1" applyProtection="1">
      <alignment horizontal="left" vertical="center"/>
    </xf>
    <xf numFmtId="3" fontId="10" fillId="5" borderId="34" xfId="0" applyNumberFormat="1" applyFont="1" applyFill="1" applyBorder="1" applyAlignment="1" applyProtection="1">
      <alignment horizontal="center" vertical="center"/>
    </xf>
    <xf numFmtId="3" fontId="10" fillId="5" borderId="50" xfId="0" applyNumberFormat="1" applyFont="1" applyFill="1" applyBorder="1" applyAlignment="1" applyProtection="1">
      <alignment horizontal="center" vertical="center"/>
    </xf>
    <xf numFmtId="0" fontId="8" fillId="5" borderId="2" xfId="0" applyFont="1" applyFill="1" applyBorder="1" applyAlignment="1" applyProtection="1">
      <alignment horizontal="left" vertical="center"/>
    </xf>
    <xf numFmtId="0" fontId="8" fillId="5" borderId="34" xfId="0" applyFont="1" applyFill="1" applyBorder="1" applyAlignment="1" applyProtection="1">
      <alignment horizontal="left" vertical="center"/>
    </xf>
    <xf numFmtId="3" fontId="8" fillId="5" borderId="34" xfId="0" applyNumberFormat="1" applyFont="1" applyFill="1" applyBorder="1" applyAlignment="1" applyProtection="1">
      <alignment horizontal="center" vertical="center"/>
    </xf>
    <xf numFmtId="3" fontId="8" fillId="5" borderId="4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 applyProtection="1">
      <alignment vertical="center"/>
    </xf>
    <xf numFmtId="0" fontId="7" fillId="5" borderId="5" xfId="0" applyFont="1" applyFill="1" applyBorder="1" applyAlignment="1" applyProtection="1">
      <alignment horizontal="right" vertical="center"/>
    </xf>
    <xf numFmtId="17" fontId="10" fillId="7" borderId="17" xfId="0" applyNumberFormat="1" applyFont="1" applyFill="1" applyBorder="1" applyAlignment="1" applyProtection="1">
      <alignment horizontal="center" vertical="center"/>
      <protection locked="0"/>
    </xf>
    <xf numFmtId="0" fontId="10" fillId="7" borderId="28" xfId="0" applyFont="1" applyFill="1" applyBorder="1" applyAlignment="1" applyProtection="1">
      <alignment horizontal="right" vertical="center"/>
    </xf>
    <xf numFmtId="0" fontId="7" fillId="3" borderId="12" xfId="0" applyFont="1" applyFill="1" applyBorder="1" applyAlignment="1" applyProtection="1">
      <alignment horizontal="center" vertical="center"/>
    </xf>
    <xf numFmtId="0" fontId="7" fillId="5" borderId="40" xfId="0" applyFont="1" applyFill="1" applyBorder="1" applyAlignment="1" applyProtection="1">
      <alignment horizontal="center" vertical="center"/>
    </xf>
    <xf numFmtId="3" fontId="9" fillId="5" borderId="24" xfId="0" applyNumberFormat="1" applyFont="1" applyFill="1" applyBorder="1" applyAlignment="1" applyProtection="1">
      <alignment horizontal="center" vertical="center"/>
    </xf>
    <xf numFmtId="0" fontId="11" fillId="0" borderId="51" xfId="0" applyNumberFormat="1" applyFont="1" applyFill="1" applyBorder="1" applyAlignment="1" applyProtection="1">
      <alignment horizontal="left" vertical="center"/>
    </xf>
    <xf numFmtId="0" fontId="19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/>
    <xf numFmtId="0" fontId="7" fillId="0" borderId="0" xfId="0" applyFont="1" applyFill="1" applyAlignment="1" applyProtection="1">
      <alignment horizontal="right"/>
    </xf>
    <xf numFmtId="0" fontId="7" fillId="0" borderId="0" xfId="0" applyFont="1" applyFill="1" applyAlignment="1" applyProtection="1">
      <alignment horizontal="right" vertical="center"/>
    </xf>
    <xf numFmtId="2" fontId="9" fillId="3" borderId="12" xfId="0" applyNumberFormat="1" applyFont="1" applyFill="1" applyBorder="1" applyAlignment="1" applyProtection="1">
      <alignment horizontal="center" vertical="center"/>
    </xf>
    <xf numFmtId="164" fontId="7" fillId="3" borderId="42" xfId="3" applyNumberFormat="1" applyFont="1" applyFill="1" applyBorder="1" applyAlignment="1" applyProtection="1">
      <alignment horizontal="left" vertical="center"/>
    </xf>
    <xf numFmtId="164" fontId="7" fillId="3" borderId="10" xfId="3" applyNumberFormat="1" applyFont="1" applyFill="1" applyBorder="1" applyAlignment="1" applyProtection="1">
      <alignment horizontal="left" vertical="center"/>
    </xf>
    <xf numFmtId="3" fontId="7" fillId="3" borderId="43" xfId="3" applyNumberFormat="1" applyFont="1" applyFill="1" applyBorder="1" applyAlignment="1" applyProtection="1">
      <alignment horizontal="center" vertical="center"/>
    </xf>
    <xf numFmtId="0" fontId="21" fillId="0" borderId="0" xfId="0" applyFont="1" applyFill="1" applyBorder="1" applyAlignment="1" applyProtection="1">
      <alignment vertical="center"/>
    </xf>
    <xf numFmtId="0" fontId="21" fillId="0" borderId="0" xfId="0" applyFont="1" applyFill="1" applyAlignment="1" applyProtection="1">
      <alignment vertical="center"/>
    </xf>
    <xf numFmtId="0" fontId="7" fillId="5" borderId="19" xfId="0" applyNumberFormat="1" applyFont="1" applyFill="1" applyBorder="1" applyAlignment="1" applyProtection="1">
      <alignment horizontal="center" vertical="center"/>
    </xf>
    <xf numFmtId="0" fontId="7" fillId="5" borderId="35" xfId="0" applyNumberFormat="1" applyFont="1" applyFill="1" applyBorder="1" applyAlignment="1" applyProtection="1">
      <alignment horizontal="center" vertical="center"/>
    </xf>
    <xf numFmtId="0" fontId="7" fillId="5" borderId="36" xfId="0" applyNumberFormat="1" applyFont="1" applyFill="1" applyBorder="1" applyAlignment="1" applyProtection="1">
      <alignment horizontal="center" vertical="center"/>
    </xf>
    <xf numFmtId="3" fontId="13" fillId="3" borderId="20" xfId="0" applyNumberFormat="1" applyFont="1" applyFill="1" applyBorder="1" applyAlignment="1" applyProtection="1">
      <alignment horizontal="center" vertical="center"/>
    </xf>
    <xf numFmtId="3" fontId="10" fillId="5" borderId="42" xfId="0" applyNumberFormat="1" applyFont="1" applyFill="1" applyBorder="1" applyAlignment="1" applyProtection="1">
      <alignment horizontal="center" vertical="center"/>
    </xf>
    <xf numFmtId="3" fontId="10" fillId="5" borderId="41" xfId="0" applyNumberFormat="1" applyFont="1" applyFill="1" applyBorder="1" applyAlignment="1" applyProtection="1">
      <alignment horizontal="center" vertical="center"/>
    </xf>
    <xf numFmtId="3" fontId="10" fillId="5" borderId="43" xfId="0" applyNumberFormat="1" applyFont="1" applyFill="1" applyBorder="1" applyAlignment="1" applyProtection="1">
      <alignment horizontal="center" vertical="center"/>
    </xf>
    <xf numFmtId="3" fontId="13" fillId="3" borderId="19" xfId="0" applyNumberFormat="1" applyFont="1" applyFill="1" applyBorder="1" applyAlignment="1" applyProtection="1">
      <alignment horizontal="center" vertical="center"/>
    </xf>
    <xf numFmtId="3" fontId="13" fillId="3" borderId="35" xfId="0" applyNumberFormat="1" applyFont="1" applyFill="1" applyBorder="1" applyAlignment="1" applyProtection="1">
      <alignment horizontal="center" vertical="center"/>
    </xf>
    <xf numFmtId="3" fontId="13" fillId="3" borderId="36" xfId="0" applyNumberFormat="1" applyFont="1" applyFill="1" applyBorder="1" applyAlignment="1" applyProtection="1">
      <alignment horizontal="center" vertical="center"/>
    </xf>
    <xf numFmtId="3" fontId="8" fillId="5" borderId="18" xfId="0" applyNumberFormat="1" applyFont="1" applyFill="1" applyBorder="1" applyAlignment="1" applyProtection="1">
      <alignment horizontal="center" vertical="center"/>
    </xf>
    <xf numFmtId="3" fontId="8" fillId="5" borderId="37" xfId="0" applyNumberFormat="1" applyFont="1" applyFill="1" applyBorder="1" applyAlignment="1" applyProtection="1">
      <alignment horizontal="center" vertical="center"/>
    </xf>
    <xf numFmtId="3" fontId="22" fillId="5" borderId="18" xfId="0" applyNumberFormat="1" applyFont="1" applyFill="1" applyBorder="1" applyAlignment="1" applyProtection="1">
      <alignment horizontal="center" vertical="center"/>
    </xf>
    <xf numFmtId="3" fontId="22" fillId="5" borderId="37" xfId="0" applyNumberFormat="1" applyFont="1" applyFill="1" applyBorder="1" applyAlignment="1" applyProtection="1">
      <alignment horizontal="center" vertical="center"/>
    </xf>
    <xf numFmtId="3" fontId="22" fillId="5" borderId="33" xfId="0" applyNumberFormat="1" applyFont="1" applyFill="1" applyBorder="1" applyAlignment="1" applyProtection="1">
      <alignment horizontal="center" vertical="center"/>
    </xf>
    <xf numFmtId="0" fontId="23" fillId="5" borderId="2" xfId="0" applyFont="1" applyFill="1" applyBorder="1" applyAlignment="1" applyProtection="1">
      <alignment horizontal="left" vertical="center"/>
    </xf>
    <xf numFmtId="0" fontId="23" fillId="5" borderId="34" xfId="0" applyFont="1" applyFill="1" applyBorder="1" applyAlignment="1" applyProtection="1">
      <alignment horizontal="left" vertical="center"/>
    </xf>
    <xf numFmtId="3" fontId="23" fillId="5" borderId="34" xfId="0" applyNumberFormat="1" applyFont="1" applyFill="1" applyBorder="1" applyAlignment="1" applyProtection="1">
      <alignment horizontal="center" vertical="center"/>
    </xf>
    <xf numFmtId="3" fontId="23" fillId="5" borderId="4" xfId="0" applyNumberFormat="1" applyFont="1" applyFill="1" applyBorder="1" applyAlignment="1" applyProtection="1">
      <alignment horizontal="center" vertical="center"/>
    </xf>
    <xf numFmtId="3" fontId="23" fillId="5" borderId="18" xfId="0" applyNumberFormat="1" applyFont="1" applyFill="1" applyBorder="1" applyAlignment="1" applyProtection="1">
      <alignment horizontal="center" vertical="center"/>
    </xf>
    <xf numFmtId="3" fontId="23" fillId="5" borderId="37" xfId="0" applyNumberFormat="1" applyFont="1" applyFill="1" applyBorder="1" applyAlignment="1" applyProtection="1">
      <alignment horizontal="center" vertical="center"/>
    </xf>
    <xf numFmtId="3" fontId="23" fillId="5" borderId="33" xfId="0" applyNumberFormat="1" applyFont="1" applyFill="1" applyBorder="1" applyAlignment="1" applyProtection="1">
      <alignment horizontal="center" vertical="center"/>
    </xf>
    <xf numFmtId="0" fontId="23" fillId="5" borderId="18" xfId="0" applyFont="1" applyFill="1" applyBorder="1" applyAlignment="1" applyProtection="1">
      <alignment horizontal="left" vertical="center"/>
    </xf>
    <xf numFmtId="0" fontId="23" fillId="5" borderId="32" xfId="0" applyFont="1" applyFill="1" applyBorder="1" applyAlignment="1" applyProtection="1">
      <alignment horizontal="left" vertical="center"/>
    </xf>
    <xf numFmtId="3" fontId="23" fillId="5" borderId="32" xfId="0" applyNumberFormat="1" applyFont="1" applyFill="1" applyBorder="1" applyAlignment="1" applyProtection="1">
      <alignment horizontal="center" vertical="center"/>
    </xf>
    <xf numFmtId="1" fontId="11" fillId="0" borderId="52" xfId="0" applyNumberFormat="1" applyFont="1" applyFill="1" applyBorder="1" applyAlignment="1" applyProtection="1">
      <alignment horizontal="left" vertical="center"/>
    </xf>
    <xf numFmtId="1" fontId="11" fillId="0" borderId="53" xfId="0" applyNumberFormat="1" applyFont="1" applyFill="1" applyBorder="1" applyAlignment="1" applyProtection="1">
      <alignment horizontal="left" vertical="center"/>
    </xf>
    <xf numFmtId="1" fontId="11" fillId="0" borderId="54" xfId="0" applyNumberFormat="1" applyFont="1" applyFill="1" applyBorder="1" applyAlignment="1" applyProtection="1">
      <alignment horizontal="center" vertical="center"/>
    </xf>
    <xf numFmtId="0" fontId="2" fillId="0" borderId="55" xfId="0" applyFont="1" applyFill="1" applyBorder="1" applyAlignment="1" applyProtection="1">
      <alignment vertical="center"/>
    </xf>
    <xf numFmtId="1" fontId="11" fillId="0" borderId="47" xfId="0" applyNumberFormat="1" applyFont="1" applyFill="1" applyBorder="1" applyAlignment="1" applyProtection="1">
      <alignment horizontal="center" vertical="center"/>
    </xf>
    <xf numFmtId="1" fontId="11" fillId="0" borderId="48" xfId="0" applyNumberFormat="1" applyFont="1" applyFill="1" applyBorder="1" applyAlignment="1" applyProtection="1">
      <alignment horizontal="center" vertical="center"/>
    </xf>
    <xf numFmtId="1" fontId="12" fillId="0" borderId="56" xfId="0" applyNumberFormat="1" applyFont="1" applyFill="1" applyBorder="1" applyAlignment="1" applyProtection="1">
      <alignment horizontal="left" vertical="center"/>
    </xf>
    <xf numFmtId="1" fontId="12" fillId="0" borderId="57" xfId="0" applyNumberFormat="1" applyFont="1" applyFill="1" applyBorder="1" applyAlignment="1" applyProtection="1">
      <alignment horizontal="left" vertical="center"/>
    </xf>
    <xf numFmtId="1" fontId="12" fillId="0" borderId="22" xfId="0" applyNumberFormat="1" applyFont="1" applyFill="1" applyBorder="1" applyAlignment="1" applyProtection="1">
      <alignment horizontal="center" vertical="center"/>
    </xf>
    <xf numFmtId="1" fontId="12" fillId="0" borderId="23" xfId="0" applyNumberFormat="1" applyFont="1" applyFill="1" applyBorder="1" applyAlignment="1" applyProtection="1">
      <alignment horizontal="center" vertical="center"/>
    </xf>
    <xf numFmtId="1" fontId="12" fillId="0" borderId="57" xfId="0" applyNumberFormat="1" applyFont="1" applyFill="1" applyBorder="1" applyAlignment="1" applyProtection="1">
      <alignment horizontal="center" vertical="center"/>
    </xf>
    <xf numFmtId="1" fontId="12" fillId="0" borderId="49" xfId="0" applyNumberFormat="1" applyFont="1" applyFill="1" applyBorder="1" applyAlignment="1" applyProtection="1">
      <alignment horizontal="center" vertical="center"/>
    </xf>
    <xf numFmtId="0" fontId="18" fillId="5" borderId="8" xfId="0" applyFont="1" applyFill="1" applyBorder="1" applyAlignment="1" applyProtection="1">
      <alignment horizontal="left" vertical="center"/>
    </xf>
    <xf numFmtId="0" fontId="7" fillId="0" borderId="0" xfId="0" applyFont="1" applyFill="1" applyAlignment="1" applyProtection="1">
      <alignment horizontal="left"/>
    </xf>
    <xf numFmtId="0" fontId="24" fillId="0" borderId="0" xfId="0" applyFont="1" applyFill="1" applyAlignment="1" applyProtection="1">
      <alignment horizontal="center"/>
    </xf>
    <xf numFmtId="0" fontId="24" fillId="0" borderId="0" xfId="0" applyFont="1" applyFill="1" applyAlignment="1" applyProtection="1">
      <alignment horizontal="right"/>
    </xf>
    <xf numFmtId="3" fontId="13" fillId="3" borderId="18" xfId="0" applyNumberFormat="1" applyFont="1" applyFill="1" applyBorder="1" applyAlignment="1" applyProtection="1">
      <alignment horizontal="center" vertical="center"/>
    </xf>
    <xf numFmtId="3" fontId="13" fillId="3" borderId="37" xfId="0" applyNumberFormat="1" applyFont="1" applyFill="1" applyBorder="1" applyAlignment="1" applyProtection="1">
      <alignment horizontal="center" vertical="center"/>
    </xf>
    <xf numFmtId="3" fontId="13" fillId="3" borderId="33" xfId="0" applyNumberFormat="1" applyFont="1" applyFill="1" applyBorder="1" applyAlignment="1" applyProtection="1">
      <alignment horizontal="center" vertical="center"/>
    </xf>
    <xf numFmtId="0" fontId="26" fillId="0" borderId="0" xfId="0" applyFont="1" applyFill="1" applyAlignment="1" applyProtection="1">
      <alignment vertical="center"/>
    </xf>
    <xf numFmtId="3" fontId="10" fillId="5" borderId="2" xfId="0" applyNumberFormat="1" applyFont="1" applyFill="1" applyBorder="1" applyAlignment="1" applyProtection="1">
      <alignment horizontal="center" vertical="center"/>
    </xf>
    <xf numFmtId="3" fontId="10" fillId="5" borderId="3" xfId="0" applyNumberFormat="1" applyFont="1" applyFill="1" applyBorder="1" applyAlignment="1" applyProtection="1">
      <alignment horizontal="center" vertical="center"/>
    </xf>
    <xf numFmtId="3" fontId="10" fillId="5" borderId="4" xfId="0" applyNumberFormat="1" applyFont="1" applyFill="1" applyBorder="1" applyAlignment="1" applyProtection="1">
      <alignment horizontal="center" vertical="center"/>
    </xf>
    <xf numFmtId="3" fontId="8" fillId="5" borderId="2" xfId="0" applyNumberFormat="1" applyFont="1" applyFill="1" applyBorder="1" applyAlignment="1" applyProtection="1">
      <alignment horizontal="center" vertical="center"/>
    </xf>
    <xf numFmtId="3" fontId="8" fillId="5" borderId="3" xfId="0" applyNumberFormat="1" applyFont="1" applyFill="1" applyBorder="1" applyAlignment="1" applyProtection="1">
      <alignment horizontal="center" vertical="center"/>
    </xf>
    <xf numFmtId="3" fontId="23" fillId="5" borderId="2" xfId="0" applyNumberFormat="1" applyFont="1" applyFill="1" applyBorder="1" applyAlignment="1" applyProtection="1">
      <alignment horizontal="center" vertical="center"/>
    </xf>
    <xf numFmtId="3" fontId="23" fillId="5" borderId="3" xfId="0" applyNumberFormat="1" applyFont="1" applyFill="1" applyBorder="1" applyAlignment="1" applyProtection="1">
      <alignment horizontal="center" vertical="center"/>
    </xf>
    <xf numFmtId="0" fontId="7" fillId="5" borderId="1" xfId="0" applyNumberFormat="1" applyFont="1" applyFill="1" applyBorder="1" applyAlignment="1" applyProtection="1">
      <alignment horizontal="center" vertical="center"/>
    </xf>
    <xf numFmtId="0" fontId="7" fillId="5" borderId="5" xfId="0" applyNumberFormat="1" applyFont="1" applyFill="1" applyBorder="1" applyAlignment="1" applyProtection="1">
      <alignment horizontal="center" vertical="center"/>
    </xf>
    <xf numFmtId="0" fontId="7" fillId="5" borderId="7" xfId="0" applyNumberFormat="1" applyFont="1" applyFill="1" applyBorder="1" applyAlignment="1" applyProtection="1">
      <alignment horizontal="center" vertical="center"/>
    </xf>
    <xf numFmtId="0" fontId="9" fillId="5" borderId="1" xfId="0" applyFont="1" applyFill="1" applyBorder="1" applyAlignment="1" applyProtection="1">
      <alignment horizontal="left" vertical="center"/>
    </xf>
    <xf numFmtId="0" fontId="9" fillId="5" borderId="58" xfId="0" applyFont="1" applyFill="1" applyBorder="1" applyAlignment="1" applyProtection="1">
      <alignment horizontal="left" vertical="center"/>
    </xf>
    <xf numFmtId="3" fontId="9" fillId="5" borderId="58" xfId="0" applyNumberFormat="1" applyFont="1" applyFill="1" applyBorder="1" applyAlignment="1" applyProtection="1">
      <alignment horizontal="center" vertical="center"/>
    </xf>
    <xf numFmtId="3" fontId="9" fillId="5" borderId="7" xfId="0" applyNumberFormat="1" applyFont="1" applyFill="1" applyBorder="1" applyAlignment="1" applyProtection="1">
      <alignment horizontal="center" vertical="center"/>
    </xf>
    <xf numFmtId="164" fontId="14" fillId="6" borderId="29" xfId="3" applyNumberFormat="1" applyFont="1" applyFill="1" applyBorder="1" applyAlignment="1" applyProtection="1">
      <alignment horizontal="left" vertical="center"/>
    </xf>
    <xf numFmtId="164" fontId="14" fillId="6" borderId="25" xfId="3" applyNumberFormat="1" applyFont="1" applyFill="1" applyBorder="1" applyAlignment="1" applyProtection="1">
      <alignment horizontal="left" vertical="center"/>
    </xf>
    <xf numFmtId="164" fontId="7" fillId="6" borderId="45" xfId="3" applyNumberFormat="1" applyFont="1" applyFill="1" applyBorder="1" applyAlignment="1" applyProtection="1">
      <alignment horizontal="center" vertical="center"/>
    </xf>
    <xf numFmtId="3" fontId="9" fillId="6" borderId="45" xfId="0" applyNumberFormat="1" applyFont="1" applyFill="1" applyBorder="1" applyAlignment="1" applyProtection="1">
      <alignment horizontal="center" vertical="center"/>
    </xf>
    <xf numFmtId="3" fontId="9" fillId="6" borderId="44" xfId="0" applyNumberFormat="1" applyFont="1" applyFill="1" applyBorder="1" applyAlignment="1" applyProtection="1">
      <alignment horizontal="center" vertical="center"/>
    </xf>
    <xf numFmtId="0" fontId="13" fillId="10" borderId="2" xfId="0" applyNumberFormat="1" applyFont="1" applyFill="1" applyBorder="1" applyAlignment="1" applyProtection="1">
      <alignment horizontal="left" vertical="center"/>
    </xf>
    <xf numFmtId="0" fontId="9" fillId="11" borderId="3" xfId="0" applyFont="1" applyFill="1" applyBorder="1" applyAlignment="1" applyProtection="1">
      <alignment horizontal="left" vertical="center"/>
    </xf>
    <xf numFmtId="3" fontId="22" fillId="0" borderId="0" xfId="0" applyNumberFormat="1" applyFont="1" applyFill="1" applyBorder="1" applyAlignment="1" applyProtection="1">
      <alignment horizontal="center" vertical="center"/>
    </xf>
    <xf numFmtId="3" fontId="13" fillId="3" borderId="59" xfId="0" applyNumberFormat="1" applyFont="1" applyFill="1" applyBorder="1" applyAlignment="1" applyProtection="1">
      <alignment horizontal="center" vertical="center"/>
    </xf>
    <xf numFmtId="3" fontId="13" fillId="3" borderId="17" xfId="0" applyNumberFormat="1" applyFont="1" applyFill="1" applyBorder="1" applyAlignment="1" applyProtection="1">
      <alignment horizontal="center" vertical="center"/>
    </xf>
    <xf numFmtId="0" fontId="9" fillId="12" borderId="2" xfId="0" applyFont="1" applyFill="1" applyBorder="1" applyAlignment="1" applyProtection="1">
      <alignment horizontal="left" vertical="center"/>
    </xf>
    <xf numFmtId="0" fontId="9" fillId="12" borderId="3" xfId="0" applyFont="1" applyFill="1" applyBorder="1" applyAlignment="1" applyProtection="1">
      <alignment horizontal="left" vertical="center"/>
    </xf>
    <xf numFmtId="3" fontId="9" fillId="12" borderId="3" xfId="0" applyNumberFormat="1" applyFont="1" applyFill="1" applyBorder="1" applyAlignment="1" applyProtection="1">
      <alignment horizontal="center" vertical="center"/>
    </xf>
    <xf numFmtId="3" fontId="9" fillId="12" borderId="4" xfId="0" applyNumberFormat="1" applyFont="1" applyFill="1" applyBorder="1" applyAlignment="1" applyProtection="1">
      <alignment horizontal="center" vertical="center"/>
    </xf>
    <xf numFmtId="0" fontId="27" fillId="12" borderId="19" xfId="0" applyFont="1" applyFill="1" applyBorder="1" applyAlignment="1" applyProtection="1">
      <alignment horizontal="left" vertical="center"/>
    </xf>
    <xf numFmtId="0" fontId="9" fillId="12" borderId="35" xfId="0" applyFont="1" applyFill="1" applyBorder="1" applyAlignment="1" applyProtection="1">
      <alignment horizontal="left" vertical="center"/>
    </xf>
    <xf numFmtId="0" fontId="28" fillId="12" borderId="42" xfId="0" applyFont="1" applyFill="1" applyBorder="1" applyAlignment="1" applyProtection="1">
      <alignment horizontal="left" vertical="center"/>
    </xf>
    <xf numFmtId="0" fontId="9" fillId="12" borderId="41" xfId="0" applyFont="1" applyFill="1" applyBorder="1" applyAlignment="1" applyProtection="1">
      <alignment horizontal="left" vertical="center"/>
    </xf>
    <xf numFmtId="3" fontId="27" fillId="12" borderId="35" xfId="0" applyNumberFormat="1" applyFont="1" applyFill="1" applyBorder="1" applyAlignment="1" applyProtection="1">
      <alignment horizontal="center" vertical="center"/>
    </xf>
    <xf numFmtId="3" fontId="27" fillId="12" borderId="36" xfId="0" applyNumberFormat="1" applyFont="1" applyFill="1" applyBorder="1" applyAlignment="1" applyProtection="1">
      <alignment horizontal="center" vertical="center"/>
    </xf>
    <xf numFmtId="3" fontId="28" fillId="12" borderId="41" xfId="0" applyNumberFormat="1" applyFont="1" applyFill="1" applyBorder="1" applyAlignment="1" applyProtection="1">
      <alignment horizontal="center" vertical="center"/>
    </xf>
    <xf numFmtId="3" fontId="28" fillId="12" borderId="43" xfId="0" applyNumberFormat="1" applyFont="1" applyFill="1" applyBorder="1" applyAlignment="1" applyProtection="1">
      <alignment horizontal="center" vertical="center"/>
    </xf>
    <xf numFmtId="3" fontId="27" fillId="12" borderId="19" xfId="0" applyNumberFormat="1" applyFont="1" applyFill="1" applyBorder="1" applyAlignment="1" applyProtection="1">
      <alignment horizontal="center" vertical="center"/>
    </xf>
    <xf numFmtId="3" fontId="28" fillId="12" borderId="42" xfId="0" applyNumberFormat="1" applyFont="1" applyFill="1" applyBorder="1" applyAlignment="1" applyProtection="1">
      <alignment horizontal="center" vertical="center"/>
    </xf>
    <xf numFmtId="3" fontId="22" fillId="12" borderId="2" xfId="0" applyNumberFormat="1" applyFont="1" applyFill="1" applyBorder="1" applyAlignment="1" applyProtection="1">
      <alignment horizontal="center" vertical="center"/>
    </xf>
    <xf numFmtId="3" fontId="22" fillId="12" borderId="3" xfId="0" applyNumberFormat="1" applyFont="1" applyFill="1" applyBorder="1" applyAlignment="1" applyProtection="1">
      <alignment horizontal="center" vertical="center"/>
    </xf>
    <xf numFmtId="3" fontId="22" fillId="12" borderId="4" xfId="0" applyNumberFormat="1" applyFont="1" applyFill="1" applyBorder="1" applyAlignment="1" applyProtection="1">
      <alignment horizontal="center" vertical="center"/>
    </xf>
    <xf numFmtId="3" fontId="7" fillId="3" borderId="41" xfId="3" applyNumberFormat="1" applyFont="1" applyFill="1" applyBorder="1" applyAlignment="1" applyProtection="1">
      <alignment horizontal="center" vertical="center"/>
    </xf>
    <xf numFmtId="0" fontId="13" fillId="0" borderId="28" xfId="0" applyNumberFormat="1" applyFont="1" applyFill="1" applyBorder="1" applyAlignment="1" applyProtection="1">
      <alignment horizontal="left" vertical="center"/>
    </xf>
    <xf numFmtId="0" fontId="9" fillId="0" borderId="28" xfId="0" applyFont="1" applyFill="1" applyBorder="1" applyAlignment="1" applyProtection="1">
      <alignment horizontal="left" vertical="center"/>
    </xf>
    <xf numFmtId="3" fontId="7" fillId="0" borderId="28" xfId="0" applyNumberFormat="1" applyFont="1" applyFill="1" applyBorder="1" applyAlignment="1" applyProtection="1">
      <alignment horizontal="center" vertical="center"/>
    </xf>
    <xf numFmtId="0" fontId="13" fillId="0" borderId="30" xfId="0" applyNumberFormat="1" applyFont="1" applyFill="1" applyBorder="1" applyAlignment="1" applyProtection="1">
      <alignment horizontal="left" vertical="center"/>
    </xf>
    <xf numFmtId="0" fontId="9" fillId="0" borderId="30" xfId="0" applyFont="1" applyFill="1" applyBorder="1" applyAlignment="1" applyProtection="1">
      <alignment horizontal="left" vertical="center"/>
    </xf>
    <xf numFmtId="3" fontId="7" fillId="0" borderId="30" xfId="0" applyNumberFormat="1" applyFont="1" applyFill="1" applyBorder="1" applyAlignment="1" applyProtection="1">
      <alignment horizontal="center" vertical="center"/>
    </xf>
    <xf numFmtId="0" fontId="28" fillId="12" borderId="18" xfId="0" applyFont="1" applyFill="1" applyBorder="1" applyAlignment="1" applyProtection="1">
      <alignment horizontal="left" vertical="center"/>
    </xf>
    <xf numFmtId="0" fontId="9" fillId="12" borderId="37" xfId="0" applyFont="1" applyFill="1" applyBorder="1" applyAlignment="1" applyProtection="1">
      <alignment horizontal="left" vertical="center"/>
    </xf>
    <xf numFmtId="3" fontId="28" fillId="12" borderId="37" xfId="0" applyNumberFormat="1" applyFont="1" applyFill="1" applyBorder="1" applyAlignment="1" applyProtection="1">
      <alignment horizontal="center" vertical="center"/>
    </xf>
    <xf numFmtId="3" fontId="28" fillId="12" borderId="33" xfId="0" applyNumberFormat="1" applyFont="1" applyFill="1" applyBorder="1" applyAlignment="1" applyProtection="1">
      <alignment horizontal="center" vertical="center"/>
    </xf>
    <xf numFmtId="3" fontId="22" fillId="12" borderId="29" xfId="0" applyNumberFormat="1" applyFont="1" applyFill="1" applyBorder="1" applyAlignment="1" applyProtection="1">
      <alignment horizontal="center" vertical="center"/>
    </xf>
    <xf numFmtId="3" fontId="22" fillId="12" borderId="45" xfId="0" applyNumberFormat="1" applyFont="1" applyFill="1" applyBorder="1" applyAlignment="1" applyProtection="1">
      <alignment horizontal="center" vertical="center"/>
    </xf>
    <xf numFmtId="3" fontId="22" fillId="12" borderId="44" xfId="0" applyNumberFormat="1" applyFont="1" applyFill="1" applyBorder="1" applyAlignment="1" applyProtection="1">
      <alignment horizontal="center" vertical="center"/>
    </xf>
    <xf numFmtId="3" fontId="28" fillId="12" borderId="18" xfId="0" applyNumberFormat="1" applyFont="1" applyFill="1" applyBorder="1" applyAlignment="1" applyProtection="1">
      <alignment horizontal="center" vertical="center"/>
    </xf>
    <xf numFmtId="0" fontId="2" fillId="0" borderId="0" xfId="0" applyFont="1"/>
    <xf numFmtId="0" fontId="7" fillId="13" borderId="3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Alignment="1" applyProtection="1">
      <alignment vertical="center"/>
    </xf>
    <xf numFmtId="49" fontId="1" fillId="0" borderId="0" xfId="0" quotePrefix="1" applyNumberFormat="1" applyFont="1" applyFill="1" applyAlignment="1" applyProtection="1">
      <alignment vertical="center"/>
    </xf>
    <xf numFmtId="0" fontId="31" fillId="0" borderId="0" xfId="0" applyFont="1" applyFill="1" applyAlignment="1" applyProtection="1">
      <alignment horizontal="right" vertical="center"/>
    </xf>
    <xf numFmtId="0" fontId="32" fillId="5" borderId="2" xfId="0" applyFont="1" applyFill="1" applyBorder="1" applyAlignment="1" applyProtection="1">
      <alignment horizontal="left" vertical="center"/>
    </xf>
    <xf numFmtId="0" fontId="32" fillId="5" borderId="34" xfId="0" applyFont="1" applyFill="1" applyBorder="1" applyAlignment="1" applyProtection="1">
      <alignment horizontal="left" vertical="center"/>
    </xf>
    <xf numFmtId="3" fontId="32" fillId="5" borderId="34" xfId="0" applyNumberFormat="1" applyFont="1" applyFill="1" applyBorder="1" applyAlignment="1" applyProtection="1">
      <alignment horizontal="center" vertical="center"/>
    </xf>
    <xf numFmtId="3" fontId="32" fillId="5" borderId="4" xfId="0" applyNumberFormat="1" applyFont="1" applyFill="1" applyBorder="1" applyAlignment="1" applyProtection="1">
      <alignment horizontal="center" vertical="center"/>
    </xf>
    <xf numFmtId="3" fontId="32" fillId="5" borderId="2" xfId="0" applyNumberFormat="1" applyFont="1" applyFill="1" applyBorder="1" applyAlignment="1" applyProtection="1">
      <alignment horizontal="center" vertical="center"/>
    </xf>
    <xf numFmtId="3" fontId="32" fillId="5" borderId="3" xfId="0" applyNumberFormat="1" applyFont="1" applyFill="1" applyBorder="1" applyAlignment="1" applyProtection="1">
      <alignment horizontal="center" vertical="center"/>
    </xf>
    <xf numFmtId="0" fontId="33" fillId="14" borderId="0" xfId="0" applyFont="1" applyFill="1" applyAlignment="1" applyProtection="1">
      <alignment horizontal="center" vertical="center"/>
    </xf>
    <xf numFmtId="0" fontId="33" fillId="14" borderId="0" xfId="0" applyFont="1" applyFill="1" applyAlignment="1" applyProtection="1">
      <alignment vertical="center"/>
    </xf>
    <xf numFmtId="1" fontId="11" fillId="0" borderId="57" xfId="0" applyNumberFormat="1" applyFont="1" applyFill="1" applyBorder="1" applyAlignment="1" applyProtection="1">
      <alignment horizontal="center" vertical="center"/>
    </xf>
    <xf numFmtId="0" fontId="35" fillId="5" borderId="2" xfId="0" applyFont="1" applyFill="1" applyBorder="1" applyAlignment="1" applyProtection="1">
      <alignment horizontal="left" vertical="center"/>
    </xf>
    <xf numFmtId="0" fontId="35" fillId="5" borderId="34" xfId="0" applyFont="1" applyFill="1" applyBorder="1" applyAlignment="1" applyProtection="1">
      <alignment horizontal="left" vertical="center"/>
    </xf>
    <xf numFmtId="3" fontId="35" fillId="5" borderId="34" xfId="0" applyNumberFormat="1" applyFont="1" applyFill="1" applyBorder="1" applyAlignment="1" applyProtection="1">
      <alignment horizontal="center" vertical="center"/>
    </xf>
    <xf numFmtId="3" fontId="35" fillId="5" borderId="4" xfId="0" applyNumberFormat="1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>
      <alignment horizontal="center" vertical="center"/>
    </xf>
    <xf numFmtId="3" fontId="35" fillId="5" borderId="2" xfId="0" applyNumberFormat="1" applyFont="1" applyFill="1" applyBorder="1" applyAlignment="1" applyProtection="1">
      <alignment horizontal="center" vertical="center"/>
    </xf>
    <xf numFmtId="3" fontId="35" fillId="5" borderId="3" xfId="0" applyNumberFormat="1" applyFont="1" applyFill="1" applyBorder="1" applyAlignment="1" applyProtection="1">
      <alignment horizontal="center" vertical="center"/>
    </xf>
    <xf numFmtId="3" fontId="22" fillId="5" borderId="2" xfId="0" applyNumberFormat="1" applyFont="1" applyFill="1" applyBorder="1" applyAlignment="1" applyProtection="1">
      <alignment horizontal="center" vertical="center"/>
    </xf>
    <xf numFmtId="3" fontId="22" fillId="5" borderId="3" xfId="0" applyNumberFormat="1" applyFont="1" applyFill="1" applyBorder="1" applyAlignment="1" applyProtection="1">
      <alignment horizontal="center" vertical="center"/>
    </xf>
    <xf numFmtId="3" fontId="22" fillId="5" borderId="4" xfId="0" applyNumberFormat="1" applyFont="1" applyFill="1" applyBorder="1" applyAlignment="1" applyProtection="1">
      <alignment horizontal="center" vertical="center"/>
    </xf>
    <xf numFmtId="0" fontId="34" fillId="5" borderId="18" xfId="0" applyFont="1" applyFill="1" applyBorder="1" applyAlignment="1" applyProtection="1">
      <alignment horizontal="left" vertical="center"/>
    </xf>
    <xf numFmtId="0" fontId="34" fillId="5" borderId="32" xfId="0" applyFont="1" applyFill="1" applyBorder="1" applyAlignment="1" applyProtection="1">
      <alignment horizontal="left" vertical="center"/>
    </xf>
    <xf numFmtId="3" fontId="34" fillId="5" borderId="32" xfId="0" applyNumberFormat="1" applyFont="1" applyFill="1" applyBorder="1" applyAlignment="1" applyProtection="1">
      <alignment horizontal="center" vertical="center"/>
    </xf>
    <xf numFmtId="3" fontId="34" fillId="5" borderId="33" xfId="0" applyNumberFormat="1" applyFont="1" applyFill="1" applyBorder="1" applyAlignment="1" applyProtection="1">
      <alignment horizontal="center" vertical="center"/>
    </xf>
    <xf numFmtId="0" fontId="37" fillId="0" borderId="0" xfId="0" applyFont="1" applyFill="1" applyAlignment="1" applyProtection="1">
      <alignment vertical="center"/>
    </xf>
    <xf numFmtId="3" fontId="34" fillId="5" borderId="18" xfId="0" applyNumberFormat="1" applyFont="1" applyFill="1" applyBorder="1" applyAlignment="1" applyProtection="1">
      <alignment horizontal="center" vertical="center"/>
    </xf>
    <xf numFmtId="3" fontId="34" fillId="5" borderId="37" xfId="0" applyNumberFormat="1" applyFont="1" applyFill="1" applyBorder="1" applyAlignment="1" applyProtection="1">
      <alignment horizontal="center" vertical="center"/>
    </xf>
    <xf numFmtId="0" fontId="2" fillId="9" borderId="30" xfId="0" applyFont="1" applyFill="1" applyBorder="1" applyAlignment="1">
      <alignment horizontal="center"/>
    </xf>
    <xf numFmtId="0" fontId="1" fillId="9" borderId="30" xfId="0" applyFont="1" applyFill="1" applyBorder="1" applyAlignment="1">
      <alignment horizontal="center"/>
    </xf>
    <xf numFmtId="0" fontId="1" fillId="0" borderId="0" xfId="0" applyFont="1" applyFill="1" applyBorder="1" applyAlignment="1" applyProtection="1">
      <alignment vertical="center"/>
    </xf>
    <xf numFmtId="14" fontId="1" fillId="0" borderId="0" xfId="0" applyNumberFormat="1" applyFont="1" applyFill="1" applyBorder="1" applyAlignment="1" applyProtection="1">
      <alignment vertical="center"/>
    </xf>
    <xf numFmtId="0" fontId="39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vertical="center" wrapText="1"/>
    </xf>
    <xf numFmtId="0" fontId="4" fillId="17" borderId="62" xfId="0" applyFont="1" applyFill="1" applyBorder="1" applyAlignment="1">
      <alignment horizontal="centerContinuous"/>
    </xf>
    <xf numFmtId="0" fontId="4" fillId="17" borderId="63" xfId="0" applyFont="1" applyFill="1" applyBorder="1" applyAlignment="1">
      <alignment horizontal="centerContinuous"/>
    </xf>
    <xf numFmtId="0" fontId="0" fillId="0" borderId="0" xfId="0" applyAlignment="1">
      <alignment horizontal="center"/>
    </xf>
    <xf numFmtId="0" fontId="0" fillId="18" borderId="39" xfId="0" applyFill="1" applyBorder="1" applyAlignment="1">
      <alignment horizontal="centerContinuous"/>
    </xf>
    <xf numFmtId="0" fontId="4" fillId="15" borderId="30" xfId="0" applyFont="1" applyFill="1" applyBorder="1" applyAlignment="1">
      <alignment horizontal="center"/>
    </xf>
    <xf numFmtId="0" fontId="4" fillId="18" borderId="62" xfId="0" applyFont="1" applyFill="1" applyBorder="1" applyAlignment="1">
      <alignment horizontal="centerContinuous"/>
    </xf>
    <xf numFmtId="0" fontId="0" fillId="0" borderId="0" xfId="0" applyBorder="1" applyAlignment="1">
      <alignment horizontal="center"/>
    </xf>
    <xf numFmtId="0" fontId="4" fillId="18" borderId="39" xfId="0" applyFont="1" applyFill="1" applyBorder="1" applyAlignment="1">
      <alignment horizontal="centerContinuous"/>
    </xf>
    <xf numFmtId="0" fontId="0" fillId="0" borderId="0" xfId="0" applyFill="1"/>
    <xf numFmtId="0" fontId="2" fillId="0" borderId="0" xfId="0" applyFont="1" applyFill="1"/>
    <xf numFmtId="0" fontId="0" fillId="0" borderId="0" xfId="0" applyBorder="1"/>
    <xf numFmtId="0" fontId="0" fillId="0" borderId="16" xfId="0" applyBorder="1" applyAlignment="1">
      <alignment horizontal="center"/>
    </xf>
    <xf numFmtId="0" fontId="1" fillId="0" borderId="16" xfId="0" applyFont="1" applyBorder="1"/>
    <xf numFmtId="0" fontId="0" fillId="0" borderId="16" xfId="0" applyBorder="1"/>
    <xf numFmtId="0" fontId="0" fillId="0" borderId="0" xfId="0" applyAlignment="1"/>
    <xf numFmtId="0" fontId="1" fillId="0" borderId="0" xfId="5" applyFont="1" applyBorder="1" applyAlignment="1">
      <alignment horizontal="center"/>
    </xf>
    <xf numFmtId="0" fontId="1" fillId="0" borderId="0" xfId="5" applyFont="1" applyBorder="1"/>
    <xf numFmtId="0" fontId="1" fillId="0" borderId="0" xfId="5" applyBorder="1" applyAlignment="1">
      <alignment horizontal="center"/>
    </xf>
    <xf numFmtId="0" fontId="1" fillId="0" borderId="0" xfId="5" applyBorder="1"/>
    <xf numFmtId="3" fontId="27" fillId="12" borderId="28" xfId="0" applyNumberFormat="1" applyFont="1" applyFill="1" applyBorder="1" applyAlignment="1" applyProtection="1">
      <alignment horizontal="center" vertical="center"/>
    </xf>
    <xf numFmtId="3" fontId="27" fillId="12" borderId="27" xfId="0" applyNumberFormat="1" applyFont="1" applyFill="1" applyBorder="1" applyAlignment="1" applyProtection="1">
      <alignment horizontal="center" vertical="center"/>
    </xf>
    <xf numFmtId="3" fontId="27" fillId="12" borderId="17" xfId="0" applyNumberFormat="1" applyFont="1" applyFill="1" applyBorder="1" applyAlignment="1" applyProtection="1">
      <alignment horizontal="center" vertical="center"/>
    </xf>
    <xf numFmtId="0" fontId="5" fillId="2" borderId="64" xfId="0" applyFont="1" applyFill="1" applyBorder="1" applyAlignment="1" applyProtection="1">
      <alignment horizontal="center" vertical="center"/>
    </xf>
    <xf numFmtId="3" fontId="10" fillId="5" borderId="34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8" fillId="5" borderId="8" xfId="0" applyFont="1" applyFill="1" applyBorder="1" applyAlignment="1" applyProtection="1">
      <alignment horizontal="left" vertical="center"/>
      <protection hidden="1"/>
    </xf>
    <xf numFmtId="0" fontId="30" fillId="0" borderId="0" xfId="0" applyFont="1" applyFill="1" applyAlignment="1" applyProtection="1">
      <alignment vertical="center"/>
      <protection locked="0"/>
    </xf>
    <xf numFmtId="0" fontId="1" fillId="19" borderId="30" xfId="0" applyFont="1" applyFill="1" applyBorder="1" applyAlignment="1">
      <alignment horizontal="center"/>
    </xf>
    <xf numFmtId="0" fontId="1" fillId="20" borderId="30" xfId="0" applyFont="1" applyFill="1" applyBorder="1" applyAlignment="1">
      <alignment horizontal="center"/>
    </xf>
    <xf numFmtId="0" fontId="1" fillId="16" borderId="30" xfId="0" applyFont="1" applyFill="1" applyBorder="1" applyAlignment="1">
      <alignment horizontal="center"/>
    </xf>
    <xf numFmtId="49" fontId="1" fillId="0" borderId="0" xfId="0" applyNumberFormat="1" applyFont="1" applyBorder="1"/>
    <xf numFmtId="0" fontId="1" fillId="0" borderId="0" xfId="0" applyFont="1" applyBorder="1"/>
    <xf numFmtId="3" fontId="0" fillId="0" borderId="0" xfId="0" applyNumberFormat="1" applyBorder="1"/>
    <xf numFmtId="0" fontId="4" fillId="20" borderId="30" xfId="0" applyFont="1" applyFill="1" applyBorder="1" applyAlignment="1">
      <alignment horizontal="center"/>
    </xf>
    <xf numFmtId="0" fontId="4" fillId="20" borderId="30" xfId="0" applyFont="1" applyFill="1" applyBorder="1"/>
    <xf numFmtId="0" fontId="1" fillId="18" borderId="30" xfId="0" applyFont="1" applyFill="1" applyBorder="1" applyAlignment="1">
      <alignment horizontal="center"/>
    </xf>
    <xf numFmtId="0" fontId="1" fillId="0" borderId="0" xfId="0" applyFont="1"/>
    <xf numFmtId="0" fontId="26" fillId="14" borderId="0" xfId="0" applyFont="1" applyFill="1" applyAlignment="1" applyProtection="1">
      <alignment vertical="center"/>
    </xf>
    <xf numFmtId="0" fontId="33" fillId="0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center" vertical="center"/>
    </xf>
    <xf numFmtId="0" fontId="33" fillId="0" borderId="0" xfId="0" applyFont="1" applyFill="1" applyAlignment="1" applyProtection="1">
      <alignment vertical="center"/>
    </xf>
    <xf numFmtId="0" fontId="1" fillId="21" borderId="30" xfId="0" applyFont="1" applyFill="1" applyBorder="1" applyAlignment="1">
      <alignment horizontal="center"/>
    </xf>
    <xf numFmtId="0" fontId="1" fillId="21" borderId="30" xfId="0" applyFont="1" applyFill="1" applyBorder="1"/>
    <xf numFmtId="0" fontId="0" fillId="21" borderId="30" xfId="0" applyFill="1" applyBorder="1"/>
    <xf numFmtId="0" fontId="0" fillId="0" borderId="0" xfId="0" applyFill="1" applyBorder="1"/>
    <xf numFmtId="0" fontId="1" fillId="0" borderId="0" xfId="0" applyFont="1" applyFill="1" applyBorder="1"/>
    <xf numFmtId="0" fontId="7" fillId="0" borderId="26" xfId="0" applyFont="1" applyFill="1" applyBorder="1" applyAlignment="1" applyProtection="1">
      <alignment horizontal="center" vertical="center"/>
    </xf>
    <xf numFmtId="0" fontId="7" fillId="4" borderId="60" xfId="0" applyFont="1" applyFill="1" applyBorder="1" applyAlignment="1" applyProtection="1">
      <alignment horizontal="center" vertical="center"/>
    </xf>
    <xf numFmtId="0" fontId="7" fillId="4" borderId="58" xfId="0" applyFont="1" applyFill="1" applyBorder="1" applyAlignment="1" applyProtection="1">
      <alignment horizontal="center" vertical="center"/>
    </xf>
    <xf numFmtId="0" fontId="10" fillId="7" borderId="61" xfId="0" applyFont="1" applyFill="1" applyBorder="1" applyAlignment="1" applyProtection="1">
      <alignment horizontal="center" vertical="center"/>
      <protection locked="0"/>
    </xf>
    <xf numFmtId="0" fontId="10" fillId="7" borderId="14" xfId="0" applyFont="1" applyFill="1" applyBorder="1" applyAlignment="1" applyProtection="1">
      <alignment horizontal="center" vertical="center"/>
      <protection locked="0"/>
    </xf>
    <xf numFmtId="0" fontId="9" fillId="5" borderId="24" xfId="0" applyFont="1" applyFill="1" applyBorder="1" applyAlignment="1" applyProtection="1">
      <alignment horizontal="left" vertical="center"/>
    </xf>
    <xf numFmtId="0" fontId="9" fillId="5" borderId="25" xfId="0" applyFont="1" applyFill="1" applyBorder="1" applyAlignment="1" applyProtection="1">
      <alignment horizontal="left" vertical="center"/>
    </xf>
    <xf numFmtId="0" fontId="7" fillId="5" borderId="40" xfId="0" applyFont="1" applyFill="1" applyBorder="1" applyAlignment="1" applyProtection="1">
      <alignment horizontal="left" vertical="center"/>
    </xf>
    <xf numFmtId="0" fontId="7" fillId="5" borderId="10" xfId="0" applyFont="1" applyFill="1" applyBorder="1" applyAlignment="1" applyProtection="1">
      <alignment horizontal="left" vertical="center"/>
    </xf>
    <xf numFmtId="0" fontId="7" fillId="8" borderId="40" xfId="0" applyFont="1" applyFill="1" applyBorder="1" applyAlignment="1" applyProtection="1">
      <alignment horizontal="center" vertical="center"/>
    </xf>
    <xf numFmtId="0" fontId="7" fillId="8" borderId="10" xfId="0" applyFont="1" applyFill="1" applyBorder="1" applyAlignment="1" applyProtection="1">
      <alignment horizontal="center" vertical="center"/>
    </xf>
    <xf numFmtId="0" fontId="18" fillId="8" borderId="24" xfId="0" applyFont="1" applyFill="1" applyBorder="1" applyAlignment="1" applyProtection="1">
      <alignment horizontal="center" vertical="center"/>
    </xf>
    <xf numFmtId="0" fontId="18" fillId="8" borderId="25" xfId="0" applyFont="1" applyFill="1" applyBorder="1" applyAlignment="1" applyProtection="1">
      <alignment horizontal="center" vertical="center"/>
    </xf>
    <xf numFmtId="0" fontId="7" fillId="5" borderId="60" xfId="0" applyFont="1" applyFill="1" applyBorder="1" applyAlignment="1" applyProtection="1">
      <alignment horizontal="left" vertical="center"/>
    </xf>
    <xf numFmtId="0" fontId="7" fillId="5" borderId="58" xfId="0" applyFont="1" applyFill="1" applyBorder="1" applyAlignment="1" applyProtection="1">
      <alignment horizontal="left" vertical="center"/>
    </xf>
    <xf numFmtId="0" fontId="9" fillId="5" borderId="61" xfId="0" applyFont="1" applyFill="1" applyBorder="1" applyAlignment="1" applyProtection="1">
      <alignment horizontal="left" vertical="center"/>
    </xf>
    <xf numFmtId="0" fontId="9" fillId="5" borderId="14" xfId="0" applyFont="1" applyFill="1" applyBorder="1" applyAlignment="1" applyProtection="1">
      <alignment horizontal="left" vertical="center"/>
    </xf>
    <xf numFmtId="0" fontId="38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 wrapText="1"/>
    </xf>
    <xf numFmtId="0" fontId="25" fillId="0" borderId="0" xfId="0" applyFont="1" applyFill="1" applyBorder="1" applyAlignment="1" applyProtection="1">
      <alignment horizontal="left" vertical="center"/>
    </xf>
    <xf numFmtId="0" fontId="9" fillId="4" borderId="61" xfId="0" applyFont="1" applyFill="1" applyBorder="1" applyAlignment="1" applyProtection="1">
      <alignment horizontal="center" vertical="center"/>
    </xf>
    <xf numFmtId="0" fontId="9" fillId="4" borderId="14" xfId="0" applyFont="1" applyFill="1" applyBorder="1" applyAlignment="1" applyProtection="1">
      <alignment horizontal="center" vertical="center"/>
    </xf>
  </cellXfs>
  <cellStyles count="6">
    <cellStyle name="Euro" xfId="1"/>
    <cellStyle name="Normal" xfId="0" builtinId="0"/>
    <cellStyle name="Normal 2" xfId="2"/>
    <cellStyle name="Normal 2 2" xfId="5"/>
    <cellStyle name="Normal 3" xfId="4"/>
    <cellStyle name="Porcentaje" xfId="3" builtinId="5"/>
  </cellStyles>
  <dxfs count="10"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 val="0"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b/>
        <i val="0"/>
        <condense val="0"/>
        <extend val="0"/>
        <color indexed="1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 val="0"/>
        <i val="0"/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CCFF66"/>
      <rgbColor rgb="000000FF"/>
      <rgbColor rgb="00FFFF00"/>
      <rgbColor rgb="00FFCC00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E0F6"/>
      <rgbColor rgb="00CC99FF"/>
      <rgbColor rgb="00E3E3E3"/>
      <rgbColor rgb="003366FF"/>
      <rgbColor rgb="0033CCCC"/>
      <rgbColor rgb="00339933"/>
      <rgbColor rgb="00FF9900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333FF"/>
      <color rgb="FF996633"/>
      <color rgb="FFFF0000"/>
      <color rgb="FF4242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7299009315627"/>
          <c:y val="8.7719799203897136E-2"/>
          <c:w val="0.8270281184387126"/>
          <c:h val="0.64327852749524561"/>
        </c:manualLayout>
      </c:layout>
      <c:lineChart>
        <c:grouping val="standard"/>
        <c:varyColors val="0"/>
        <c:ser>
          <c:idx val="0"/>
          <c:order val="0"/>
          <c:tx>
            <c:strRef>
              <c:f>visor!$A$254</c:f>
              <c:strCache>
                <c:ptCount val="1"/>
                <c:pt idx="0">
                  <c:v>Lys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visor!$C$254:$O$254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visor!$A$255</c:f>
              <c:strCache>
                <c:ptCount val="1"/>
                <c:pt idx="0">
                  <c:v>HP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visor!$C$255:$O$255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visor!$A$256</c:f>
              <c:strCache>
                <c:ptCount val="1"/>
                <c:pt idx="0">
                  <c:v>GT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visor!$C$256:$O$256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visor!$A$257</c:f>
              <c:strCache>
                <c:ptCount val="1"/>
              </c:strCache>
            </c:strRef>
          </c:tx>
          <c:spPr>
            <a:ln w="25400">
              <a:solidFill>
                <a:srgbClr val="996633"/>
              </a:solidFill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visor!$C$257:$O$257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visor!$A$258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visor!$C$258:$O$258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visor!$A$259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visor!$C$259:$O$259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visor!$A$260</c:f>
              <c:strCache>
                <c:ptCount val="1"/>
              </c:strCache>
            </c:strRef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visor!$C$260:$O$260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visor!$A$261</c:f>
              <c:strCache>
                <c:ptCount val="1"/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visor!$C$261:$O$261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visor!$A$262</c:f>
              <c:strCache>
                <c:ptCount val="1"/>
              </c:strCache>
            </c:strRef>
          </c:tx>
          <c:spPr>
            <a:ln w="12700">
              <a:solidFill>
                <a:srgbClr val="996633"/>
              </a:solidFill>
              <a:prstDash val="sysDash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visor!$C$262:$O$262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visor!$A$263</c:f>
              <c:strCache>
                <c:ptCount val="1"/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numRef>
              <c:f>visor!$C$253:$O$253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visor!$C$263:$O$263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660400"/>
        <c:axId val="308661968"/>
      </c:lineChart>
      <c:dateAx>
        <c:axId val="308660400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19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30866196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0400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33" r="0.75000000000000033" t="1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227078984458124"/>
          <c:y val="0.30994329052043657"/>
          <c:w val="0.57205362149806749"/>
          <c:h val="0.30409530390684364"/>
        </c:manualLayout>
      </c:layout>
      <c:pie3DChart>
        <c:varyColors val="1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800000"/>
                  </a:gs>
                  <a:gs pos="50000">
                    <a:srgbClr val="FF0000"/>
                  </a:gs>
                  <a:gs pos="100000">
                    <a:srgbClr val="800000"/>
                  </a:gs>
                </a:gsLst>
                <a:lin ang="27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gradFill rotWithShape="0">
                <a:gsLst>
                  <a:gs pos="0">
                    <a:srgbClr val="A6CAF0"/>
                  </a:gs>
                  <a:gs pos="50000">
                    <a:srgbClr val="3366FF"/>
                  </a:gs>
                  <a:gs pos="100000">
                    <a:srgbClr val="A6CAF0"/>
                  </a:gs>
                </a:gsLst>
                <a:lin ang="27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.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visor!$C$80:$C$81</c:f>
              <c:strCache>
                <c:ptCount val="2"/>
                <c:pt idx="0">
                  <c:v>Lys</c:v>
                </c:pt>
                <c:pt idx="1">
                  <c:v>HP</c:v>
                </c:pt>
              </c:strCache>
            </c:strRef>
          </c:cat>
          <c:val>
            <c:numRef>
              <c:f>visor!$D$80:$D$81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33" r="0.75000000000000033" t="1" header="0" footer="0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8.7623809797497995E-2"/>
          <c:y val="7.9545454545454544E-2"/>
          <c:w val="0.77977278387646798"/>
          <c:h val="0.68181818181818177"/>
        </c:manualLayout>
      </c:layout>
      <c:bar3DChart>
        <c:barDir val="col"/>
        <c:grouping val="standard"/>
        <c:varyColors val="0"/>
        <c:ser>
          <c:idx val="2"/>
          <c:order val="0"/>
          <c:tx>
            <c:strRef>
              <c:f>visor!$A$269:$B$269</c:f>
              <c:strCache>
                <c:ptCount val="2"/>
                <c:pt idx="0">
                  <c:v>GT</c:v>
                </c:pt>
              </c:strCache>
            </c:strRef>
          </c:tx>
          <c:spPr>
            <a:solidFill>
              <a:srgbClr val="9966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visor!$C$265:$G$265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visor!$C$269:$G$269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visor!$A$268:$B$268</c:f>
              <c:strCache>
                <c:ptCount val="2"/>
                <c:pt idx="0">
                  <c:v>GT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visor!$C$265:$G$265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visor!$C$268:$G$268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0"/>
          <c:order val="2"/>
          <c:tx>
            <c:strRef>
              <c:f>visor!$A$267:$B$267</c:f>
              <c:strCache>
                <c:ptCount val="2"/>
                <c:pt idx="0">
                  <c:v>HP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visor!$C$265:$G$265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visor!$C$267:$G$267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visor!$A$266:$B$266</c:f>
              <c:strCache>
                <c:ptCount val="2"/>
                <c:pt idx="0">
                  <c:v>Lys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visor!$C$265:$G$265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visor!$C$266:$G$266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visor!$A$270:$B$270</c:f>
              <c:strCache>
                <c:ptCount val="2"/>
                <c:pt idx="0">
                  <c:v>GT</c:v>
                </c:pt>
              </c:strCache>
            </c:strRef>
          </c:tx>
          <c:spPr>
            <a:solidFill>
              <a:srgbClr val="424242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visor!$C$265:$G$265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visor!$C$270:$G$270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8658440"/>
        <c:axId val="308660008"/>
        <c:axId val="392047552"/>
      </c:bar3DChart>
      <c:catAx>
        <c:axId val="3086584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es-ES"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000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308660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58440"/>
        <c:crosses val="autoZero"/>
        <c:crossBetween val="between"/>
      </c:valAx>
      <c:serAx>
        <c:axId val="3920475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3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0008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33" r="0.75000000000000033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4613854800817"/>
          <c:y val="8.7719799203897136E-2"/>
          <c:w val="0.8108118808222663"/>
          <c:h val="0.64327852749524561"/>
        </c:manualLayout>
      </c:layout>
      <c:lineChart>
        <c:grouping val="standard"/>
        <c:varyColors val="0"/>
        <c:ser>
          <c:idx val="0"/>
          <c:order val="0"/>
          <c:tx>
            <c:strRef>
              <c:f>'visor rk'!$A$254</c:f>
              <c:strCache>
                <c:ptCount val="1"/>
                <c:pt idx="0">
                  <c:v>Lys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rk'!$B$254:$O$254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'visor rk'!$A$255</c:f>
              <c:strCache>
                <c:ptCount val="1"/>
                <c:pt idx="0">
                  <c:v>HP</c:v>
                </c:pt>
              </c:strCache>
            </c:strRef>
          </c:tx>
          <c:spPr>
            <a:ln w="25400">
              <a:solidFill>
                <a:srgbClr val="3333FF"/>
              </a:solidFill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rk'!$B$255:$O$255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'visor rk'!$A$256</c:f>
              <c:strCache>
                <c:ptCount val="1"/>
                <c:pt idx="0">
                  <c:v>GT</c:v>
                </c:pt>
              </c:strCache>
            </c:strRef>
          </c:tx>
          <c:spPr>
            <a:ln w="25400"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rk'!$B$256:$O$256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'visor rk'!$A$257</c:f>
              <c:strCache>
                <c:ptCount val="1"/>
              </c:strCache>
            </c:strRef>
          </c:tx>
          <c:spPr>
            <a:ln w="25400"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rk'!$B$257:$O$257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'visor rk'!$A$258</c:f>
              <c:strCache>
                <c:ptCount val="1"/>
              </c:strCache>
            </c:strRef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rk'!$B$258:$O$258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'visor rk'!$A$259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rk'!$B$259:$O$259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'visor rk'!$A$260</c:f>
              <c:strCache>
                <c:ptCount val="1"/>
              </c:strCache>
            </c:strRef>
          </c:tx>
          <c:spPr>
            <a:ln w="12700">
              <a:solidFill>
                <a:srgbClr val="3333FF"/>
              </a:solidFill>
              <a:prstDash val="sysDash"/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rk'!$B$260:$O$260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'visor rk'!$A$261</c:f>
              <c:strCache>
                <c:ptCount val="1"/>
              </c:strCache>
            </c:strRef>
          </c:tx>
          <c:spPr>
            <a:ln w="127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rk'!$B$261:$O$261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'visor rk'!$A$262</c:f>
              <c:strCache>
                <c:ptCount val="1"/>
              </c:strCache>
            </c:strRef>
          </c:tx>
          <c:spPr>
            <a:ln w="12700">
              <a:solidFill>
                <a:schemeClr val="bg2">
                  <a:lumMod val="2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rk'!$B$262:$O$262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'visor rk'!$A$263</c:f>
              <c:strCache>
                <c:ptCount val="1"/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numRef>
              <c:f>'visor rk'!$B$253:$O$253</c:f>
              <c:numCache>
                <c:formatCode>mmm\-yy</c:formatCode>
                <c:ptCount val="13"/>
                <c:pt idx="0">
                  <c:v>41548</c:v>
                </c:pt>
                <c:pt idx="1">
                  <c:v>41579</c:v>
                </c:pt>
                <c:pt idx="2">
                  <c:v>41609</c:v>
                </c:pt>
                <c:pt idx="3">
                  <c:v>41640</c:v>
                </c:pt>
                <c:pt idx="4">
                  <c:v>41671</c:v>
                </c:pt>
                <c:pt idx="5">
                  <c:v>41699</c:v>
                </c:pt>
                <c:pt idx="6">
                  <c:v>41730</c:v>
                </c:pt>
                <c:pt idx="7">
                  <c:v>41760</c:v>
                </c:pt>
                <c:pt idx="8">
                  <c:v>41791</c:v>
                </c:pt>
                <c:pt idx="9">
                  <c:v>41821</c:v>
                </c:pt>
                <c:pt idx="10">
                  <c:v>41852</c:v>
                </c:pt>
                <c:pt idx="11">
                  <c:v>41883</c:v>
                </c:pt>
                <c:pt idx="12">
                  <c:v>41913</c:v>
                </c:pt>
              </c:numCache>
            </c:numRef>
          </c:cat>
          <c:val>
            <c:numRef>
              <c:f>'visor rk'!$B$263:$O$263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665496"/>
        <c:axId val="308657656"/>
      </c:lineChart>
      <c:dateAx>
        <c:axId val="308665496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low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5765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3086576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5496"/>
        <c:crosses val="autoZero"/>
        <c:crossBetween val="midCat"/>
      </c:valAx>
      <c:spPr>
        <a:gradFill rotWithShape="0">
          <a:gsLst>
            <a:gs pos="0">
              <a:srgbClr val="FFFFFF"/>
            </a:gs>
            <a:gs pos="100000">
              <a:srgbClr val="CCE0F6"/>
            </a:gs>
          </a:gsLst>
          <a:lin ang="5400000" scaled="1"/>
        </a:gra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33" r="0.75000000000000033" t="1" header="0" footer="0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227078984458124"/>
          <c:y val="0.30994329052043657"/>
          <c:w val="0.57205362149806749"/>
          <c:h val="0.30409530390684364"/>
        </c:manualLayout>
      </c:layout>
      <c:pie3DChart>
        <c:varyColors val="1"/>
        <c:ser>
          <c:idx val="0"/>
          <c:order val="0"/>
          <c:tx>
            <c:strRef>
              <c:f>'visor rk'!$D$79</c:f>
              <c:strCache>
                <c:ptCount val="1"/>
                <c:pt idx="0">
                  <c:v>12 meses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gradFill rotWithShape="0">
                <a:gsLst>
                  <a:gs pos="0">
                    <a:srgbClr val="800000"/>
                  </a:gs>
                  <a:gs pos="50000">
                    <a:srgbClr val="FF0000"/>
                  </a:gs>
                  <a:gs pos="100000">
                    <a:srgbClr val="800000"/>
                  </a:gs>
                </a:gsLst>
                <a:lin ang="27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gradFill rotWithShape="0">
                <a:gsLst>
                  <a:gs pos="0">
                    <a:srgbClr val="A6CAF0"/>
                  </a:gs>
                  <a:gs pos="50000">
                    <a:srgbClr val="3366FF"/>
                  </a:gs>
                  <a:gs pos="100000">
                    <a:srgbClr val="A6CAF0"/>
                  </a:gs>
                </a:gsLst>
                <a:lin ang="27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.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'visor rk'!$C$80:$C$81</c:f>
              <c:strCache>
                <c:ptCount val="2"/>
                <c:pt idx="0">
                  <c:v>Lys</c:v>
                </c:pt>
                <c:pt idx="1">
                  <c:v>HP</c:v>
                </c:pt>
              </c:strCache>
            </c:strRef>
          </c:cat>
          <c:val>
            <c:numRef>
              <c:f>'visor rk'!$D$80:$D$81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33" r="0.75000000000000033" t="1" header="0" footer="0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818185853573008"/>
          <c:y val="7.9545454545454544E-2"/>
          <c:w val="0.68636515972380951"/>
          <c:h val="0.68181818181818177"/>
        </c:manualLayout>
      </c:layout>
      <c:bar3DChart>
        <c:barDir val="col"/>
        <c:grouping val="standard"/>
        <c:varyColors val="0"/>
        <c:ser>
          <c:idx val="2"/>
          <c:order val="0"/>
          <c:tx>
            <c:strRef>
              <c:f>'visor rk'!$A$269</c:f>
              <c:strCache>
                <c:ptCount val="1"/>
              </c:strCache>
            </c:strRef>
          </c:tx>
          <c:spPr>
            <a:solidFill>
              <a:schemeClr val="bg2">
                <a:lumMod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'visor rk'!$C$265:$G$265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'visor rk'!$C$269:$G$269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'visor rk'!$A$268</c:f>
              <c:strCache>
                <c:ptCount val="1"/>
                <c:pt idx="0">
                  <c:v>GT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'visor rk'!$C$265:$G$265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'visor rk'!$C$268:$G$268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0"/>
          <c:order val="2"/>
          <c:tx>
            <c:strRef>
              <c:f>'visor rk'!$A$267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'visor rk'!$C$265:$G$265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'visor rk'!$C$267:$G$267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'visor rk'!$A$266</c:f>
              <c:strCache>
                <c:ptCount val="1"/>
                <c:pt idx="0">
                  <c:v>Lys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'visor rk'!$C$265:$G$265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'visor rk'!$C$266:$G$266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'visor rk'!$A$270:$B$270</c:f>
              <c:strCache>
                <c:ptCount val="2"/>
                <c:pt idx="0">
                  <c:v>GT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</a:ln>
          </c:spPr>
          <c:invertIfNegative val="0"/>
          <c:cat>
            <c:numRef>
              <c:f>'visor rk'!$C$265:$G$265</c:f>
              <c:numCache>
                <c:formatCode>0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'visor rk'!$C$270:$G$270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8658832"/>
        <c:axId val="308662752"/>
        <c:axId val="397230064"/>
      </c:bar3DChart>
      <c:catAx>
        <c:axId val="3086588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es-ES"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2752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30866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58832"/>
        <c:crosses val="autoZero"/>
        <c:crossBetween val="between"/>
      </c:valAx>
      <c:serAx>
        <c:axId val="397230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3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308662752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000000000000033" r="0.75000000000000033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CheckBox" checked="Checked" fmlaLink="$V$83" noThreeD="1"/>
</file>

<file path=xl/ctrlProps/ctrlProp2.xml><?xml version="1.0" encoding="utf-8"?>
<formControlPr xmlns="http://schemas.microsoft.com/office/spreadsheetml/2009/9/main" objectType="CheckBox" checked="Checked" fmlaLink="$V$84" lockText="1" noThreeD="1"/>
</file>

<file path=xl/ctrlProps/ctrlProp3.xml><?xml version="1.0" encoding="utf-8"?>
<formControlPr xmlns="http://schemas.microsoft.com/office/spreadsheetml/2009/9/main" objectType="CheckBox" fmlaLink="$V$87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CheckBox" fmlaLink="$V$88" lockText="1" noThreeD="1"/>
</file>

<file path=xl/ctrlProps/ctrlProp6.xml><?xml version="1.0" encoding="utf-8"?>
<formControlPr xmlns="http://schemas.microsoft.com/office/spreadsheetml/2009/9/main" objectType="Radio" checked="Checked" firstButton="1" fmlaLink="$V$82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CheckBox" fmlaLink="$V$86" lockText="1" noThreeD="1"/>
</file>

<file path=xl/ctrlProps/ctrlProp9.xml><?xml version="1.0" encoding="utf-8"?>
<formControlPr xmlns="http://schemas.microsoft.com/office/spreadsheetml/2009/9/main" objectType="CheckBox" fmlaLink="$V$15" lockText="1" noThreeD="1"/>
</file>

<file path=xl/ctrlProps/ctrlProp10.xml><?xml version="1.0" encoding="utf-8"?>
<formControlPr xmlns="http://schemas.microsoft.com/office/spreadsheetml/2009/9/main" objectType="CheckBox" fmlaLink="$V$9" lockText="1" noThreeD="1"/>
</file>

<file path=xl/ctrlProps/ctrlProp11.xml><?xml version="1.0" encoding="utf-8"?>
<formControlPr xmlns="http://schemas.microsoft.com/office/spreadsheetml/2009/9/main" objectType="CheckBox" fmlaLink="$V$10" lockText="1" noThreeD="1"/>
</file>

<file path=xl/ctrlProps/ctrlProp12.xml><?xml version="1.0" encoding="utf-8"?>
<formControlPr xmlns="http://schemas.microsoft.com/office/spreadsheetml/2009/9/main" objectType="CheckBox" checked="Checked" fmlaLink="$V$85" lockText="1" noThreeD="1"/>
</file>

<file path=xl/ctrlProps/ctrlProp13.xml><?xml version="1.0" encoding="utf-8"?>
<formControlPr xmlns="http://schemas.microsoft.com/office/spreadsheetml/2009/9/main" objectType="CheckBox" checked="Checked" fmlaLink="$V$83" noThreeD="1"/>
</file>

<file path=xl/ctrlProps/ctrlProp14.xml><?xml version="1.0" encoding="utf-8"?>
<formControlPr xmlns="http://schemas.microsoft.com/office/spreadsheetml/2009/9/main" objectType="CheckBox" checked="Checked" fmlaLink="$V$84" lockText="1" noThreeD="1"/>
</file>

<file path=xl/ctrlProps/ctrlProp15.xml><?xml version="1.0" encoding="utf-8"?>
<formControlPr xmlns="http://schemas.microsoft.com/office/spreadsheetml/2009/9/main" objectType="CheckBox" fmlaLink="$V$87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CheckBox" fmlaLink="$V$88" lockText="1" noThreeD="1"/>
</file>

<file path=xl/ctrlProps/ctrlProp18.xml><?xml version="1.0" encoding="utf-8"?>
<formControlPr xmlns="http://schemas.microsoft.com/office/spreadsheetml/2009/9/main" objectType="Radio" checked="Checked" firstButton="1" fmlaLink="$V$82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CheckBox" fmlaLink="$V$86" lockText="1" noThreeD="1"/>
</file>

<file path=xl/ctrlProps/ctrlProp21.xml><?xml version="1.0" encoding="utf-8"?>
<formControlPr xmlns="http://schemas.microsoft.com/office/spreadsheetml/2009/9/main" objectType="CheckBox" fmlaLink="$V$15" lockText="1" noThreeD="1"/>
</file>

<file path=xl/ctrlProps/ctrlProp22.xml><?xml version="1.0" encoding="utf-8"?>
<formControlPr xmlns="http://schemas.microsoft.com/office/spreadsheetml/2009/9/main" objectType="Drop" dropStyle="combo" dx="22" fmlaLink="Filtro!FcFiltroUnidNegCheck" fmlaRange="Filtro!$F$2:$G$8" noThreeD="1" val="0"/>
</file>

<file path=xl/ctrlProps/ctrlProp23.xml><?xml version="1.0" encoding="utf-8"?>
<formControlPr xmlns="http://schemas.microsoft.com/office/spreadsheetml/2009/9/main" objectType="Drop" dropStyle="combo" dx="22" fmlaLink="Filtro!FcFiltroMarcaCheck" fmlaRange="Filtro!$B$2:$C$8" noThreeD="1" val="0"/>
</file>

<file path=xl/ctrlProps/ctrlProp24.xml><?xml version="1.0" encoding="utf-8"?>
<formControlPr xmlns="http://schemas.microsoft.com/office/spreadsheetml/2009/9/main" objectType="Drop" dropStyle="combo" dx="22" fmlaLink="Filtro!FcFiltroSegmentoCheck" fmlaRange="Filtro!$J$2:$K$20" noThreeD="1" val="0"/>
</file>

<file path=xl/ctrlProps/ctrlProp25.xml><?xml version="1.0" encoding="utf-8"?>
<formControlPr xmlns="http://schemas.microsoft.com/office/spreadsheetml/2009/9/main" objectType="Drop" dropStyle="combo" dx="22" fmlaLink="Filtro!FcFiltroVendedorCheck" fmlaRange="Filtro!$R$2:$S$100" noThreeD="1" val="0"/>
</file>

<file path=xl/ctrlProps/ctrlProp26.xml><?xml version="1.0" encoding="utf-8"?>
<formControlPr xmlns="http://schemas.microsoft.com/office/spreadsheetml/2009/9/main" objectType="CheckBox" fmlaLink="$V$9" lockText="1" noThreeD="1"/>
</file>

<file path=xl/ctrlProps/ctrlProp27.xml><?xml version="1.0" encoding="utf-8"?>
<formControlPr xmlns="http://schemas.microsoft.com/office/spreadsheetml/2009/9/main" objectType="CheckBox" fmlaLink="$V$10" lockText="1" noThreeD="1"/>
</file>

<file path=xl/ctrlProps/ctrlProp28.xml><?xml version="1.0" encoding="utf-8"?>
<formControlPr xmlns="http://schemas.microsoft.com/office/spreadsheetml/2009/9/main" objectType="CheckBox" checked="Checked" fmlaLink="$V$85" lockText="1" noThreeD="1"/>
</file>

<file path=xl/ctrlProps/ctrlProp29.xml><?xml version="1.0" encoding="utf-8"?>
<formControlPr xmlns="http://schemas.microsoft.com/office/spreadsheetml/2009/9/main" objectType="Drop" dropStyle="combo" dx="22" fmlaLink="Filtro!FcFiltroZonaCheck" fmlaRange="Filtro!$N$2:$O$25" noThreeD="1" val="0"/>
</file>

<file path=xl/ctrlProps/ctrlProp30.xml><?xml version="1.0" encoding="utf-8"?>
<formControlPr xmlns="http://schemas.microsoft.com/office/spreadsheetml/2009/9/main" objectType="Spin" dx="16" fmlaLink="$N$4" max="30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78</xdr:row>
      <xdr:rowOff>0</xdr:rowOff>
    </xdr:from>
    <xdr:to>
      <xdr:col>12</xdr:col>
      <xdr:colOff>361950</xdr:colOff>
      <xdr:row>88</xdr:row>
      <xdr:rowOff>9525</xdr:rowOff>
    </xdr:to>
    <xdr:graphicFrame macro="">
      <xdr:nvGraphicFramePr>
        <xdr:cNvPr id="3776049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5</xdr:col>
      <xdr:colOff>0</xdr:colOff>
      <xdr:row>88</xdr:row>
      <xdr:rowOff>9525</xdr:rowOff>
    </xdr:to>
    <xdr:graphicFrame macro="">
      <xdr:nvGraphicFramePr>
        <xdr:cNvPr id="3776050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228600</xdr:colOff>
      <xdr:row>81</xdr:row>
      <xdr:rowOff>133350</xdr:rowOff>
    </xdr:from>
    <xdr:to>
      <xdr:col>14</xdr:col>
      <xdr:colOff>304800</xdr:colOff>
      <xdr:row>82</xdr:row>
      <xdr:rowOff>47625</xdr:rowOff>
    </xdr:to>
    <xdr:sp macro="" textlink="">
      <xdr:nvSpPr>
        <xdr:cNvPr id="3776051" name="Oval 22"/>
        <xdr:cNvSpPr>
          <a:spLocks noChangeArrowheads="1"/>
        </xdr:cNvSpPr>
      </xdr:nvSpPr>
      <xdr:spPr bwMode="auto">
        <a:xfrm>
          <a:off x="6610350" y="3667125"/>
          <a:ext cx="76200" cy="76200"/>
        </a:xfrm>
        <a:prstGeom prst="ellipse">
          <a:avLst/>
        </a:prstGeom>
        <a:solidFill>
          <a:srgbClr val="FF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228600</xdr:colOff>
      <xdr:row>82</xdr:row>
      <xdr:rowOff>123825</xdr:rowOff>
    </xdr:from>
    <xdr:to>
      <xdr:col>14</xdr:col>
      <xdr:colOff>304800</xdr:colOff>
      <xdr:row>83</xdr:row>
      <xdr:rowOff>38100</xdr:rowOff>
    </xdr:to>
    <xdr:sp macro="" textlink="">
      <xdr:nvSpPr>
        <xdr:cNvPr id="3776052" name="Oval 23"/>
        <xdr:cNvSpPr>
          <a:spLocks noChangeArrowheads="1"/>
        </xdr:cNvSpPr>
      </xdr:nvSpPr>
      <xdr:spPr bwMode="auto">
        <a:xfrm>
          <a:off x="6610350" y="3819525"/>
          <a:ext cx="76200" cy="76200"/>
        </a:xfrm>
        <a:prstGeom prst="ellipse">
          <a:avLst/>
        </a:prstGeom>
        <a:solidFill>
          <a:srgbClr val="0000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228600</xdr:colOff>
      <xdr:row>83</xdr:row>
      <xdr:rowOff>114300</xdr:rowOff>
    </xdr:from>
    <xdr:to>
      <xdr:col>14</xdr:col>
      <xdr:colOff>304800</xdr:colOff>
      <xdr:row>84</xdr:row>
      <xdr:rowOff>28575</xdr:rowOff>
    </xdr:to>
    <xdr:sp macro="" textlink="">
      <xdr:nvSpPr>
        <xdr:cNvPr id="3776053" name="Oval 24"/>
        <xdr:cNvSpPr>
          <a:spLocks noChangeArrowheads="1"/>
        </xdr:cNvSpPr>
      </xdr:nvSpPr>
      <xdr:spPr bwMode="auto">
        <a:xfrm>
          <a:off x="6610350" y="3971925"/>
          <a:ext cx="76200" cy="76200"/>
        </a:xfrm>
        <a:prstGeom prst="ellipse">
          <a:avLst/>
        </a:prstGeom>
        <a:solidFill>
          <a:schemeClr val="tx2">
            <a:lumMod val="75000"/>
          </a:scheme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228600</xdr:colOff>
      <xdr:row>85</xdr:row>
      <xdr:rowOff>95250</xdr:rowOff>
    </xdr:from>
    <xdr:to>
      <xdr:col>14</xdr:col>
      <xdr:colOff>304800</xdr:colOff>
      <xdr:row>86</xdr:row>
      <xdr:rowOff>9525</xdr:rowOff>
    </xdr:to>
    <xdr:sp macro="" textlink="">
      <xdr:nvSpPr>
        <xdr:cNvPr id="3776054" name="Oval 25"/>
        <xdr:cNvSpPr>
          <a:spLocks noChangeArrowheads="1"/>
        </xdr:cNvSpPr>
      </xdr:nvSpPr>
      <xdr:spPr bwMode="auto">
        <a:xfrm>
          <a:off x="6610350" y="4276725"/>
          <a:ext cx="7620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9525</xdr:colOff>
      <xdr:row>77</xdr:row>
      <xdr:rowOff>57150</xdr:rowOff>
    </xdr:from>
    <xdr:to>
      <xdr:col>21</xdr:col>
      <xdr:colOff>9525</xdr:colOff>
      <xdr:row>87</xdr:row>
      <xdr:rowOff>152400</xdr:rowOff>
    </xdr:to>
    <xdr:graphicFrame macro="">
      <xdr:nvGraphicFramePr>
        <xdr:cNvPr id="3776055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228600</xdr:colOff>
      <xdr:row>84</xdr:row>
      <xdr:rowOff>104775</xdr:rowOff>
    </xdr:from>
    <xdr:to>
      <xdr:col>14</xdr:col>
      <xdr:colOff>304800</xdr:colOff>
      <xdr:row>85</xdr:row>
      <xdr:rowOff>19050</xdr:rowOff>
    </xdr:to>
    <xdr:sp macro="" textlink="">
      <xdr:nvSpPr>
        <xdr:cNvPr id="9" name="Oval 24"/>
        <xdr:cNvSpPr>
          <a:spLocks noChangeArrowheads="1"/>
        </xdr:cNvSpPr>
      </xdr:nvSpPr>
      <xdr:spPr bwMode="auto">
        <a:xfrm>
          <a:off x="6610350" y="4124325"/>
          <a:ext cx="76200" cy="76200"/>
        </a:xfrm>
        <a:prstGeom prst="ellipse">
          <a:avLst/>
        </a:prstGeom>
        <a:solidFill>
          <a:srgbClr val="996633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81</xdr:row>
          <xdr:rowOff>38100</xdr:rowOff>
        </xdr:from>
        <xdr:to>
          <xdr:col>14</xdr:col>
          <xdr:colOff>333375</xdr:colOff>
          <xdr:row>82</xdr:row>
          <xdr:rowOff>95250</xdr:rowOff>
        </xdr:to>
        <xdr:sp macro="" textlink="">
          <xdr:nvSpPr>
            <xdr:cNvPr id="156684" name="Check Box 12" hidden="1">
              <a:extLst>
                <a:ext uri="{63B3BB69-23CF-44E3-9099-C40C66FF867C}">
                  <a14:compatExt spid="_x0000_s156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Lys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82</xdr:row>
          <xdr:rowOff>38100</xdr:rowOff>
        </xdr:from>
        <xdr:to>
          <xdr:col>14</xdr:col>
          <xdr:colOff>342900</xdr:colOff>
          <xdr:row>83</xdr:row>
          <xdr:rowOff>95250</xdr:rowOff>
        </xdr:to>
        <xdr:sp macro="" textlink="">
          <xdr:nvSpPr>
            <xdr:cNvPr id="156685" name="Check Box 13" hidden="1">
              <a:extLst>
                <a:ext uri="{63B3BB69-23CF-44E3-9099-C40C66FF867C}">
                  <a14:compatExt spid="_x0000_s156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85</xdr:row>
          <xdr:rowOff>19050</xdr:rowOff>
        </xdr:from>
        <xdr:to>
          <xdr:col>14</xdr:col>
          <xdr:colOff>304800</xdr:colOff>
          <xdr:row>86</xdr:row>
          <xdr:rowOff>76200</xdr:rowOff>
        </xdr:to>
        <xdr:sp macro="" textlink="">
          <xdr:nvSpPr>
            <xdr:cNvPr id="156686" name="Check Box 14" hidden="1">
              <a:extLst>
                <a:ext uri="{63B3BB69-23CF-44E3-9099-C40C66FF867C}">
                  <a14:compatExt spid="_x0000_s156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80</xdr:row>
          <xdr:rowOff>133350</xdr:rowOff>
        </xdr:from>
        <xdr:to>
          <xdr:col>15</xdr:col>
          <xdr:colOff>28575</xdr:colOff>
          <xdr:row>86</xdr:row>
          <xdr:rowOff>114300</xdr:rowOff>
        </xdr:to>
        <xdr:sp macro="" textlink="">
          <xdr:nvSpPr>
            <xdr:cNvPr id="156687" name="Group Box 15" hidden="1">
              <a:extLst>
                <a:ext uri="{63B3BB69-23CF-44E3-9099-C40C66FF867C}">
                  <a14:compatExt spid="_x0000_s156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Gráficos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86</xdr:row>
          <xdr:rowOff>104775</xdr:rowOff>
        </xdr:from>
        <xdr:to>
          <xdr:col>15</xdr:col>
          <xdr:colOff>28575</xdr:colOff>
          <xdr:row>88</xdr:row>
          <xdr:rowOff>104775</xdr:rowOff>
        </xdr:to>
        <xdr:sp macro="" textlink="">
          <xdr:nvSpPr>
            <xdr:cNvPr id="156688" name="Check Box 16" hidden="1">
              <a:extLst>
                <a:ext uri="{63B3BB69-23CF-44E3-9099-C40C66FF867C}">
                  <a14:compatExt spid="_x0000_s156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Promedio Móvil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77</xdr:row>
          <xdr:rowOff>104775</xdr:rowOff>
        </xdr:from>
        <xdr:to>
          <xdr:col>15</xdr:col>
          <xdr:colOff>38100</xdr:colOff>
          <xdr:row>79</xdr:row>
          <xdr:rowOff>47625</xdr:rowOff>
        </xdr:to>
        <xdr:sp macro="" textlink="">
          <xdr:nvSpPr>
            <xdr:cNvPr id="156689" name="Option Button 17" descr="Unidadades" hidden="1">
              <a:extLst>
                <a:ext uri="{63B3BB69-23CF-44E3-9099-C40C66FF867C}">
                  <a14:compatExt spid="_x0000_s156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79</xdr:row>
          <xdr:rowOff>9525</xdr:rowOff>
        </xdr:from>
        <xdr:to>
          <xdr:col>15</xdr:col>
          <xdr:colOff>28575</xdr:colOff>
          <xdr:row>80</xdr:row>
          <xdr:rowOff>66675</xdr:rowOff>
        </xdr:to>
        <xdr:sp macro="" textlink="">
          <xdr:nvSpPr>
            <xdr:cNvPr id="156690" name="Option Button 18" hidden="1">
              <a:extLst>
                <a:ext uri="{63B3BB69-23CF-44E3-9099-C40C66FF867C}">
                  <a14:compatExt spid="_x0000_s156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84</xdr:row>
          <xdr:rowOff>19050</xdr:rowOff>
        </xdr:from>
        <xdr:to>
          <xdr:col>14</xdr:col>
          <xdr:colOff>304800</xdr:colOff>
          <xdr:row>85</xdr:row>
          <xdr:rowOff>76200</xdr:rowOff>
        </xdr:to>
        <xdr:sp macro="" textlink="">
          <xdr:nvSpPr>
            <xdr:cNvPr id="156691" name="Check Box 19" hidden="1">
              <a:extLst>
                <a:ext uri="{63B3BB69-23CF-44E3-9099-C40C66FF867C}">
                  <a14:compatExt spid="_x0000_s156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8</xdr:row>
          <xdr:rowOff>142875</xdr:rowOff>
        </xdr:from>
        <xdr:to>
          <xdr:col>20</xdr:col>
          <xdr:colOff>428625</xdr:colOff>
          <xdr:row>11</xdr:row>
          <xdr:rowOff>57150</xdr:rowOff>
        </xdr:to>
        <xdr:sp macro="" textlink="">
          <xdr:nvSpPr>
            <xdr:cNvPr id="156693" name="Check Box 21" hidden="1">
              <a:extLst>
                <a:ext uri="{63B3BB69-23CF-44E3-9099-C40C66FF867C}">
                  <a14:compatExt spid="_x0000_s156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</xdr:row>
          <xdr:rowOff>104775</xdr:rowOff>
        </xdr:from>
        <xdr:to>
          <xdr:col>17</xdr:col>
          <xdr:colOff>476250</xdr:colOff>
          <xdr:row>8</xdr:row>
          <xdr:rowOff>9525</xdr:rowOff>
        </xdr:to>
        <xdr:sp macro="" textlink="">
          <xdr:nvSpPr>
            <xdr:cNvPr id="156832" name="Check Box 160" hidden="1">
              <a:extLst>
                <a:ext uri="{63B3BB69-23CF-44E3-9099-C40C66FF867C}">
                  <a14:compatExt spid="_x0000_s156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Convertir a US$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</xdr:row>
          <xdr:rowOff>123825</xdr:rowOff>
        </xdr:from>
        <xdr:to>
          <xdr:col>17</xdr:col>
          <xdr:colOff>476250</xdr:colOff>
          <xdr:row>9</xdr:row>
          <xdr:rowOff>19050</xdr:rowOff>
        </xdr:to>
        <xdr:sp macro="" textlink="">
          <xdr:nvSpPr>
            <xdr:cNvPr id="1068205" name="Check Box 1197" hidden="1">
              <a:extLst>
                <a:ext uri="{63B3BB69-23CF-44E3-9099-C40C66FF867C}">
                  <a14:compatExt spid="_x0000_s106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Incluir IGV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83</xdr:row>
          <xdr:rowOff>28575</xdr:rowOff>
        </xdr:from>
        <xdr:to>
          <xdr:col>14</xdr:col>
          <xdr:colOff>304800</xdr:colOff>
          <xdr:row>84</xdr:row>
          <xdr:rowOff>85725</xdr:rowOff>
        </xdr:to>
        <xdr:sp macro="" textlink="">
          <xdr:nvSpPr>
            <xdr:cNvPr id="1069054" name="Check Box 2046" descr="GT" hidden="1">
              <a:extLst>
                <a:ext uri="{63B3BB69-23CF-44E3-9099-C40C66FF867C}">
                  <a14:compatExt spid="_x0000_s106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2</xdr:row>
          <xdr:rowOff>57150</xdr:rowOff>
        </xdr:from>
        <xdr:to>
          <xdr:col>21</xdr:col>
          <xdr:colOff>9525</xdr:colOff>
          <xdr:row>8</xdr:row>
          <xdr:rowOff>66675</xdr:rowOff>
        </xdr:to>
        <xdr:sp macro="" textlink="">
          <xdr:nvSpPr>
            <xdr:cNvPr id="1069055" name="cmdVerHojas" hidden="1">
              <a:extLst>
                <a:ext uri="{63B3BB69-23CF-44E3-9099-C40C66FF867C}">
                  <a14:compatExt spid="_x0000_s106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0.511</cdr:x>
      <cdr:y>0.85697</cdr:y>
    </cdr:from>
    <cdr:to>
      <cdr:x>0.97826</cdr:x>
      <cdr:y>0.95822</cdr:y>
    </cdr:to>
    <cdr:sp macro="" textlink="">
      <cdr:nvSpPr>
        <cdr:cNvPr id="172033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2648" y="1407141"/>
          <a:ext cx="1023652" cy="1658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0" tIns="22860" rIns="27432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12 últimos meses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78</xdr:row>
      <xdr:rowOff>0</xdr:rowOff>
    </xdr:from>
    <xdr:to>
      <xdr:col>12</xdr:col>
      <xdr:colOff>361950</xdr:colOff>
      <xdr:row>88</xdr:row>
      <xdr:rowOff>9525</xdr:rowOff>
    </xdr:to>
    <xdr:graphicFrame macro="">
      <xdr:nvGraphicFramePr>
        <xdr:cNvPr id="41085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5</xdr:col>
      <xdr:colOff>0</xdr:colOff>
      <xdr:row>88</xdr:row>
      <xdr:rowOff>9525</xdr:rowOff>
    </xdr:to>
    <xdr:graphicFrame macro="">
      <xdr:nvGraphicFramePr>
        <xdr:cNvPr id="410850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228600</xdr:colOff>
      <xdr:row>81</xdr:row>
      <xdr:rowOff>114300</xdr:rowOff>
    </xdr:from>
    <xdr:to>
      <xdr:col>14</xdr:col>
      <xdr:colOff>304800</xdr:colOff>
      <xdr:row>82</xdr:row>
      <xdr:rowOff>28575</xdr:rowOff>
    </xdr:to>
    <xdr:sp macro="" textlink="">
      <xdr:nvSpPr>
        <xdr:cNvPr id="4108507" name="Oval 12"/>
        <xdr:cNvSpPr>
          <a:spLocks noChangeArrowheads="1"/>
        </xdr:cNvSpPr>
      </xdr:nvSpPr>
      <xdr:spPr bwMode="auto">
        <a:xfrm>
          <a:off x="6610350" y="3038475"/>
          <a:ext cx="76200" cy="76200"/>
        </a:xfrm>
        <a:prstGeom prst="ellipse">
          <a:avLst/>
        </a:prstGeom>
        <a:solidFill>
          <a:srgbClr val="FF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228600</xdr:colOff>
      <xdr:row>82</xdr:row>
      <xdr:rowOff>95250</xdr:rowOff>
    </xdr:from>
    <xdr:to>
      <xdr:col>14</xdr:col>
      <xdr:colOff>304800</xdr:colOff>
      <xdr:row>83</xdr:row>
      <xdr:rowOff>9525</xdr:rowOff>
    </xdr:to>
    <xdr:sp macro="" textlink="">
      <xdr:nvSpPr>
        <xdr:cNvPr id="4108508" name="Oval 13"/>
        <xdr:cNvSpPr>
          <a:spLocks noChangeArrowheads="1"/>
        </xdr:cNvSpPr>
      </xdr:nvSpPr>
      <xdr:spPr bwMode="auto">
        <a:xfrm>
          <a:off x="6610350" y="3181350"/>
          <a:ext cx="76200" cy="76200"/>
        </a:xfrm>
        <a:prstGeom prst="ellipse">
          <a:avLst/>
        </a:prstGeom>
        <a:solidFill>
          <a:srgbClr val="0000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228600</xdr:colOff>
      <xdr:row>84</xdr:row>
      <xdr:rowOff>85725</xdr:rowOff>
    </xdr:from>
    <xdr:to>
      <xdr:col>14</xdr:col>
      <xdr:colOff>304800</xdr:colOff>
      <xdr:row>85</xdr:row>
      <xdr:rowOff>0</xdr:rowOff>
    </xdr:to>
    <xdr:sp macro="" textlink="">
      <xdr:nvSpPr>
        <xdr:cNvPr id="4108509" name="Oval 14"/>
        <xdr:cNvSpPr>
          <a:spLocks noChangeArrowheads="1"/>
        </xdr:cNvSpPr>
      </xdr:nvSpPr>
      <xdr:spPr bwMode="auto">
        <a:xfrm>
          <a:off x="6610350" y="3495675"/>
          <a:ext cx="76200" cy="76200"/>
        </a:xfrm>
        <a:prstGeom prst="ellipse">
          <a:avLst/>
        </a:prstGeom>
        <a:solidFill>
          <a:srgbClr val="996633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228600</xdr:colOff>
      <xdr:row>85</xdr:row>
      <xdr:rowOff>76200</xdr:rowOff>
    </xdr:from>
    <xdr:to>
      <xdr:col>14</xdr:col>
      <xdr:colOff>304800</xdr:colOff>
      <xdr:row>85</xdr:row>
      <xdr:rowOff>152400</xdr:rowOff>
    </xdr:to>
    <xdr:sp macro="" textlink="">
      <xdr:nvSpPr>
        <xdr:cNvPr id="4108510" name="Oval 15"/>
        <xdr:cNvSpPr>
          <a:spLocks noChangeArrowheads="1"/>
        </xdr:cNvSpPr>
      </xdr:nvSpPr>
      <xdr:spPr bwMode="auto">
        <a:xfrm>
          <a:off x="6610350" y="3648075"/>
          <a:ext cx="76200" cy="7620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9525</xdr:colOff>
      <xdr:row>77</xdr:row>
      <xdr:rowOff>57150</xdr:rowOff>
    </xdr:from>
    <xdr:to>
      <xdr:col>21</xdr:col>
      <xdr:colOff>9525</xdr:colOff>
      <xdr:row>87</xdr:row>
      <xdr:rowOff>152400</xdr:rowOff>
    </xdr:to>
    <xdr:graphicFrame macro="">
      <xdr:nvGraphicFramePr>
        <xdr:cNvPr id="4108511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20</xdr:col>
      <xdr:colOff>114300</xdr:colOff>
      <xdr:row>84</xdr:row>
      <xdr:rowOff>0</xdr:rowOff>
    </xdr:from>
    <xdr:ext cx="94834" cy="99538"/>
    <xdr:sp macro="" textlink="">
      <xdr:nvSpPr>
        <xdr:cNvPr id="177191" name="Text Box 39"/>
        <xdr:cNvSpPr txBox="1">
          <a:spLocks noChangeArrowheads="1"/>
        </xdr:cNvSpPr>
      </xdr:nvSpPr>
      <xdr:spPr bwMode="auto">
        <a:xfrm>
          <a:off x="9305925" y="3409950"/>
          <a:ext cx="94834" cy="6270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wrap="none" lIns="9144" tIns="18288" rIns="0" bIns="0" anchor="t" upright="1">
          <a:spAutoFit/>
        </a:bodyPr>
        <a:lstStyle/>
        <a:p>
          <a:pPr algn="l" rtl="0">
            <a:defRPr sz="1000"/>
          </a:pPr>
          <a:r>
            <a:rPr lang="es-ES" sz="300" b="0" i="0" strike="noStrike">
              <a:solidFill>
                <a:schemeClr val="bg1"/>
              </a:solidFill>
              <a:latin typeface="Arial"/>
              <a:cs typeface="Arial"/>
            </a:rPr>
            <a:t>Total</a:t>
          </a:r>
        </a:p>
      </xdr:txBody>
    </xdr:sp>
    <xdr:clientData/>
  </xdr:oneCellAnchor>
  <xdr:twoCellAnchor>
    <xdr:from>
      <xdr:col>14</xdr:col>
      <xdr:colOff>228600</xdr:colOff>
      <xdr:row>83</xdr:row>
      <xdr:rowOff>95250</xdr:rowOff>
    </xdr:from>
    <xdr:to>
      <xdr:col>14</xdr:col>
      <xdr:colOff>304800</xdr:colOff>
      <xdr:row>84</xdr:row>
      <xdr:rowOff>9525</xdr:rowOff>
    </xdr:to>
    <xdr:sp macro="" textlink="">
      <xdr:nvSpPr>
        <xdr:cNvPr id="42" name="Oval 24"/>
        <xdr:cNvSpPr>
          <a:spLocks noChangeArrowheads="1"/>
        </xdr:cNvSpPr>
      </xdr:nvSpPr>
      <xdr:spPr bwMode="auto">
        <a:xfrm>
          <a:off x="6610350" y="3343275"/>
          <a:ext cx="76200" cy="76200"/>
        </a:xfrm>
        <a:prstGeom prst="ellipse">
          <a:avLst/>
        </a:prstGeom>
        <a:solidFill>
          <a:schemeClr val="tx2">
            <a:lumMod val="75000"/>
          </a:scheme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81</xdr:row>
          <xdr:rowOff>19050</xdr:rowOff>
        </xdr:from>
        <xdr:to>
          <xdr:col>14</xdr:col>
          <xdr:colOff>190500</xdr:colOff>
          <xdr:row>82</xdr:row>
          <xdr:rowOff>76200</xdr:rowOff>
        </xdr:to>
        <xdr:sp macro="" textlink="">
          <xdr:nvSpPr>
            <xdr:cNvPr id="177155" name="Check Box 3" hidden="1">
              <a:extLst>
                <a:ext uri="{63B3BB69-23CF-44E3-9099-C40C66FF867C}">
                  <a14:compatExt spid="_x0000_s177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Lys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82</xdr:row>
          <xdr:rowOff>19050</xdr:rowOff>
        </xdr:from>
        <xdr:to>
          <xdr:col>14</xdr:col>
          <xdr:colOff>161925</xdr:colOff>
          <xdr:row>83</xdr:row>
          <xdr:rowOff>76200</xdr:rowOff>
        </xdr:to>
        <xdr:sp macro="" textlink="">
          <xdr:nvSpPr>
            <xdr:cNvPr id="177156" name="Check Box 4" hidden="1">
              <a:extLst>
                <a:ext uri="{63B3BB69-23CF-44E3-9099-C40C66FF867C}">
                  <a14:compatExt spid="_x0000_s177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85</xdr:row>
          <xdr:rowOff>0</xdr:rowOff>
        </xdr:from>
        <xdr:to>
          <xdr:col>14</xdr:col>
          <xdr:colOff>200025</xdr:colOff>
          <xdr:row>86</xdr:row>
          <xdr:rowOff>57150</xdr:rowOff>
        </xdr:to>
        <xdr:sp macro="" textlink="">
          <xdr:nvSpPr>
            <xdr:cNvPr id="177157" name="Check Box 5" hidden="1">
              <a:extLst>
                <a:ext uri="{63B3BB69-23CF-44E3-9099-C40C66FF867C}">
                  <a14:compatExt spid="_x0000_s177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80</xdr:row>
          <xdr:rowOff>104775</xdr:rowOff>
        </xdr:from>
        <xdr:to>
          <xdr:col>15</xdr:col>
          <xdr:colOff>28575</xdr:colOff>
          <xdr:row>86</xdr:row>
          <xdr:rowOff>133350</xdr:rowOff>
        </xdr:to>
        <xdr:sp macro="" textlink="">
          <xdr:nvSpPr>
            <xdr:cNvPr id="177158" name="Group Box 6" hidden="1">
              <a:extLst>
                <a:ext uri="{63B3BB69-23CF-44E3-9099-C40C66FF867C}">
                  <a14:compatExt spid="_x0000_s177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Gráficos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86</xdr:row>
          <xdr:rowOff>104775</xdr:rowOff>
        </xdr:from>
        <xdr:to>
          <xdr:col>15</xdr:col>
          <xdr:colOff>28575</xdr:colOff>
          <xdr:row>88</xdr:row>
          <xdr:rowOff>104775</xdr:rowOff>
        </xdr:to>
        <xdr:sp macro="" textlink="">
          <xdr:nvSpPr>
            <xdr:cNvPr id="177159" name="Check Box 7" hidden="1">
              <a:extLst>
                <a:ext uri="{63B3BB69-23CF-44E3-9099-C40C66FF867C}">
                  <a14:compatExt spid="_x0000_s177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Promedio Móvil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77</xdr:row>
          <xdr:rowOff>85725</xdr:rowOff>
        </xdr:from>
        <xdr:to>
          <xdr:col>15</xdr:col>
          <xdr:colOff>38100</xdr:colOff>
          <xdr:row>79</xdr:row>
          <xdr:rowOff>19050</xdr:rowOff>
        </xdr:to>
        <xdr:sp macro="" textlink="">
          <xdr:nvSpPr>
            <xdr:cNvPr id="177160" name="Option Button 8" descr="Unidadades" hidden="1">
              <a:extLst>
                <a:ext uri="{63B3BB69-23CF-44E3-9099-C40C66FF867C}">
                  <a14:compatExt spid="_x0000_s177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78</xdr:row>
          <xdr:rowOff>142875</xdr:rowOff>
        </xdr:from>
        <xdr:to>
          <xdr:col>15</xdr:col>
          <xdr:colOff>28575</xdr:colOff>
          <xdr:row>80</xdr:row>
          <xdr:rowOff>38100</xdr:rowOff>
        </xdr:to>
        <xdr:sp macro="" textlink="">
          <xdr:nvSpPr>
            <xdr:cNvPr id="177161" name="Option Button 9" hidden="1">
              <a:extLst>
                <a:ext uri="{63B3BB69-23CF-44E3-9099-C40C66FF867C}">
                  <a14:compatExt spid="_x0000_s177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84</xdr:row>
          <xdr:rowOff>19050</xdr:rowOff>
        </xdr:from>
        <xdr:to>
          <xdr:col>14</xdr:col>
          <xdr:colOff>228600</xdr:colOff>
          <xdr:row>85</xdr:row>
          <xdr:rowOff>66675</xdr:rowOff>
        </xdr:to>
        <xdr:sp macro="" textlink="">
          <xdr:nvSpPr>
            <xdr:cNvPr id="177162" name="Check Box 10" hidden="1">
              <a:extLst>
                <a:ext uri="{63B3BB69-23CF-44E3-9099-C40C66FF867C}">
                  <a14:compatExt spid="_x0000_s177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8</xdr:row>
          <xdr:rowOff>142875</xdr:rowOff>
        </xdr:from>
        <xdr:to>
          <xdr:col>20</xdr:col>
          <xdr:colOff>428625</xdr:colOff>
          <xdr:row>11</xdr:row>
          <xdr:rowOff>57150</xdr:rowOff>
        </xdr:to>
        <xdr:sp macro="" textlink="">
          <xdr:nvSpPr>
            <xdr:cNvPr id="177163" name="Check Box 11" hidden="1">
              <a:extLst>
                <a:ext uri="{63B3BB69-23CF-44E3-9099-C40C66FF867C}">
                  <a14:compatExt spid="_x0000_s177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19050</xdr:rowOff>
        </xdr:from>
        <xdr:to>
          <xdr:col>11</xdr:col>
          <xdr:colOff>9525</xdr:colOff>
          <xdr:row>1</xdr:row>
          <xdr:rowOff>28575</xdr:rowOff>
        </xdr:to>
        <xdr:sp macro="" textlink="">
          <xdr:nvSpPr>
            <xdr:cNvPr id="177188" name="Drop Down 36" hidden="1">
              <a:extLst>
                <a:ext uri="{63B3BB69-23CF-44E3-9099-C40C66FF867C}">
                  <a14:compatExt spid="_x0000_s17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0</xdr:row>
          <xdr:rowOff>19050</xdr:rowOff>
        </xdr:from>
        <xdr:to>
          <xdr:col>9</xdr:col>
          <xdr:colOff>47625</xdr:colOff>
          <xdr:row>1</xdr:row>
          <xdr:rowOff>28575</xdr:rowOff>
        </xdr:to>
        <xdr:sp macro="" textlink="">
          <xdr:nvSpPr>
            <xdr:cNvPr id="177189" name="Drop Down 37" hidden="1">
              <a:extLst>
                <a:ext uri="{63B3BB69-23CF-44E3-9099-C40C66FF867C}">
                  <a14:compatExt spid="_x0000_s17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19050</xdr:rowOff>
        </xdr:from>
        <xdr:to>
          <xdr:col>13</xdr:col>
          <xdr:colOff>400050</xdr:colOff>
          <xdr:row>1</xdr:row>
          <xdr:rowOff>28575</xdr:rowOff>
        </xdr:to>
        <xdr:sp macro="" textlink="">
          <xdr:nvSpPr>
            <xdr:cNvPr id="177193" name="Drop Down 41" hidden="1">
              <a:extLst>
                <a:ext uri="{63B3BB69-23CF-44E3-9099-C40C66FF867C}">
                  <a14:compatExt spid="_x0000_s17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0</xdr:row>
          <xdr:rowOff>19050</xdr:rowOff>
        </xdr:from>
        <xdr:to>
          <xdr:col>18</xdr:col>
          <xdr:colOff>123825</xdr:colOff>
          <xdr:row>1</xdr:row>
          <xdr:rowOff>38100</xdr:rowOff>
        </xdr:to>
        <xdr:sp macro="" textlink="">
          <xdr:nvSpPr>
            <xdr:cNvPr id="177194" name="Drop Down 42" hidden="1">
              <a:extLst>
                <a:ext uri="{63B3BB69-23CF-44E3-9099-C40C66FF867C}">
                  <a14:compatExt spid="_x0000_s17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</xdr:colOff>
          <xdr:row>1</xdr:row>
          <xdr:rowOff>171450</xdr:rowOff>
        </xdr:from>
        <xdr:to>
          <xdr:col>17</xdr:col>
          <xdr:colOff>314325</xdr:colOff>
          <xdr:row>4</xdr:row>
          <xdr:rowOff>0</xdr:rowOff>
        </xdr:to>
        <xdr:sp macro="" textlink="">
          <xdr:nvSpPr>
            <xdr:cNvPr id="177341" name="Check Box 189" hidden="1">
              <a:extLst>
                <a:ext uri="{63B3BB69-23CF-44E3-9099-C40C66FF867C}">
                  <a14:compatExt spid="_x0000_s177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Convertir a US$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</xdr:colOff>
          <xdr:row>3</xdr:row>
          <xdr:rowOff>0</xdr:rowOff>
        </xdr:from>
        <xdr:to>
          <xdr:col>17</xdr:col>
          <xdr:colOff>314325</xdr:colOff>
          <xdr:row>9</xdr:row>
          <xdr:rowOff>19050</xdr:rowOff>
        </xdr:to>
        <xdr:sp macro="" textlink="">
          <xdr:nvSpPr>
            <xdr:cNvPr id="947558" name="Check Box 1382" hidden="1">
              <a:extLst>
                <a:ext uri="{63B3BB69-23CF-44E3-9099-C40C66FF867C}">
                  <a14:compatExt spid="_x0000_s947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Incluir IGV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83</xdr:row>
          <xdr:rowOff>19050</xdr:rowOff>
        </xdr:from>
        <xdr:to>
          <xdr:col>14</xdr:col>
          <xdr:colOff>161925</xdr:colOff>
          <xdr:row>84</xdr:row>
          <xdr:rowOff>76200</xdr:rowOff>
        </xdr:to>
        <xdr:sp macro="" textlink="">
          <xdr:nvSpPr>
            <xdr:cNvPr id="1740081" name="Check Box 2353" hidden="1">
              <a:extLst>
                <a:ext uri="{63B3BB69-23CF-44E3-9099-C40C66FF867C}">
                  <a14:compatExt spid="_x0000_s1740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28575</xdr:rowOff>
        </xdr:from>
        <xdr:to>
          <xdr:col>20</xdr:col>
          <xdr:colOff>361950</xdr:colOff>
          <xdr:row>1</xdr:row>
          <xdr:rowOff>38100</xdr:rowOff>
        </xdr:to>
        <xdr:sp macro="" textlink="">
          <xdr:nvSpPr>
            <xdr:cNvPr id="1740082" name="Drop Down 2354" hidden="1">
              <a:extLst>
                <a:ext uri="{63B3BB69-23CF-44E3-9099-C40C66FF867C}">
                  <a14:compatExt spid="_x0000_s1740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9525</xdr:rowOff>
        </xdr:from>
        <xdr:to>
          <xdr:col>13</xdr:col>
          <xdr:colOff>161925</xdr:colOff>
          <xdr:row>3</xdr:row>
          <xdr:rowOff>142875</xdr:rowOff>
        </xdr:to>
        <xdr:sp macro="" textlink="">
          <xdr:nvSpPr>
            <xdr:cNvPr id="177190" name="Spinner 38" hidden="1">
              <a:extLst>
                <a:ext uri="{63B3BB69-23CF-44E3-9099-C40C66FF867C}">
                  <a14:compatExt spid="_x0000_s17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0.511</cdr:x>
      <cdr:y>0.85697</cdr:y>
    </cdr:from>
    <cdr:to>
      <cdr:x>0.97826</cdr:x>
      <cdr:y>0.95822</cdr:y>
    </cdr:to>
    <cdr:sp macro="" textlink="">
      <cdr:nvSpPr>
        <cdr:cNvPr id="1792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2648" y="1407141"/>
          <a:ext cx="1023652" cy="1658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0" tIns="22860" rIns="27432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12 últimos meses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0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_visor">
    <pageSetUpPr autoPageBreaks="0" fitToPage="1"/>
  </sheetPr>
  <dimension ref="A1:W270"/>
  <sheetViews>
    <sheetView showGridLines="0" tabSelected="1" workbookViewId="0">
      <selection activeCell="L8" sqref="L8"/>
    </sheetView>
  </sheetViews>
  <sheetFormatPr baseColWidth="10" defaultRowHeight="12.75" outlineLevelRow="1" outlineLevelCol="1" x14ac:dyDescent="0.2"/>
  <cols>
    <col min="1" max="1" width="11.7109375" style="1" customWidth="1"/>
    <col min="2" max="2" width="26.7109375" style="1" hidden="1" customWidth="1" outlineLevel="1"/>
    <col min="3" max="3" width="7" style="1" customWidth="1" collapsed="1"/>
    <col min="4" max="15" width="7" style="1" customWidth="1"/>
    <col min="16" max="16" width="3.7109375" style="1" customWidth="1"/>
    <col min="17" max="20" width="7.85546875" style="1" customWidth="1"/>
    <col min="21" max="21" width="7.7109375" style="1" customWidth="1"/>
    <col min="22" max="22" width="12.5703125" style="1" customWidth="1"/>
    <col min="23" max="23" width="16.140625" style="1" customWidth="1"/>
    <col min="24" max="24" width="0" style="1" hidden="1" customWidth="1"/>
    <col min="25" max="16384" width="11.42578125" style="1"/>
  </cols>
  <sheetData>
    <row r="1" spans="1:23" ht="15" customHeight="1" x14ac:dyDescent="0.2">
      <c r="A1" s="62" t="s">
        <v>26</v>
      </c>
      <c r="B1" s="62"/>
      <c r="D1" s="2"/>
      <c r="E1" s="45"/>
      <c r="G1" s="54"/>
      <c r="O1" s="55"/>
      <c r="T1" s="242"/>
      <c r="V1" s="243"/>
    </row>
    <row r="2" spans="1:23" ht="15" customHeight="1" thickBot="1" x14ac:dyDescent="0.25">
      <c r="A2" s="303"/>
      <c r="B2" s="62"/>
      <c r="D2" s="2"/>
      <c r="E2" s="45"/>
      <c r="G2" s="54"/>
      <c r="O2" s="55"/>
    </row>
    <row r="3" spans="1:23" ht="12" customHeight="1" x14ac:dyDescent="0.2">
      <c r="A3" s="10" t="s">
        <v>30</v>
      </c>
      <c r="B3" s="76"/>
      <c r="C3" s="324" t="s">
        <v>17</v>
      </c>
      <c r="D3" s="325"/>
      <c r="E3" s="18" t="s">
        <v>28</v>
      </c>
      <c r="F3" s="17"/>
      <c r="G3" s="17"/>
      <c r="H3" s="17"/>
      <c r="I3" s="19"/>
      <c r="J3" s="19"/>
      <c r="K3" s="19"/>
      <c r="L3" s="336" t="s">
        <v>3</v>
      </c>
      <c r="M3" s="337"/>
      <c r="N3" s="16" t="s">
        <v>29</v>
      </c>
      <c r="O3" s="20" t="s">
        <v>38</v>
      </c>
      <c r="P3" s="3"/>
      <c r="Q3" s="4"/>
      <c r="V3" s="183"/>
    </row>
    <row r="4" spans="1:23" ht="12" customHeight="1" x14ac:dyDescent="0.2">
      <c r="A4" s="123">
        <v>41913</v>
      </c>
      <c r="B4" s="79"/>
      <c r="C4" s="326">
        <v>6005</v>
      </c>
      <c r="D4" s="327"/>
      <c r="E4" s="302" t="str">
        <f>IFERROR(INDEX(Maestro!FcDetalle,MATCH($C$4,Maestro!FcClave,0),5),"-")</f>
        <v>-</v>
      </c>
      <c r="F4" s="21"/>
      <c r="G4" s="21"/>
      <c r="H4" s="21"/>
      <c r="I4" s="22"/>
      <c r="J4" s="22"/>
      <c r="K4" s="22"/>
      <c r="L4" s="338" t="str">
        <f>IFERROR(INDEX(Maestro!FcDetalle,MATCH($C$4,Maestro!FcClave,0),9)&amp;"("&amp; INDEX(Maestro!FcDetalle,MATCH($C$4,Maestro!FcClave,0),33) &amp; ")","-")</f>
        <v>-</v>
      </c>
      <c r="M4" s="339"/>
      <c r="N4" s="60" t="str">
        <f>IFERROR(INDEX(Rankin!FcDetalle,MATCH(IF(ISNUMBER(C10),$C$10,FcCliente),Rankin!FcClave,0),17),"-")</f>
        <v>-</v>
      </c>
      <c r="O4" s="59" t="str">
        <f>IFERROR(INDEX(Maestro!FcDetalle,MATCH($C$4,Maestro!FcClave,0),10),"-")</f>
        <v>-</v>
      </c>
      <c r="P4" s="3"/>
      <c r="Q4" s="244"/>
      <c r="R4" s="244"/>
      <c r="S4" s="242"/>
      <c r="V4" s="183"/>
    </row>
    <row r="5" spans="1:23" ht="12" hidden="1" customHeight="1" outlineLevel="1" x14ac:dyDescent="0.2">
      <c r="A5" s="23" t="s">
        <v>5</v>
      </c>
      <c r="B5" s="24"/>
      <c r="C5" s="24"/>
      <c r="D5" s="24"/>
      <c r="E5" s="24"/>
      <c r="F5" s="24"/>
      <c r="G5" s="24"/>
      <c r="H5" s="25"/>
      <c r="I5" s="26" t="s">
        <v>2</v>
      </c>
      <c r="J5" s="26"/>
      <c r="K5" s="27"/>
      <c r="L5" s="26" t="s">
        <v>1</v>
      </c>
      <c r="M5" s="28"/>
      <c r="N5" s="24" t="s">
        <v>0</v>
      </c>
      <c r="O5" s="29"/>
      <c r="P5" s="3"/>
      <c r="Q5" s="244"/>
      <c r="R5" s="244"/>
      <c r="S5" s="242"/>
      <c r="V5" s="183"/>
    </row>
    <row r="6" spans="1:23" ht="12" hidden="1" customHeight="1" outlineLevel="1" x14ac:dyDescent="0.2">
      <c r="A6" s="30" t="str">
        <f>IFERROR(INDEX(Maestro!FcDetalle,MATCH($C$4,Maestro!FcClave,0),11),"-")</f>
        <v>-</v>
      </c>
      <c r="B6" s="31"/>
      <c r="C6" s="32"/>
      <c r="D6" s="32"/>
      <c r="E6" s="32"/>
      <c r="F6" s="32"/>
      <c r="G6" s="32"/>
      <c r="H6" s="33"/>
      <c r="I6" s="31" t="str">
        <f>IFERROR(INDEX(Maestro!FcDetalle,MATCH($C$4,Maestro!FcClave,0),12),"-")</f>
        <v>-</v>
      </c>
      <c r="J6" s="31"/>
      <c r="K6" s="34"/>
      <c r="L6" s="31" t="str">
        <f>IFERROR(INDEX(Maestro!FcDetalle,MATCH($C$4,Maestro!FcClave,0),13),"-")</f>
        <v>-</v>
      </c>
      <c r="M6" s="34"/>
      <c r="N6" s="31" t="str">
        <f>IFERROR(INDEX(Maestro!FcDetalle,MATCH($C$4,Maestro!FcClave,0),14),"-")</f>
        <v>-</v>
      </c>
      <c r="O6" s="35"/>
      <c r="P6" s="3"/>
      <c r="Q6" s="244"/>
      <c r="V6" s="183"/>
      <c r="W6" s="242"/>
    </row>
    <row r="7" spans="1:23" ht="12" hidden="1" customHeight="1" outlineLevel="1" x14ac:dyDescent="0.2">
      <c r="A7" s="36" t="s">
        <v>14</v>
      </c>
      <c r="B7" s="26"/>
      <c r="C7" s="26"/>
      <c r="D7" s="26"/>
      <c r="E7" s="27"/>
      <c r="F7" s="26" t="s">
        <v>12</v>
      </c>
      <c r="G7" s="25"/>
      <c r="H7" s="26" t="s">
        <v>11</v>
      </c>
      <c r="I7" s="27"/>
      <c r="J7" s="26" t="s">
        <v>33</v>
      </c>
      <c r="K7" s="37"/>
      <c r="L7" s="27"/>
      <c r="M7" s="90" t="s">
        <v>16</v>
      </c>
      <c r="N7" s="90" t="s">
        <v>19</v>
      </c>
      <c r="O7" s="125" t="s">
        <v>13</v>
      </c>
      <c r="P7" s="3"/>
      <c r="V7" s="183"/>
      <c r="W7" s="242"/>
    </row>
    <row r="8" spans="1:23" ht="12" hidden="1" customHeight="1" outlineLevel="1" x14ac:dyDescent="0.2">
      <c r="A8" s="30" t="str">
        <f>IFERROR(INDEX(Maestro!FcDetalle,MATCH($C$4,Maestro!FcClave,0),16),"-")</f>
        <v>-</v>
      </c>
      <c r="B8" s="77"/>
      <c r="C8" s="77"/>
      <c r="D8" s="77"/>
      <c r="E8" s="78"/>
      <c r="F8" s="86" t="str">
        <f>IFERROR(INDEX(Maestro!FcDetalle,MATCH($C$4,Maestro!FcClave,0),17),"-")</f>
        <v>-</v>
      </c>
      <c r="G8" s="87"/>
      <c r="H8" s="77" t="str">
        <f>IFERROR(INDEX(Maestro!FcDetalle,MATCH($C$4,Maestro!FcClave,0),18),"-")</f>
        <v>-</v>
      </c>
      <c r="I8" s="78"/>
      <c r="J8" s="77" t="str">
        <f>IFERROR(INDEX(Maestro!FcDetalle,MATCH($C$4,Maestro!FcClave,0),22),"-")</f>
        <v>-</v>
      </c>
      <c r="K8" s="77"/>
      <c r="L8" s="34"/>
      <c r="M8" s="91" t="str">
        <f>IFERROR(INDEX(Maestro!FcDetalle,MATCH($C$4,Maestro!FcClave,0),23),"-")</f>
        <v>-</v>
      </c>
      <c r="N8" s="91">
        <f>COUNTIF(D57:O57,"&gt;0")/12</f>
        <v>0</v>
      </c>
      <c r="O8" s="133" t="str">
        <f>IF(ISERROR(ROUND(SUM(D57:O57)/SUM(D135:O135),1))=TRUE,"-",ROUND(SUM(D57:O57)/SUM(D135:O135),1))</f>
        <v>-</v>
      </c>
      <c r="P8" s="3"/>
      <c r="V8" s="314"/>
      <c r="W8" s="242"/>
    </row>
    <row r="9" spans="1:23" ht="12" customHeight="1" collapsed="1" x14ac:dyDescent="0.2">
      <c r="A9" s="92" t="s">
        <v>34</v>
      </c>
      <c r="B9" s="95"/>
      <c r="C9" s="332" t="s">
        <v>35</v>
      </c>
      <c r="D9" s="333"/>
      <c r="E9" s="88" t="s">
        <v>37</v>
      </c>
      <c r="F9" s="89"/>
      <c r="G9" s="75"/>
      <c r="H9" s="75"/>
      <c r="I9" s="75" t="str">
        <f>IFERROR(VALUE(MID(INDEX(Maestro!FcDetalle,MATCH($C$4,Maestro!FcClave,0),7),(11*9)+1,10)),"-")</f>
        <v>-</v>
      </c>
      <c r="J9" s="75" t="str">
        <f>IFERROR(VALUE(MID(INDEX(Maestro!FcDetalle,MATCH($C$4,Maestro!FcClave,0),7),(11*8)+1,10)),"-")</f>
        <v>-</v>
      </c>
      <c r="K9" s="75" t="str">
        <f>IFERROR(VALUE(MID(INDEX(Maestro!FcDetalle,MATCH($C$4,Maestro!FcClave,0),7),(11*7)+1,10)),"-")</f>
        <v>-</v>
      </c>
      <c r="L9" s="330" t="s">
        <v>36</v>
      </c>
      <c r="M9" s="331"/>
      <c r="N9" s="126" t="s">
        <v>20</v>
      </c>
      <c r="O9" s="93" t="s">
        <v>27</v>
      </c>
      <c r="P9" s="3"/>
      <c r="Q9" s="4"/>
      <c r="V9" s="251" t="b">
        <v>0</v>
      </c>
      <c r="W9" s="242"/>
    </row>
    <row r="10" spans="1:23" ht="12" customHeight="1" thickBot="1" x14ac:dyDescent="0.25">
      <c r="A10" s="61">
        <f>IFERROR(INDEX(Maestro!FcDetalle,MATCH($C$4,Maestro!FcClave,0),3),FcCliente)</f>
        <v>6005</v>
      </c>
      <c r="B10" s="96"/>
      <c r="C10" s="334" t="str">
        <f>IFERROR(INDEX(Maestro!FcDetalle,MATCH($C$4,Maestro!FcClave,0),6),"-")</f>
        <v>-</v>
      </c>
      <c r="D10" s="335"/>
      <c r="E10" s="301" t="str">
        <f>IFERROR(VALUE(MID(INDEX(Maestro!FcDetalle,MATCH($C$4,Maestro!FcClave,0),7),(11*0)+1,10)),"-")</f>
        <v>-</v>
      </c>
      <c r="F10" s="58" t="str">
        <f>IFERROR(VALUE(MID(INDEX(Maestro!FcDetalle,MATCH($C$4,Maestro!FcClave,0),7),(11*1)+1,10)),"-")</f>
        <v>-</v>
      </c>
      <c r="G10" s="58" t="str">
        <f>IFERROR(VALUE(MID(INDEX(Maestro!FcDetalle,MATCH($C$4,Maestro!FcClave,0),7),(11*2)+1,10)),"-")</f>
        <v>-</v>
      </c>
      <c r="H10" s="58" t="str">
        <f>IFERROR(VALUE(MID(INDEX(Maestro!FcDetalle,MATCH($C$4,Maestro!FcClave,0),7),(11*3)+1,10)),"-")</f>
        <v>-</v>
      </c>
      <c r="I10" s="58" t="str">
        <f>IFERROR(VALUE(MID(INDEX(Maestro!FcDetalle,MATCH($C$4,Maestro!FcClave,0),7),(11*4)+1,10)),"-")</f>
        <v>-</v>
      </c>
      <c r="J10" s="58" t="str">
        <f>IFERROR(VALUE(MID(INDEX(Maestro!FcDetalle,MATCH($C$4,Maestro!FcClave,0),7),(11*5)+1,10)),"-")</f>
        <v>-</v>
      </c>
      <c r="K10" s="57" t="str">
        <f>IFERROR(VALUE(MID(INDEX(Maestro!FcDetalle,MATCH($C$4,Maestro!FcClave,0),7),(11*6)+1,10)),"-")</f>
        <v>-</v>
      </c>
      <c r="L10" s="328" t="str">
        <f>IFERROR(INDEX(Maestro!FcDetalle,MATCH($C$4,Maestro!FcClave,0),24),"-")</f>
        <v>-</v>
      </c>
      <c r="M10" s="329"/>
      <c r="N10" s="127">
        <f>IF(ISERROR(AVERAGE(D57:O57))=TRUE,"-",AVERAGE(D57:O57))</f>
        <v>0</v>
      </c>
      <c r="O10" s="94" t="str">
        <f>IFERROR(INDEX(Maestro!FcDetalle,MATCH($C$4,Maestro!FcClave,0),8),"-")</f>
        <v>-</v>
      </c>
      <c r="P10" s="3"/>
      <c r="Q10" s="4"/>
      <c r="V10" s="251" t="b">
        <v>0</v>
      </c>
      <c r="W10" s="242"/>
    </row>
    <row r="11" spans="1:23" ht="8.25" customHeight="1" thickBo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3"/>
      <c r="Q11" s="323" t="str">
        <f>CONCATENATE("compras anuales ",IF(FcCheckMoneda,"US$ aprox","S/."))</f>
        <v>compras anuales S/.</v>
      </c>
      <c r="R11" s="323"/>
      <c r="S11" s="323"/>
      <c r="T11" s="323"/>
      <c r="U11" s="323"/>
      <c r="V11" s="251">
        <f>IF(AND(FcCheckMoneda=FALSE,FcCheckIgv=FALSE),21,IF(AND(FcCheckMoneda=TRUE,FcCheckIgv=FALSE),53,IF(AND(FcCheckMoneda=FALSE,FcCheckIgv=TRUE),40,66)))</f>
        <v>21</v>
      </c>
      <c r="W11" s="242"/>
    </row>
    <row r="12" spans="1:23" ht="12" customHeight="1" thickBot="1" x14ac:dyDescent="0.25">
      <c r="A12" s="12" t="str">
        <f>CONCATENATE(IF(FcCheckMoneda,"US$","S/."),IF(FcCheckIgv,"con IGV"," sin IGV"))</f>
        <v>S/. sin IGV</v>
      </c>
      <c r="B12" s="13" t="s">
        <v>31</v>
      </c>
      <c r="C12" s="13">
        <f t="shared" ref="C12:N12" si="0">DATE(IF(MONTH(D12)=1,YEAR(D12)-1,YEAR(D12)),IF(MONTH(D12)=1,12,MONTH(D12)-1),1)</f>
        <v>41548</v>
      </c>
      <c r="D12" s="13">
        <f t="shared" si="0"/>
        <v>41579</v>
      </c>
      <c r="E12" s="13">
        <f t="shared" si="0"/>
        <v>41609</v>
      </c>
      <c r="F12" s="13">
        <f t="shared" si="0"/>
        <v>41640</v>
      </c>
      <c r="G12" s="13">
        <f t="shared" si="0"/>
        <v>41671</v>
      </c>
      <c r="H12" s="13">
        <f t="shared" si="0"/>
        <v>41699</v>
      </c>
      <c r="I12" s="13">
        <f t="shared" si="0"/>
        <v>41730</v>
      </c>
      <c r="J12" s="13">
        <f t="shared" si="0"/>
        <v>41760</v>
      </c>
      <c r="K12" s="13">
        <f t="shared" si="0"/>
        <v>41791</v>
      </c>
      <c r="L12" s="13">
        <f t="shared" si="0"/>
        <v>41821</v>
      </c>
      <c r="M12" s="13">
        <f t="shared" si="0"/>
        <v>41852</v>
      </c>
      <c r="N12" s="13">
        <f t="shared" si="0"/>
        <v>41883</v>
      </c>
      <c r="O12" s="14">
        <f>DATE(YEAR(FcFecha),MONTH(FcFecha),1)</f>
        <v>41913</v>
      </c>
      <c r="P12" s="3"/>
      <c r="Q12" s="191">
        <f>R12-1</f>
        <v>2010</v>
      </c>
      <c r="R12" s="192">
        <f>S12-1</f>
        <v>2011</v>
      </c>
      <c r="S12" s="192">
        <f>T12-1</f>
        <v>2012</v>
      </c>
      <c r="T12" s="192">
        <f>U12-1</f>
        <v>2013</v>
      </c>
      <c r="U12" s="193">
        <f>YEAR($A$4)</f>
        <v>2014</v>
      </c>
      <c r="V12" s="251">
        <f>IF(AND(FcCheckMoneda=FALSE,FcCheckIgv=FALSE),85,IF(AND(FcCheckMoneda=TRUE,FcCheckIgv=FALSE),97,IF(AND(FcCheckMoneda=FALSE,FcCheckIgv=TRUE),91,103)))</f>
        <v>85</v>
      </c>
      <c r="W12" s="242"/>
    </row>
    <row r="13" spans="1:23" ht="12" hidden="1" customHeight="1" outlineLevel="1" x14ac:dyDescent="0.2">
      <c r="A13" s="43">
        <f>IF($E$10="-",$C$4,$E$10)</f>
        <v>6005</v>
      </c>
      <c r="B13" s="98" t="str">
        <f>IFERROR(INDEX(Maestro!FcDetalle,MATCH(A13,Maestro!FcClave,0),5),"")</f>
        <v/>
      </c>
      <c r="C13" s="111" t="str">
        <f>IFERROR(INDEX(Venta!FcDetalle,MATCH(CONCATENATE(A13,"LYS"),Venta!FcClave,0),FcInicioVtaMes+0),"")</f>
        <v/>
      </c>
      <c r="D13" s="111" t="str">
        <f>IFERROR(INDEX(Venta!FcDetalle,MATCH(CONCATENATE(A13,"LYS"),Venta!FcClave,0),FcInicioVtaMes+1),"")</f>
        <v/>
      </c>
      <c r="E13" s="111" t="str">
        <f>IFERROR(INDEX(Venta!FcDetalle,MATCH(CONCATENATE(A13,"LYS"),Venta!FcClave,0),FcInicioVtaMes+2),"")</f>
        <v/>
      </c>
      <c r="F13" s="111" t="str">
        <f>IFERROR(INDEX(Venta!FcDetalle,MATCH(CONCATENATE(A13,"LYS"),Venta!FcClave,0),FcInicioVtaMes+3),"")</f>
        <v/>
      </c>
      <c r="G13" s="111" t="str">
        <f>IFERROR(INDEX(Venta!FcDetalle,MATCH(CONCATENATE(A13,"LYS"),Venta!FcClave,0),FcInicioVtaMes+4),"")</f>
        <v/>
      </c>
      <c r="H13" s="111" t="str">
        <f>IFERROR(INDEX(Venta!FcDetalle,MATCH(CONCATENATE(A13,"LYS"),Venta!FcClave,0),FcInicioVtaMes+5),"")</f>
        <v/>
      </c>
      <c r="I13" s="111" t="str">
        <f>IFERROR(INDEX(Venta!FcDetalle,MATCH(CONCATENATE(A13,"LYS"),Venta!FcClave,0),FcInicioVtaMes+6),"")</f>
        <v/>
      </c>
      <c r="J13" s="111" t="str">
        <f>IFERROR(INDEX(Venta!FcDetalle,MATCH(CONCATENATE(A13,"LYS"),Venta!FcClave,0),FcInicioVtaMes+7),"")</f>
        <v/>
      </c>
      <c r="K13" s="111" t="str">
        <f>IFERROR(INDEX(Venta!FcDetalle,MATCH(CONCATENATE(A13,"LYS"),Venta!FcClave,0),FcInicioVtaMes+8),"")</f>
        <v/>
      </c>
      <c r="L13" s="111" t="str">
        <f>IFERROR(INDEX(Venta!FcDetalle,MATCH(CONCATENATE(A13,"LYS"),Venta!FcClave,0),FcInicioVtaMes+9),"")</f>
        <v/>
      </c>
      <c r="M13" s="111" t="str">
        <f>IFERROR(INDEX(Venta!FcDetalle,MATCH(CONCATENATE(A13,"LYS"),Venta!FcClave,0),FcInicioVtaMes+10),"")</f>
        <v/>
      </c>
      <c r="N13" s="111" t="str">
        <f>IFERROR(INDEX(Venta!FcDetalle,MATCH(CONCATENATE(A13,"LYS"),Venta!FcClave,0),FcInicioVtaMes+11),"")</f>
        <v/>
      </c>
      <c r="O13" s="112" t="str">
        <f>IFERROR(INDEX(Venta!FcDetalle,MATCH(CONCATENATE(A13,"LYS"),Venta!FcClave,0),FcInicioVtaMes+12),"")</f>
        <v/>
      </c>
      <c r="P13" s="3"/>
      <c r="Q13" s="146" t="str">
        <f>IFERROR(INDEX(Venta!FcDetalle,MATCH(CONCATENATE(A13,"LYS"),Venta!FcClave,0),FcInicioVtaAnual+0),"")</f>
        <v/>
      </c>
      <c r="R13" s="147" t="str">
        <f>IFERROR(INDEX(Venta!FcDetalle,MATCH(CONCATENATE(A13,"LYS"),Venta!FcClave,0),FcInicioVtaAnual+1),"")</f>
        <v/>
      </c>
      <c r="S13" s="147" t="str">
        <f>IFERROR(INDEX(Venta!FcDetalle,MATCH(CONCATENATE(A13,"LYS"),Venta!FcClave,0),FcInicioVtaAnual+2),"")</f>
        <v/>
      </c>
      <c r="T13" s="147" t="str">
        <f>IFERROR(INDEX(Venta!FcDetalle,MATCH(CONCATENATE(A13,"LYS"),Venta!FcClave,0),FcInicioVtaAnual+3),"")</f>
        <v/>
      </c>
      <c r="U13" s="148" t="str">
        <f>IFERROR(IF(FcCheckProy=FALSE,INDEX(Venta!FcDetalle,MATCH(CONCATENATE(A13,"LYS"),Venta!FcClave,0),FcInicioVtaAnual+4),INDEX(Venta!FcDetalle,MATCH(CONCATENATE(A13,"LYS"),Venta!FcClave,0),FcInicioVtaAnual+5)),"")</f>
        <v/>
      </c>
      <c r="V13" s="315">
        <v>8</v>
      </c>
      <c r="W13" s="242"/>
    </row>
    <row r="14" spans="1:23" ht="12" hidden="1" customHeight="1" outlineLevel="1" x14ac:dyDescent="0.2">
      <c r="A14" s="43" t="str">
        <f>IF($F$10="-","",$F$10)</f>
        <v/>
      </c>
      <c r="B14" s="98" t="str">
        <f>IFERROR(INDEX(Maestro!FcDetalle,MATCH(A14,Maestro!FcClave,0),5),"")</f>
        <v/>
      </c>
      <c r="C14" s="111" t="str">
        <f>IFERROR(INDEX(Venta!FcDetalle,MATCH(CONCATENATE(A14,"LYS"),Venta!FcClave,0),FcInicioVtaMes+0),"")</f>
        <v/>
      </c>
      <c r="D14" s="111" t="str">
        <f>IFERROR(INDEX(Venta!FcDetalle,MATCH(CONCATENATE(A14,"LYS"),Venta!FcClave,0),FcInicioVtaMes+1),"")</f>
        <v/>
      </c>
      <c r="E14" s="111" t="str">
        <f>IFERROR(INDEX(Venta!FcDetalle,MATCH(CONCATENATE(A14,"LYS"),Venta!FcClave,0),FcInicioVtaMes+2),"")</f>
        <v/>
      </c>
      <c r="F14" s="111" t="str">
        <f>IFERROR(INDEX(Venta!FcDetalle,MATCH(CONCATENATE(A14,"LYS"),Venta!FcClave,0),FcInicioVtaMes+3),"")</f>
        <v/>
      </c>
      <c r="G14" s="111" t="str">
        <f>IFERROR(INDEX(Venta!FcDetalle,MATCH(CONCATENATE(A14,"LYS"),Venta!FcClave,0),FcInicioVtaMes+4),"")</f>
        <v/>
      </c>
      <c r="H14" s="111" t="str">
        <f>IFERROR(INDEX(Venta!FcDetalle,MATCH(CONCATENATE(A14,"LYS"),Venta!FcClave,0),FcInicioVtaMes+5),"")</f>
        <v/>
      </c>
      <c r="I14" s="111" t="str">
        <f>IFERROR(INDEX(Venta!FcDetalle,MATCH(CONCATENATE(A14,"LYS"),Venta!FcClave,0),FcInicioVtaMes+6),"")</f>
        <v/>
      </c>
      <c r="J14" s="111" t="str">
        <f>IFERROR(INDEX(Venta!FcDetalle,MATCH(CONCATENATE(A14,"LYS"),Venta!FcClave,0),FcInicioVtaMes+7),"")</f>
        <v/>
      </c>
      <c r="K14" s="111" t="str">
        <f>IFERROR(INDEX(Venta!FcDetalle,MATCH(CONCATENATE(A14,"LYS"),Venta!FcClave,0),FcInicioVtaMes+8),"")</f>
        <v/>
      </c>
      <c r="L14" s="111" t="str">
        <f>IFERROR(INDEX(Venta!FcDetalle,MATCH(CONCATENATE(A14,"LYS"),Venta!FcClave,0),FcInicioVtaMes+9),"")</f>
        <v/>
      </c>
      <c r="M14" s="111" t="str">
        <f>IFERROR(INDEX(Venta!FcDetalle,MATCH(CONCATENATE(A14,"LYS"),Venta!FcClave,0),FcInicioVtaMes+10),"")</f>
        <v/>
      </c>
      <c r="N14" s="111" t="str">
        <f>IFERROR(INDEX(Venta!FcDetalle,MATCH(CONCATENATE(A14,"LYS"),Venta!FcClave,0),FcInicioVtaMes+11),"")</f>
        <v/>
      </c>
      <c r="O14" s="112" t="str">
        <f>IFERROR(INDEX(Venta!FcDetalle,MATCH(CONCATENATE(A14,"LYS"),Venta!FcClave,0),FcInicioVtaMes+12),"")</f>
        <v/>
      </c>
      <c r="P14" s="3"/>
      <c r="Q14" s="142" t="str">
        <f>IFERROR(INDEX(Venta!FcDetalle,MATCH(CONCATENATE(A14,"LYS"),Venta!FcClave,0),FcInicioVtaAnual+0),"")</f>
        <v/>
      </c>
      <c r="R14" s="63" t="str">
        <f>IFERROR(INDEX(Venta!FcDetalle,MATCH(CONCATENATE(A14,"LYS"),Venta!FcClave,0),FcInicioVtaAnual+1),"")</f>
        <v/>
      </c>
      <c r="S14" s="63" t="str">
        <f>IFERROR(INDEX(Venta!FcDetalle,MATCH(CONCATENATE(A14,"LYS"),Venta!FcClave,0),FcInicioVtaAnual+2),"")</f>
        <v/>
      </c>
      <c r="T14" s="63" t="str">
        <f>IFERROR(INDEX(Venta!FcDetalle,MATCH(CONCATENATE(A14,"LYS"),Venta!FcClave,0),FcInicioVtaAnual+3),"")</f>
        <v/>
      </c>
      <c r="U14" s="64" t="str">
        <f>IFERROR(IF(FcCheckProy=FALSE,INDEX(Venta!FcDetalle,MATCH(CONCATENATE(A14,"LYS"),Venta!FcClave,0),FcInicioVtaAnual+4),INDEX(Venta!FcDetalle,MATCH(CONCATENATE(A14,"LYS"),Venta!FcClave,0),FcInicioVtaAnual+5)),"")</f>
        <v/>
      </c>
      <c r="V14" s="315">
        <v>79</v>
      </c>
      <c r="W14" s="242"/>
    </row>
    <row r="15" spans="1:23" ht="12" hidden="1" customHeight="1" outlineLevel="1" x14ac:dyDescent="0.2">
      <c r="A15" s="43" t="str">
        <f>IF($G$10="-","",$G$10)</f>
        <v/>
      </c>
      <c r="B15" s="98" t="str">
        <f>IFERROR(INDEX(Maestro!FcDetalle,MATCH(A15,Maestro!FcClave,0),5),"")</f>
        <v/>
      </c>
      <c r="C15" s="111" t="str">
        <f>IFERROR(INDEX(Venta!FcDetalle,MATCH(CONCATENATE(A15,"LYS"),Venta!FcClave,0),FcInicioVtaMes+0),"")</f>
        <v/>
      </c>
      <c r="D15" s="111" t="str">
        <f>IFERROR(INDEX(Venta!FcDetalle,MATCH(CONCATENATE(A15,"LYS"),Venta!FcClave,0),FcInicioVtaMes+1),"")</f>
        <v/>
      </c>
      <c r="E15" s="111" t="str">
        <f>IFERROR(INDEX(Venta!FcDetalle,MATCH(CONCATENATE(A15,"LYS"),Venta!FcClave,0),FcInicioVtaMes+2),"")</f>
        <v/>
      </c>
      <c r="F15" s="111" t="str">
        <f>IFERROR(INDEX(Venta!FcDetalle,MATCH(CONCATENATE(A15,"LYS"),Venta!FcClave,0),FcInicioVtaMes+3),"")</f>
        <v/>
      </c>
      <c r="G15" s="111" t="str">
        <f>IFERROR(INDEX(Venta!FcDetalle,MATCH(CONCATENATE(A15,"LYS"),Venta!FcClave,0),FcInicioVtaMes+4),"")</f>
        <v/>
      </c>
      <c r="H15" s="111" t="str">
        <f>IFERROR(INDEX(Venta!FcDetalle,MATCH(CONCATENATE(A15,"LYS"),Venta!FcClave,0),FcInicioVtaMes+5),"")</f>
        <v/>
      </c>
      <c r="I15" s="111" t="str">
        <f>IFERROR(INDEX(Venta!FcDetalle,MATCH(CONCATENATE(A15,"LYS"),Venta!FcClave,0),FcInicioVtaMes+6),"")</f>
        <v/>
      </c>
      <c r="J15" s="111" t="str">
        <f>IFERROR(INDEX(Venta!FcDetalle,MATCH(CONCATENATE(A15,"LYS"),Venta!FcClave,0),FcInicioVtaMes+7),"")</f>
        <v/>
      </c>
      <c r="K15" s="111" t="str">
        <f>IFERROR(INDEX(Venta!FcDetalle,MATCH(CONCATENATE(A15,"LYS"),Venta!FcClave,0),FcInicioVtaMes+8),"")</f>
        <v/>
      </c>
      <c r="L15" s="111" t="str">
        <f>IFERROR(INDEX(Venta!FcDetalle,MATCH(CONCATENATE(A15,"LYS"),Venta!FcClave,0),FcInicioVtaMes+9),"")</f>
        <v/>
      </c>
      <c r="M15" s="111" t="str">
        <f>IFERROR(INDEX(Venta!FcDetalle,MATCH(CONCATENATE(A15,"LYS"),Venta!FcClave,0),FcInicioVtaMes+10),"")</f>
        <v/>
      </c>
      <c r="N15" s="111" t="str">
        <f>IFERROR(INDEX(Venta!FcDetalle,MATCH(CONCATENATE(A15,"LYS"),Venta!FcClave,0),FcInicioVtaMes+11),"")</f>
        <v/>
      </c>
      <c r="O15" s="112" t="str">
        <f>IFERROR(INDEX(Venta!FcDetalle,MATCH(CONCATENATE(A15,"LYS"),Venta!FcClave,0),FcInicioVtaMes+12),"")</f>
        <v/>
      </c>
      <c r="P15" s="3"/>
      <c r="Q15" s="142" t="str">
        <f>IFERROR(INDEX(Venta!FcDetalle,MATCH(CONCATENATE(A15,"LYS"),Venta!FcClave,0),FcInicioVtaAnual+0),"")</f>
        <v/>
      </c>
      <c r="R15" s="63" t="str">
        <f>IFERROR(INDEX(Venta!FcDetalle,MATCH(CONCATENATE(A15,"LYS"),Venta!FcClave,0),FcInicioVtaAnual+1),"")</f>
        <v/>
      </c>
      <c r="S15" s="63" t="str">
        <f>IFERROR(INDEX(Venta!FcDetalle,MATCH(CONCATENATE(A15,"LYS"),Venta!FcClave,0),FcInicioVtaAnual+2),"")</f>
        <v/>
      </c>
      <c r="T15" s="63" t="str">
        <f>IFERROR(INDEX(Venta!FcDetalle,MATCH(CONCATENATE(A15,"LYS"),Venta!FcClave,0),FcInicioVtaAnual+3),"")</f>
        <v/>
      </c>
      <c r="U15" s="64" t="str">
        <f>IFERROR(IF(FcCheckProy=FALSE,INDEX(Venta!FcDetalle,MATCH(CONCATENATE(A15,"LYS"),Venta!FcClave,0),FcInicioVtaAnual+4),INDEX(Venta!FcDetalle,MATCH(CONCATENATE(A15,"LYS"),Venta!FcClave,0),FcInicioVtaAnual+5)),"")</f>
        <v/>
      </c>
      <c r="V15" s="252" t="b">
        <v>0</v>
      </c>
      <c r="W15" s="242"/>
    </row>
    <row r="16" spans="1:23" ht="12" hidden="1" customHeight="1" outlineLevel="1" x14ac:dyDescent="0.2">
      <c r="A16" s="43" t="str">
        <f>IF($H$10="-","",$H$10)</f>
        <v/>
      </c>
      <c r="B16" s="98" t="str">
        <f>IFERROR(INDEX(Maestro!FcDetalle,MATCH(A16,Maestro!FcClave,0),5),"")</f>
        <v/>
      </c>
      <c r="C16" s="111" t="str">
        <f>IFERROR(INDEX(Venta!FcDetalle,MATCH(CONCATENATE(A16,"LYS"),Venta!FcClave,0),FcInicioVtaMes+0),"")</f>
        <v/>
      </c>
      <c r="D16" s="111" t="str">
        <f>IFERROR(INDEX(Venta!FcDetalle,MATCH(CONCATENATE(A16,"LYS"),Venta!FcClave,0),FcInicioVtaMes+1),"")</f>
        <v/>
      </c>
      <c r="E16" s="111" t="str">
        <f>IFERROR(INDEX(Venta!FcDetalle,MATCH(CONCATENATE(A16,"LYS"),Venta!FcClave,0),FcInicioVtaMes+2),"")</f>
        <v/>
      </c>
      <c r="F16" s="111" t="str">
        <f>IFERROR(INDEX(Venta!FcDetalle,MATCH(CONCATENATE(A16,"LYS"),Venta!FcClave,0),FcInicioVtaMes+3),"")</f>
        <v/>
      </c>
      <c r="G16" s="111" t="str">
        <f>IFERROR(INDEX(Venta!FcDetalle,MATCH(CONCATENATE(A16,"LYS"),Venta!FcClave,0),FcInicioVtaMes+4),"")</f>
        <v/>
      </c>
      <c r="H16" s="111" t="str">
        <f>IFERROR(INDEX(Venta!FcDetalle,MATCH(CONCATENATE(A16,"LYS"),Venta!FcClave,0),FcInicioVtaMes+5),"")</f>
        <v/>
      </c>
      <c r="I16" s="111" t="str">
        <f>IFERROR(INDEX(Venta!FcDetalle,MATCH(CONCATENATE(A16,"LYS"),Venta!FcClave,0),FcInicioVtaMes+6),"")</f>
        <v/>
      </c>
      <c r="J16" s="111" t="str">
        <f>IFERROR(INDEX(Venta!FcDetalle,MATCH(CONCATENATE(A16,"LYS"),Venta!FcClave,0),FcInicioVtaMes+7),"")</f>
        <v/>
      </c>
      <c r="K16" s="111" t="str">
        <f>IFERROR(INDEX(Venta!FcDetalle,MATCH(CONCATENATE(A16,"LYS"),Venta!FcClave,0),FcInicioVtaMes+8),"")</f>
        <v/>
      </c>
      <c r="L16" s="111" t="str">
        <f>IFERROR(INDEX(Venta!FcDetalle,MATCH(CONCATENATE(A16,"LYS"),Venta!FcClave,0),FcInicioVtaMes+9),"")</f>
        <v/>
      </c>
      <c r="M16" s="111" t="str">
        <f>IFERROR(INDEX(Venta!FcDetalle,MATCH(CONCATENATE(A16,"LYS"),Venta!FcClave,0),FcInicioVtaMes+10),"")</f>
        <v/>
      </c>
      <c r="N16" s="111" t="str">
        <f>IFERROR(INDEX(Venta!FcDetalle,MATCH(CONCATENATE(A16,"LYS"),Venta!FcClave,0),FcInicioVtaMes+11),"")</f>
        <v/>
      </c>
      <c r="O16" s="112" t="str">
        <f>IFERROR(INDEX(Venta!FcDetalle,MATCH(CONCATENATE(A16,"LYS"),Venta!FcClave,0),FcInicioVtaMes+12),"")</f>
        <v/>
      </c>
      <c r="P16" s="3"/>
      <c r="Q16" s="142" t="str">
        <f>IFERROR(INDEX(Venta!FcDetalle,MATCH(CONCATENATE(A16,"LYS"),Venta!FcClave,0),FcInicioVtaAnual+0),"")</f>
        <v/>
      </c>
      <c r="R16" s="63" t="str">
        <f>IFERROR(INDEX(Venta!FcDetalle,MATCH(CONCATENATE(A16,"LYS"),Venta!FcClave,0),FcInicioVtaAnual+1),"")</f>
        <v/>
      </c>
      <c r="S16" s="63" t="str">
        <f>IFERROR(INDEX(Venta!FcDetalle,MATCH(CONCATENATE(A16,"LYS"),Venta!FcClave,0),FcInicioVtaAnual+2),"")</f>
        <v/>
      </c>
      <c r="T16" s="63" t="str">
        <f>IFERROR(INDEX(Venta!FcDetalle,MATCH(CONCATENATE(A16,"LYS"),Venta!FcClave,0),FcInicioVtaAnual+3),"")</f>
        <v/>
      </c>
      <c r="U16" s="64" t="str">
        <f>IFERROR(IF(FcCheckProy=FALSE,INDEX(Venta!FcDetalle,MATCH(CONCATENATE(A16,"LYS"),Venta!FcClave,0),FcInicioVtaAnual+4),INDEX(Venta!FcDetalle,MATCH(CONCATENATE(A16,"LYS"),Venta!FcClave,0),FcInicioVtaAnual+5)),"")</f>
        <v/>
      </c>
      <c r="V16" s="251">
        <f>IF(FcCheckMoneda=FALSE,6,24)</f>
        <v>6</v>
      </c>
      <c r="W16" s="242"/>
    </row>
    <row r="17" spans="1:22" ht="12" hidden="1" customHeight="1" outlineLevel="1" x14ac:dyDescent="0.2">
      <c r="A17" s="43" t="str">
        <f>IF($I$10="-","",$I$10)</f>
        <v/>
      </c>
      <c r="B17" s="98" t="str">
        <f>IFERROR(INDEX(Maestro!FcDetalle,MATCH(A17,Maestro!FcClave,0),5),"")</f>
        <v/>
      </c>
      <c r="C17" s="111" t="str">
        <f>IFERROR(INDEX(Venta!FcDetalle,MATCH(CONCATENATE(A17,"LYS"),Venta!FcClave,0),FcInicioVtaMes+0),"")</f>
        <v/>
      </c>
      <c r="D17" s="111" t="str">
        <f>IFERROR(INDEX(Venta!FcDetalle,MATCH(CONCATENATE(A17,"LYS"),Venta!FcClave,0),FcInicioVtaMes+1),"")</f>
        <v/>
      </c>
      <c r="E17" s="111" t="str">
        <f>IFERROR(INDEX(Venta!FcDetalle,MATCH(CONCATENATE(A17,"LYS"),Venta!FcClave,0),FcInicioVtaMes+2),"")</f>
        <v/>
      </c>
      <c r="F17" s="111" t="str">
        <f>IFERROR(INDEX(Venta!FcDetalle,MATCH(CONCATENATE(A17,"LYS"),Venta!FcClave,0),FcInicioVtaMes+3),"")</f>
        <v/>
      </c>
      <c r="G17" s="111" t="str">
        <f>IFERROR(INDEX(Venta!FcDetalle,MATCH(CONCATENATE(A17,"LYS"),Venta!FcClave,0),FcInicioVtaMes+4),"")</f>
        <v/>
      </c>
      <c r="H17" s="111" t="str">
        <f>IFERROR(INDEX(Venta!FcDetalle,MATCH(CONCATENATE(A17,"LYS"),Venta!FcClave,0),FcInicioVtaMes+5),"")</f>
        <v/>
      </c>
      <c r="I17" s="111" t="str">
        <f>IFERROR(INDEX(Venta!FcDetalle,MATCH(CONCATENATE(A17,"LYS"),Venta!FcClave,0),FcInicioVtaMes+6),"")</f>
        <v/>
      </c>
      <c r="J17" s="111" t="str">
        <f>IFERROR(INDEX(Venta!FcDetalle,MATCH(CONCATENATE(A17,"LYS"),Venta!FcClave,0),FcInicioVtaMes+7),"")</f>
        <v/>
      </c>
      <c r="K17" s="111" t="str">
        <f>IFERROR(INDEX(Venta!FcDetalle,MATCH(CONCATENATE(A17,"LYS"),Venta!FcClave,0),FcInicioVtaMes+8),"")</f>
        <v/>
      </c>
      <c r="L17" s="111" t="str">
        <f>IFERROR(INDEX(Venta!FcDetalle,MATCH(CONCATENATE(A17,"LYS"),Venta!FcClave,0),FcInicioVtaMes+9),"")</f>
        <v/>
      </c>
      <c r="M17" s="111" t="str">
        <f>IFERROR(INDEX(Venta!FcDetalle,MATCH(CONCATENATE(A17,"LYS"),Venta!FcClave,0),FcInicioVtaMes+10),"")</f>
        <v/>
      </c>
      <c r="N17" s="111" t="str">
        <f>IFERROR(INDEX(Venta!FcDetalle,MATCH(CONCATENATE(A17,"LYS"),Venta!FcClave,0),FcInicioVtaMes+11),"")</f>
        <v/>
      </c>
      <c r="O17" s="112" t="str">
        <f>IFERROR(INDEX(Venta!FcDetalle,MATCH(CONCATENATE(A17,"LYS"),Venta!FcClave,0),FcInicioVtaMes+12),"")</f>
        <v/>
      </c>
      <c r="P17" s="3"/>
      <c r="Q17" s="142" t="str">
        <f>IFERROR(INDEX(Venta!FcDetalle,MATCH(CONCATENATE(A17,"LYS"),Venta!FcClave,0),FcInicioVtaAnual+0),"")</f>
        <v/>
      </c>
      <c r="R17" s="63" t="str">
        <f>IFERROR(INDEX(Venta!FcDetalle,MATCH(CONCATENATE(A17,"LYS"),Venta!FcClave,0),FcInicioVtaAnual+1),"")</f>
        <v/>
      </c>
      <c r="S17" s="63" t="str">
        <f>IFERROR(INDEX(Venta!FcDetalle,MATCH(CONCATENATE(A17,"LYS"),Venta!FcClave,0),FcInicioVtaAnual+2),"")</f>
        <v/>
      </c>
      <c r="T17" s="63" t="str">
        <f>IFERROR(INDEX(Venta!FcDetalle,MATCH(CONCATENATE(A17,"LYS"),Venta!FcClave,0),FcInicioVtaAnual+3),"")</f>
        <v/>
      </c>
      <c r="U17" s="64" t="str">
        <f>IFERROR(IF(FcCheckProy=FALSE,INDEX(Venta!FcDetalle,MATCH(CONCATENATE(A17,"LYS"),Venta!FcClave,0),FcInicioVtaAnual+4),INDEX(Venta!FcDetalle,MATCH(CONCATENATE(A17,"LYS"),Venta!FcClave,0),FcInicioVtaAnual+5)),"")</f>
        <v/>
      </c>
      <c r="V17" s="315">
        <f>IF(FcCheckMoneda=FALSE,19,37)</f>
        <v>19</v>
      </c>
    </row>
    <row r="18" spans="1:22" ht="12" hidden="1" customHeight="1" outlineLevel="1" x14ac:dyDescent="0.2">
      <c r="A18" s="43" t="str">
        <f>IF($J$10="-","",$J$10)</f>
        <v/>
      </c>
      <c r="B18" s="98" t="str">
        <f>IFERROR(INDEX(Maestro!FcDetalle,MATCH(A18,Maestro!FcClave,0),5),"")</f>
        <v/>
      </c>
      <c r="C18" s="111" t="str">
        <f>IFERROR(INDEX(Venta!FcDetalle,MATCH(CONCATENATE(A18,"LYS"),Venta!FcClave,0),FcInicioVtaMes+0),"")</f>
        <v/>
      </c>
      <c r="D18" s="111" t="str">
        <f>IFERROR(INDEX(Venta!FcDetalle,MATCH(CONCATENATE(A18,"LYS"),Venta!FcClave,0),FcInicioVtaMes+1),"")</f>
        <v/>
      </c>
      <c r="E18" s="111" t="str">
        <f>IFERROR(INDEX(Venta!FcDetalle,MATCH(CONCATENATE(A18,"LYS"),Venta!FcClave,0),FcInicioVtaMes+2),"")</f>
        <v/>
      </c>
      <c r="F18" s="111" t="str">
        <f>IFERROR(INDEX(Venta!FcDetalle,MATCH(CONCATENATE(A18,"LYS"),Venta!FcClave,0),FcInicioVtaMes+3),"")</f>
        <v/>
      </c>
      <c r="G18" s="111" t="str">
        <f>IFERROR(INDEX(Venta!FcDetalle,MATCH(CONCATENATE(A18,"LYS"),Venta!FcClave,0),FcInicioVtaMes+4),"")</f>
        <v/>
      </c>
      <c r="H18" s="111" t="str">
        <f>IFERROR(INDEX(Venta!FcDetalle,MATCH(CONCATENATE(A18,"LYS"),Venta!FcClave,0),FcInicioVtaMes+5),"")</f>
        <v/>
      </c>
      <c r="I18" s="111" t="str">
        <f>IFERROR(INDEX(Venta!FcDetalle,MATCH(CONCATENATE(A18,"LYS"),Venta!FcClave,0),FcInicioVtaMes+6),"")</f>
        <v/>
      </c>
      <c r="J18" s="111" t="str">
        <f>IFERROR(INDEX(Venta!FcDetalle,MATCH(CONCATENATE(A18,"LYS"),Venta!FcClave,0),FcInicioVtaMes+7),"")</f>
        <v/>
      </c>
      <c r="K18" s="111" t="str">
        <f>IFERROR(INDEX(Venta!FcDetalle,MATCH(CONCATENATE(A18,"LYS"),Venta!FcClave,0),FcInicioVtaMes+8),"")</f>
        <v/>
      </c>
      <c r="L18" s="111" t="str">
        <f>IFERROR(INDEX(Venta!FcDetalle,MATCH(CONCATENATE(A18,"LYS"),Venta!FcClave,0),FcInicioVtaMes+9),"")</f>
        <v/>
      </c>
      <c r="M18" s="111" t="str">
        <f>IFERROR(INDEX(Venta!FcDetalle,MATCH(CONCATENATE(A18,"LYS"),Venta!FcClave,0),FcInicioVtaMes+10),"")</f>
        <v/>
      </c>
      <c r="N18" s="111" t="str">
        <f>IFERROR(INDEX(Venta!FcDetalle,MATCH(CONCATENATE(A18,"LYS"),Venta!FcClave,0),FcInicioVtaMes+11),"")</f>
        <v/>
      </c>
      <c r="O18" s="112" t="str">
        <f>IFERROR(INDEX(Venta!FcDetalle,MATCH(CONCATENATE(A18,"LYS"),Venta!FcClave,0),FcInicioVtaMes+12),"")</f>
        <v/>
      </c>
      <c r="P18" s="3"/>
      <c r="Q18" s="142" t="str">
        <f>IFERROR(INDEX(Venta!FcDetalle,MATCH(CONCATENATE(A18,"LYS"),Venta!FcClave,0),FcInicioVtaAnual+0),"")</f>
        <v/>
      </c>
      <c r="R18" s="63" t="str">
        <f>IFERROR(INDEX(Venta!FcDetalle,MATCH(CONCATENATE(A18,"LYS"),Venta!FcClave,0),FcInicioVtaAnual+1),"")</f>
        <v/>
      </c>
      <c r="S18" s="63" t="str">
        <f>IFERROR(INDEX(Venta!FcDetalle,MATCH(CONCATENATE(A18,"LYS"),Venta!FcClave,0),FcInicioVtaAnual+2),"")</f>
        <v/>
      </c>
      <c r="T18" s="63" t="str">
        <f>IFERROR(INDEX(Venta!FcDetalle,MATCH(CONCATENATE(A18,"LYS"),Venta!FcClave,0),FcInicioVtaAnual+3),"")</f>
        <v/>
      </c>
      <c r="U18" s="64" t="str">
        <f>IFERROR(IF(FcCheckProy=FALSE,INDEX(Venta!FcDetalle,MATCH(CONCATENATE(A18,"LYS"),Venta!FcClave,0),FcInicioVtaAnual+4),INDEX(Venta!FcDetalle,MATCH(CONCATENATE(A18,"LYS"),Venta!FcClave,0),FcInicioVtaAnual+5)),"")</f>
        <v/>
      </c>
      <c r="V18" s="315">
        <f>IF(AND(ISNUMBER($A$10),$A$10&gt;0),$A$10,FcCliente)</f>
        <v>6005</v>
      </c>
    </row>
    <row r="19" spans="1:22" ht="12" hidden="1" customHeight="1" outlineLevel="1" x14ac:dyDescent="0.2">
      <c r="A19" s="43" t="str">
        <f>IF($K$10="-","",$K$10)</f>
        <v/>
      </c>
      <c r="B19" s="98" t="str">
        <f>IFERROR(INDEX(Maestro!FcDetalle,MATCH(A19,Maestro!FcClave,0),5),"")</f>
        <v/>
      </c>
      <c r="C19" s="111" t="str">
        <f>IFERROR(INDEX(Venta!FcDetalle,MATCH(CONCATENATE(A19,"LYS"),Venta!FcClave,0),FcInicioVtaMes+0),"")</f>
        <v/>
      </c>
      <c r="D19" s="111" t="str">
        <f>IFERROR(INDEX(Venta!FcDetalle,MATCH(CONCATENATE(A19,"LYS"),Venta!FcClave,0),FcInicioVtaMes+1),"")</f>
        <v/>
      </c>
      <c r="E19" s="111" t="str">
        <f>IFERROR(INDEX(Venta!FcDetalle,MATCH(CONCATENATE(A19,"LYS"),Venta!FcClave,0),FcInicioVtaMes+2),"")</f>
        <v/>
      </c>
      <c r="F19" s="111" t="str">
        <f>IFERROR(INDEX(Venta!FcDetalle,MATCH(CONCATENATE(A19,"LYS"),Venta!FcClave,0),FcInicioVtaMes+3),"")</f>
        <v/>
      </c>
      <c r="G19" s="111" t="str">
        <f>IFERROR(INDEX(Venta!FcDetalle,MATCH(CONCATENATE(A19,"LYS"),Venta!FcClave,0),FcInicioVtaMes+4),"")</f>
        <v/>
      </c>
      <c r="H19" s="111" t="str">
        <f>IFERROR(INDEX(Venta!FcDetalle,MATCH(CONCATENATE(A19,"LYS"),Venta!FcClave,0),FcInicioVtaMes+5),"")</f>
        <v/>
      </c>
      <c r="I19" s="111" t="str">
        <f>IFERROR(INDEX(Venta!FcDetalle,MATCH(CONCATENATE(A19,"LYS"),Venta!FcClave,0),FcInicioVtaMes+6),"")</f>
        <v/>
      </c>
      <c r="J19" s="111" t="str">
        <f>IFERROR(INDEX(Venta!FcDetalle,MATCH(CONCATENATE(A19,"LYS"),Venta!FcClave,0),FcInicioVtaMes+7),"")</f>
        <v/>
      </c>
      <c r="K19" s="111" t="str">
        <f>IFERROR(INDEX(Venta!FcDetalle,MATCH(CONCATENATE(A19,"LYS"),Venta!FcClave,0),FcInicioVtaMes+8),"")</f>
        <v/>
      </c>
      <c r="L19" s="111" t="str">
        <f>IFERROR(INDEX(Venta!FcDetalle,MATCH(CONCATENATE(A19,"LYS"),Venta!FcClave,0),FcInicioVtaMes+9),"")</f>
        <v/>
      </c>
      <c r="M19" s="111" t="str">
        <f>IFERROR(INDEX(Venta!FcDetalle,MATCH(CONCATENATE(A19,"LYS"),Venta!FcClave,0),FcInicioVtaMes+10),"")</f>
        <v/>
      </c>
      <c r="N19" s="111" t="str">
        <f>IFERROR(INDEX(Venta!FcDetalle,MATCH(CONCATENATE(A19,"LYS"),Venta!FcClave,0),FcInicioVtaMes+11),"")</f>
        <v/>
      </c>
      <c r="O19" s="112" t="str">
        <f>IFERROR(INDEX(Venta!FcDetalle,MATCH(CONCATENATE(A19,"LYS"),Venta!FcClave,0),FcInicioVtaMes+12),"")</f>
        <v/>
      </c>
      <c r="P19" s="3"/>
      <c r="Q19" s="142" t="str">
        <f>IFERROR(INDEX(Venta!FcDetalle,MATCH(CONCATENATE(A19,"LYS"),Venta!FcClave,0),FcInicioVtaAnual+0),"")</f>
        <v/>
      </c>
      <c r="R19" s="63" t="str">
        <f>IFERROR(INDEX(Venta!FcDetalle,MATCH(CONCATENATE(A19,"LYS"),Venta!FcClave,0),FcInicioVtaAnual+1),"")</f>
        <v/>
      </c>
      <c r="S19" s="63" t="str">
        <f>IFERROR(INDEX(Venta!FcDetalle,MATCH(CONCATENATE(A19,"LYS"),Venta!FcClave,0),FcInicioVtaAnual+2),"")</f>
        <v/>
      </c>
      <c r="T19" s="63" t="str">
        <f>IFERROR(INDEX(Venta!FcDetalle,MATCH(CONCATENATE(A19,"LYS"),Venta!FcClave,0),FcInicioVtaAnual+3),"")</f>
        <v/>
      </c>
      <c r="U19" s="64" t="str">
        <f>IFERROR(IF(FcCheckProy=FALSE,INDEX(Venta!FcDetalle,MATCH(CONCATENATE(A19,"LYS"),Venta!FcClave,0),FcInicioVtaAnual+4),INDEX(Venta!FcDetalle,MATCH(CONCATENATE(A19,"LYS"),Venta!FcClave,0),FcInicioVtaAnual+5)),"")</f>
        <v/>
      </c>
      <c r="V19" s="242"/>
    </row>
    <row r="20" spans="1:22" ht="12" hidden="1" customHeight="1" outlineLevel="1" x14ac:dyDescent="0.2">
      <c r="A20" s="43" t="str">
        <f>IF($I$9="-","",$I$9)</f>
        <v/>
      </c>
      <c r="B20" s="98" t="str">
        <f>IFERROR(INDEX(Maestro!FcDetalle,MATCH(A20,Maestro!FcClave,0),5),"")</f>
        <v/>
      </c>
      <c r="C20" s="111" t="str">
        <f>IFERROR(INDEX(Venta!FcDetalle,MATCH(CONCATENATE(A20,"LYS"),Venta!FcClave,0),FcInicioVtaMes+0),"")</f>
        <v/>
      </c>
      <c r="D20" s="111" t="str">
        <f>IFERROR(INDEX(Venta!FcDetalle,MATCH(CONCATENATE(A20,"LYS"),Venta!FcClave,0),FcInicioVtaMes+1),"")</f>
        <v/>
      </c>
      <c r="E20" s="111" t="str">
        <f>IFERROR(INDEX(Venta!FcDetalle,MATCH(CONCATENATE(A20,"LYS"),Venta!FcClave,0),FcInicioVtaMes+2),"")</f>
        <v/>
      </c>
      <c r="F20" s="111" t="str">
        <f>IFERROR(INDEX(Venta!FcDetalle,MATCH(CONCATENATE(A20,"LYS"),Venta!FcClave,0),FcInicioVtaMes+3),"")</f>
        <v/>
      </c>
      <c r="G20" s="111" t="str">
        <f>IFERROR(INDEX(Venta!FcDetalle,MATCH(CONCATENATE(A20,"LYS"),Venta!FcClave,0),FcInicioVtaMes+4),"")</f>
        <v/>
      </c>
      <c r="H20" s="111" t="str">
        <f>IFERROR(INDEX(Venta!FcDetalle,MATCH(CONCATENATE(A20,"LYS"),Venta!FcClave,0),FcInicioVtaMes+5),"")</f>
        <v/>
      </c>
      <c r="I20" s="111" t="str">
        <f>IFERROR(INDEX(Venta!FcDetalle,MATCH(CONCATENATE(A20,"LYS"),Venta!FcClave,0),FcInicioVtaMes+6),"")</f>
        <v/>
      </c>
      <c r="J20" s="111" t="str">
        <f>IFERROR(INDEX(Venta!FcDetalle,MATCH(CONCATENATE(A20,"LYS"),Venta!FcClave,0),FcInicioVtaMes+7),"")</f>
        <v/>
      </c>
      <c r="K20" s="111" t="str">
        <f>IFERROR(INDEX(Venta!FcDetalle,MATCH(CONCATENATE(A20,"LYS"),Venta!FcClave,0),FcInicioVtaMes+8),"")</f>
        <v/>
      </c>
      <c r="L20" s="111" t="str">
        <f>IFERROR(INDEX(Venta!FcDetalle,MATCH(CONCATENATE(A20,"LYS"),Venta!FcClave,0),FcInicioVtaMes+9),"")</f>
        <v/>
      </c>
      <c r="M20" s="111" t="str">
        <f>IFERROR(INDEX(Venta!FcDetalle,MATCH(CONCATENATE(A20,"LYS"),Venta!FcClave,0),FcInicioVtaMes+10),"")</f>
        <v/>
      </c>
      <c r="N20" s="111" t="str">
        <f>IFERROR(INDEX(Venta!FcDetalle,MATCH(CONCATENATE(A20,"LYS"),Venta!FcClave,0),FcInicioVtaMes+11),"")</f>
        <v/>
      </c>
      <c r="O20" s="112" t="str">
        <f>IFERROR(INDEX(Venta!FcDetalle,MATCH(CONCATENATE(A20,"LYS"),Venta!FcClave,0),FcInicioVtaMes+12),"")</f>
        <v/>
      </c>
      <c r="P20" s="3"/>
      <c r="Q20" s="142" t="str">
        <f>IFERROR(INDEX(Venta!FcDetalle,MATCH(CONCATENATE(A20,"LYS"),Venta!FcClave,0),FcInicioVtaAnual+0),"")</f>
        <v/>
      </c>
      <c r="R20" s="63" t="str">
        <f>IFERROR(INDEX(Venta!FcDetalle,MATCH(CONCATENATE(A20,"LYS"),Venta!FcClave,0),FcInicioVtaAnual+1),"")</f>
        <v/>
      </c>
      <c r="S20" s="63" t="str">
        <f>IFERROR(INDEX(Venta!FcDetalle,MATCH(CONCATENATE(A20,"LYS"),Venta!FcClave,0),FcInicioVtaAnual+2),"")</f>
        <v/>
      </c>
      <c r="T20" s="63" t="str">
        <f>IFERROR(INDEX(Venta!FcDetalle,MATCH(CONCATENATE(A20,"LYS"),Venta!FcClave,0),FcInicioVtaAnual+3),"")</f>
        <v/>
      </c>
      <c r="U20" s="64" t="str">
        <f>IFERROR(IF(FcCheckProy=FALSE,INDEX(Venta!FcDetalle,MATCH(CONCATENATE(A20,"LYS"),Venta!FcClave,0),FcInicioVtaAnual+4),INDEX(Venta!FcDetalle,MATCH(CONCATENATE(A20,"LYS"),Venta!FcClave,0),FcInicioVtaAnual+5)),"")</f>
        <v/>
      </c>
      <c r="V20" s="242"/>
    </row>
    <row r="21" spans="1:22" ht="12" hidden="1" customHeight="1" outlineLevel="1" x14ac:dyDescent="0.2">
      <c r="A21" s="43" t="str">
        <f>IF($J$9="-","",$J$9)</f>
        <v/>
      </c>
      <c r="B21" s="98" t="str">
        <f>IFERROR(INDEX(Maestro!FcDetalle,MATCH(A21,Maestro!FcClave,0),5),"")</f>
        <v/>
      </c>
      <c r="C21" s="111" t="str">
        <f>IFERROR(INDEX(Venta!FcDetalle,MATCH(CONCATENATE(A21,"LYS"),Venta!FcClave,0),FcInicioVtaMes+0),"")</f>
        <v/>
      </c>
      <c r="D21" s="111" t="str">
        <f>IFERROR(INDEX(Venta!FcDetalle,MATCH(CONCATENATE(A21,"LYS"),Venta!FcClave,0),FcInicioVtaMes+1),"")</f>
        <v/>
      </c>
      <c r="E21" s="111" t="str">
        <f>IFERROR(INDEX(Venta!FcDetalle,MATCH(CONCATENATE(A21,"LYS"),Venta!FcClave,0),FcInicioVtaMes+2),"")</f>
        <v/>
      </c>
      <c r="F21" s="111" t="str">
        <f>IFERROR(INDEX(Venta!FcDetalle,MATCH(CONCATENATE(A21,"LYS"),Venta!FcClave,0),FcInicioVtaMes+3),"")</f>
        <v/>
      </c>
      <c r="G21" s="111" t="str">
        <f>IFERROR(INDEX(Venta!FcDetalle,MATCH(CONCATENATE(A21,"LYS"),Venta!FcClave,0),FcInicioVtaMes+4),"")</f>
        <v/>
      </c>
      <c r="H21" s="111" t="str">
        <f>IFERROR(INDEX(Venta!FcDetalle,MATCH(CONCATENATE(A21,"LYS"),Venta!FcClave,0),FcInicioVtaMes+5),"")</f>
        <v/>
      </c>
      <c r="I21" s="111" t="str">
        <f>IFERROR(INDEX(Venta!FcDetalle,MATCH(CONCATENATE(A21,"LYS"),Venta!FcClave,0),FcInicioVtaMes+6),"")</f>
        <v/>
      </c>
      <c r="J21" s="111" t="str">
        <f>IFERROR(INDEX(Venta!FcDetalle,MATCH(CONCATENATE(A21,"LYS"),Venta!FcClave,0),FcInicioVtaMes+7),"")</f>
        <v/>
      </c>
      <c r="K21" s="111" t="str">
        <f>IFERROR(INDEX(Venta!FcDetalle,MATCH(CONCATENATE(A21,"LYS"),Venta!FcClave,0),FcInicioVtaMes+8),"")</f>
        <v/>
      </c>
      <c r="L21" s="111" t="str">
        <f>IFERROR(INDEX(Venta!FcDetalle,MATCH(CONCATENATE(A21,"LYS"),Venta!FcClave,0),FcInicioVtaMes+9),"")</f>
        <v/>
      </c>
      <c r="M21" s="111" t="str">
        <f>IFERROR(INDEX(Venta!FcDetalle,MATCH(CONCATENATE(A21,"LYS"),Venta!FcClave,0),FcInicioVtaMes+10),"")</f>
        <v/>
      </c>
      <c r="N21" s="111" t="str">
        <f>IFERROR(INDEX(Venta!FcDetalle,MATCH(CONCATENATE(A21,"LYS"),Venta!FcClave,0),FcInicioVtaMes+11),"")</f>
        <v/>
      </c>
      <c r="O21" s="112" t="str">
        <f>IFERROR(INDEX(Venta!FcDetalle,MATCH(CONCATENATE(A21,"LYS"),Venta!FcClave,0),FcInicioVtaMes+12),"")</f>
        <v/>
      </c>
      <c r="P21" s="3"/>
      <c r="Q21" s="142" t="str">
        <f>IFERROR(INDEX(Venta!FcDetalle,MATCH(CONCATENATE(A21,"LYS"),Venta!FcClave,0),FcInicioVtaAnual+0),"")</f>
        <v/>
      </c>
      <c r="R21" s="63" t="str">
        <f>IFERROR(INDEX(Venta!FcDetalle,MATCH(CONCATENATE(A21,"LYS"),Venta!FcClave,0),FcInicioVtaAnual+1),"")</f>
        <v/>
      </c>
      <c r="S21" s="63" t="str">
        <f>IFERROR(INDEX(Venta!FcDetalle,MATCH(CONCATENATE(A21,"LYS"),Venta!FcClave,0),FcInicioVtaAnual+2),"")</f>
        <v/>
      </c>
      <c r="T21" s="63" t="str">
        <f>IFERROR(INDEX(Venta!FcDetalle,MATCH(CONCATENATE(A21,"LYS"),Venta!FcClave,0),FcInicioVtaAnual+3),"")</f>
        <v/>
      </c>
      <c r="U21" s="64" t="str">
        <f>IFERROR(IF(FcCheckProy=FALSE,INDEX(Venta!FcDetalle,MATCH(CONCATENATE(A21,"LYS"),Venta!FcClave,0),FcInicioVtaAnual+4),INDEX(Venta!FcDetalle,MATCH(CONCATENATE(A21,"LYS"),Venta!FcClave,0),FcInicioVtaAnual+5)),"")</f>
        <v/>
      </c>
      <c r="V21" s="242"/>
    </row>
    <row r="22" spans="1:22" ht="12" hidden="1" customHeight="1" outlineLevel="1" thickBot="1" x14ac:dyDescent="0.25">
      <c r="A22" s="97" t="str">
        <f>IF($K$9="-","",$K$9)</f>
        <v/>
      </c>
      <c r="B22" s="98" t="str">
        <f>IFERROR(INDEX(Maestro!FcDetalle,MATCH(A22,Maestro!FcClave,0),5),"")</f>
        <v/>
      </c>
      <c r="C22" s="111" t="str">
        <f>IFERROR(INDEX(Venta!FcDetalle,MATCH(CONCATENATE(A22,"LYS"),Venta!FcClave,0),FcInicioVtaMes+0),"")</f>
        <v/>
      </c>
      <c r="D22" s="111" t="str">
        <f>IFERROR(INDEX(Venta!FcDetalle,MATCH(CONCATENATE(A22,"LYS"),Venta!FcClave,0),FcInicioVtaMes+1),"")</f>
        <v/>
      </c>
      <c r="E22" s="111" t="str">
        <f>IFERROR(INDEX(Venta!FcDetalle,MATCH(CONCATENATE(A22,"LYS"),Venta!FcClave,0),FcInicioVtaMes+2),"")</f>
        <v/>
      </c>
      <c r="F22" s="111" t="str">
        <f>IFERROR(INDEX(Venta!FcDetalle,MATCH(CONCATENATE(A22,"LYS"),Venta!FcClave,0),FcInicioVtaMes+3),"")</f>
        <v/>
      </c>
      <c r="G22" s="111" t="str">
        <f>IFERROR(INDEX(Venta!FcDetalle,MATCH(CONCATENATE(A22,"LYS"),Venta!FcClave,0),FcInicioVtaMes+4),"")</f>
        <v/>
      </c>
      <c r="H22" s="111" t="str">
        <f>IFERROR(INDEX(Venta!FcDetalle,MATCH(CONCATENATE(A22,"LYS"),Venta!FcClave,0),FcInicioVtaMes+5),"")</f>
        <v/>
      </c>
      <c r="I22" s="111" t="str">
        <f>IFERROR(INDEX(Venta!FcDetalle,MATCH(CONCATENATE(A22,"LYS"),Venta!FcClave,0),FcInicioVtaMes+6),"")</f>
        <v/>
      </c>
      <c r="J22" s="111" t="str">
        <f>IFERROR(INDEX(Venta!FcDetalle,MATCH(CONCATENATE(A22,"LYS"),Venta!FcClave,0),FcInicioVtaMes+7),"")</f>
        <v/>
      </c>
      <c r="K22" s="111" t="str">
        <f>IFERROR(INDEX(Venta!FcDetalle,MATCH(CONCATENATE(A22,"LYS"),Venta!FcClave,0),FcInicioVtaMes+8),"")</f>
        <v/>
      </c>
      <c r="L22" s="111" t="str">
        <f>IFERROR(INDEX(Venta!FcDetalle,MATCH(CONCATENATE(A22,"LYS"),Venta!FcClave,0),FcInicioVtaMes+9),"")</f>
        <v/>
      </c>
      <c r="M22" s="111" t="str">
        <f>IFERROR(INDEX(Venta!FcDetalle,MATCH(CONCATENATE(A22,"LYS"),Venta!FcClave,0),FcInicioVtaMes+10),"")</f>
        <v/>
      </c>
      <c r="N22" s="111" t="str">
        <f>IFERROR(INDEX(Venta!FcDetalle,MATCH(CONCATENATE(A22,"LYS"),Venta!FcClave,0),FcInicioVtaMes+11),"")</f>
        <v/>
      </c>
      <c r="O22" s="112" t="str">
        <f>IF(ISERROR(VLOOKUP(CONCATENATE(A22,"LYS",FcInicioVtaMes),Venta!FcDataCia,14,0))=TRUE,"",VLOOKUP(CONCATENATE(A22,"LYS",FcInicioVtaMes),Venta!FcDataCia,14,0))</f>
        <v/>
      </c>
      <c r="P22" s="3"/>
      <c r="Q22" s="180" t="str">
        <f>IFERROR(INDEX(Venta!FcDetalle,MATCH(CONCATENATE(A22,"LYS"),Venta!FcClave,0),FcInicioVtaAnual+0),"")</f>
        <v/>
      </c>
      <c r="R22" s="181" t="str">
        <f>IFERROR(INDEX(Venta!FcDetalle,MATCH(CONCATENATE(A22,"LYS"),Venta!FcClave,0),FcInicioVtaAnual+1),"")</f>
        <v/>
      </c>
      <c r="S22" s="181" t="str">
        <f>IFERROR(INDEX(Venta!FcDetalle,MATCH(CONCATENATE(A22,"LYS"),Venta!FcClave,0),FcInicioVtaAnual+2),"")</f>
        <v/>
      </c>
      <c r="T22" s="181" t="str">
        <f>IFERROR(INDEX(Venta!FcDetalle,MATCH(CONCATENATE(A22,"LYS"),Venta!FcClave,0),FcInicioVtaAnual+3),"")</f>
        <v/>
      </c>
      <c r="U22" s="182" t="str">
        <f>IFERROR(IF(FcCheckProy=FALSE,INDEX(Venta!FcDetalle,MATCH(CONCATENATE(A22,"LYS"),Venta!FcClave,0),FcInicioVtaAnual+4),INDEX(Venta!FcDetalle,MATCH(CONCATENATE(A22,"LYS"),Venta!FcClave,0),FcInicioVtaAnual+5)),"")</f>
        <v/>
      </c>
      <c r="V22" s="242"/>
    </row>
    <row r="23" spans="1:22" ht="12" customHeight="1" collapsed="1" thickBot="1" x14ac:dyDescent="0.25">
      <c r="A23" s="113" t="s">
        <v>21</v>
      </c>
      <c r="B23" s="114"/>
      <c r="C23" s="300">
        <f t="shared" ref="C23:O23" si="1">SUM(C13:C22)</f>
        <v>0</v>
      </c>
      <c r="D23" s="300">
        <f t="shared" si="1"/>
        <v>0</v>
      </c>
      <c r="E23" s="115">
        <f t="shared" si="1"/>
        <v>0</v>
      </c>
      <c r="F23" s="115">
        <f t="shared" si="1"/>
        <v>0</v>
      </c>
      <c r="G23" s="115">
        <f t="shared" si="1"/>
        <v>0</v>
      </c>
      <c r="H23" s="115">
        <f t="shared" si="1"/>
        <v>0</v>
      </c>
      <c r="I23" s="115">
        <f t="shared" si="1"/>
        <v>0</v>
      </c>
      <c r="J23" s="115">
        <f t="shared" si="1"/>
        <v>0</v>
      </c>
      <c r="K23" s="115">
        <f t="shared" si="1"/>
        <v>0</v>
      </c>
      <c r="L23" s="115">
        <f t="shared" si="1"/>
        <v>0</v>
      </c>
      <c r="M23" s="115">
        <f t="shared" si="1"/>
        <v>0</v>
      </c>
      <c r="N23" s="115">
        <f t="shared" si="1"/>
        <v>0</v>
      </c>
      <c r="O23" s="116">
        <f t="shared" si="1"/>
        <v>0</v>
      </c>
      <c r="P23" s="5"/>
      <c r="Q23" s="184">
        <f>SUM(Q13:Q22)</f>
        <v>0</v>
      </c>
      <c r="R23" s="185">
        <f>SUM(R13:R22)</f>
        <v>0</v>
      </c>
      <c r="S23" s="185">
        <f>SUM(S13:S22)</f>
        <v>0</v>
      </c>
      <c r="T23" s="185">
        <f>SUM(T13:T22)</f>
        <v>0</v>
      </c>
      <c r="U23" s="186">
        <f>SUM(U13:U22)</f>
        <v>0</v>
      </c>
      <c r="V23" s="242"/>
    </row>
    <row r="24" spans="1:22" ht="12" hidden="1" customHeight="1" outlineLevel="1" x14ac:dyDescent="0.2">
      <c r="A24" s="43">
        <f>IF($E$10="-",$C$4,$E$10)</f>
        <v>6005</v>
      </c>
      <c r="B24" s="98" t="str">
        <f>IFERROR(INDEX(Maestro!FcDetalle,MATCH(A24,Maestro!FcClave,0),5),"")</f>
        <v/>
      </c>
      <c r="C24" s="111" t="str">
        <f>IFERROR(INDEX(Venta!FcDetalle,MATCH(CONCATENATE(A24,"HPE"),Venta!FcClave,0),FcInicioVtaMes+0),"")</f>
        <v/>
      </c>
      <c r="D24" s="111" t="str">
        <f>IFERROR(INDEX(Venta!FcDetalle,MATCH(CONCATENATE(A24,"HPE"),Venta!FcClave,0),FcInicioVtaMes+1),"")</f>
        <v/>
      </c>
      <c r="E24" s="111" t="str">
        <f>IFERROR(INDEX(Venta!FcDetalle,MATCH(CONCATENATE(A24,"HPE"),Venta!FcClave,0),FcInicioVtaMes+2),"")</f>
        <v/>
      </c>
      <c r="F24" s="111" t="str">
        <f>IFERROR(INDEX(Venta!FcDetalle,MATCH(CONCATENATE(A24,"HPE"),Venta!FcClave,0),FcInicioVtaMes+3),"")</f>
        <v/>
      </c>
      <c r="G24" s="111" t="str">
        <f>IFERROR(INDEX(Venta!FcDetalle,MATCH(CONCATENATE(A24,"HPE"),Venta!FcClave,0),FcInicioVtaMes+4),"")</f>
        <v/>
      </c>
      <c r="H24" s="111" t="str">
        <f>IFERROR(INDEX(Venta!FcDetalle,MATCH(CONCATENATE(A24,"HPE"),Venta!FcClave,0),FcInicioVtaMes+5),"")</f>
        <v/>
      </c>
      <c r="I24" s="111" t="str">
        <f>IFERROR(INDEX(Venta!FcDetalle,MATCH(CONCATENATE(A24,"HPE"),Venta!FcClave,0),FcInicioVtaMes+6),"")</f>
        <v/>
      </c>
      <c r="J24" s="111" t="str">
        <f>IFERROR(INDEX(Venta!FcDetalle,MATCH(CONCATENATE(A24,"HPE"),Venta!FcClave,0),FcInicioVtaMes+7),"")</f>
        <v/>
      </c>
      <c r="K24" s="111" t="str">
        <f>IFERROR(INDEX(Venta!FcDetalle,MATCH(CONCATENATE(A24,"HPE"),Venta!FcClave,0),FcInicioVtaMes+8),"")</f>
        <v/>
      </c>
      <c r="L24" s="111" t="str">
        <f>IFERROR(INDEX(Venta!FcDetalle,MATCH(CONCATENATE(A24,"HPE"),Venta!FcClave,0),FcInicioVtaMes+9),"")</f>
        <v/>
      </c>
      <c r="M24" s="111" t="str">
        <f>IFERROR(INDEX(Venta!FcDetalle,MATCH(CONCATENATE(A24,"HPE"),Venta!FcClave,0),FcInicioVtaMes+10),"")</f>
        <v/>
      </c>
      <c r="N24" s="111" t="str">
        <f>IFERROR(INDEX(Venta!FcDetalle,MATCH(CONCATENATE(A24,"HPE"),Venta!FcClave,0),FcInicioVtaMes+11),"")</f>
        <v/>
      </c>
      <c r="O24" s="112" t="str">
        <f>IFERROR(INDEX(Venta!FcDetalle,MATCH(CONCATENATE(A24,"HPE"),Venta!FcClave,0),FcInicioVtaMes+12),"")</f>
        <v/>
      </c>
      <c r="P24" s="3"/>
      <c r="Q24" s="146" t="str">
        <f>IFERROR(INDEX(Venta!FcDetalle,MATCH(CONCATENATE(A24,"HPE"),Venta!FcClave,0),FcInicioVtaAnual+0),"")</f>
        <v/>
      </c>
      <c r="R24" s="147" t="str">
        <f>IFERROR(INDEX(Venta!FcDetalle,MATCH(CONCATENATE(A24,"HPE"),Venta!FcClave,0),FcInicioVtaAnual+1),"")</f>
        <v/>
      </c>
      <c r="S24" s="147" t="str">
        <f>IFERROR(INDEX(Venta!FcDetalle,MATCH(CONCATENATE(A24,"HPE"),Venta!FcClave,0),FcInicioVtaAnual+2),"")</f>
        <v/>
      </c>
      <c r="T24" s="147" t="str">
        <f>IFERROR(INDEX(Venta!FcDetalle,MATCH(CONCATENATE(A24,"HPE"),Venta!FcClave,0),FcInicioVtaAnual+3),"")</f>
        <v/>
      </c>
      <c r="U24" s="148" t="str">
        <f>IFERROR(IF(FcCheckProy=FALSE,INDEX(Venta!FcDetalle,MATCH(CONCATENATE(A24,"HPE"),Venta!FcClave,0),FcInicioVtaAnual+4),INDEX(Venta!FcDetalle,MATCH(CONCATENATE(A24,"HPE"),Venta!FcClave,0),FcInicioVtaAnual+5)),"")</f>
        <v/>
      </c>
      <c r="V24" s="242"/>
    </row>
    <row r="25" spans="1:22" ht="12" hidden="1" customHeight="1" outlineLevel="1" x14ac:dyDescent="0.2">
      <c r="A25" s="43" t="str">
        <f>IF($F$10="-","",$F$10)</f>
        <v/>
      </c>
      <c r="B25" s="98" t="str">
        <f>IFERROR(INDEX(Maestro!FcDetalle,MATCH(A25,Maestro!FcClave,0),5),"")</f>
        <v/>
      </c>
      <c r="C25" s="111" t="str">
        <f>IFERROR(INDEX(Venta!FcDetalle,MATCH(CONCATENATE(A25,"HPE"),Venta!FcClave,0),FcInicioVtaMes+0),"")</f>
        <v/>
      </c>
      <c r="D25" s="111" t="str">
        <f>IFERROR(INDEX(Venta!FcDetalle,MATCH(CONCATENATE(A25,"HPE"),Venta!FcClave,0),FcInicioVtaMes+1),"")</f>
        <v/>
      </c>
      <c r="E25" s="111" t="str">
        <f>IFERROR(INDEX(Venta!FcDetalle,MATCH(CONCATENATE(A25,"HPE"),Venta!FcClave,0),FcInicioVtaMes+2),"")</f>
        <v/>
      </c>
      <c r="F25" s="111" t="str">
        <f>IFERROR(INDEX(Venta!FcDetalle,MATCH(CONCATENATE(A25,"HPE"),Venta!FcClave,0),FcInicioVtaMes+3),"")</f>
        <v/>
      </c>
      <c r="G25" s="111" t="str">
        <f>IFERROR(INDEX(Venta!FcDetalle,MATCH(CONCATENATE(A25,"HPE"),Venta!FcClave,0),FcInicioVtaMes+4),"")</f>
        <v/>
      </c>
      <c r="H25" s="111" t="str">
        <f>IFERROR(INDEX(Venta!FcDetalle,MATCH(CONCATENATE(A25,"HPE"),Venta!FcClave,0),FcInicioVtaMes+5),"")</f>
        <v/>
      </c>
      <c r="I25" s="111" t="str">
        <f>IFERROR(INDEX(Venta!FcDetalle,MATCH(CONCATENATE(A25,"HPE"),Venta!FcClave,0),FcInicioVtaMes+6),"")</f>
        <v/>
      </c>
      <c r="J25" s="111" t="str">
        <f>IFERROR(INDEX(Venta!FcDetalle,MATCH(CONCATENATE(A25,"HPE"),Venta!FcClave,0),FcInicioVtaMes+7),"")</f>
        <v/>
      </c>
      <c r="K25" s="111" t="str">
        <f>IFERROR(INDEX(Venta!FcDetalle,MATCH(CONCATENATE(A25,"HPE"),Venta!FcClave,0),FcInicioVtaMes+8),"")</f>
        <v/>
      </c>
      <c r="L25" s="111" t="str">
        <f>IFERROR(INDEX(Venta!FcDetalle,MATCH(CONCATENATE(A25,"HPE"),Venta!FcClave,0),FcInicioVtaMes+9),"")</f>
        <v/>
      </c>
      <c r="M25" s="111" t="str">
        <f>IFERROR(INDEX(Venta!FcDetalle,MATCH(CONCATENATE(A25,"HPE"),Venta!FcClave,0),FcInicioVtaMes+10),"")</f>
        <v/>
      </c>
      <c r="N25" s="111" t="str">
        <f>IFERROR(INDEX(Venta!FcDetalle,MATCH(CONCATENATE(A25,"HPE"),Venta!FcClave,0),FcInicioVtaMes+11),"")</f>
        <v/>
      </c>
      <c r="O25" s="112" t="str">
        <f>IFERROR(INDEX(Venta!FcDetalle,MATCH(CONCATENATE(A25,"HPE"),Venta!FcClave,0),FcInicioVtaMes+12),"")</f>
        <v/>
      </c>
      <c r="P25" s="3"/>
      <c r="Q25" s="142" t="str">
        <f>IFERROR(INDEX(Venta!FcDetalle,MATCH(CONCATENATE(A25,"HPE"),Venta!FcClave,0),FcInicioVtaAnual+0),"")</f>
        <v/>
      </c>
      <c r="R25" s="63" t="str">
        <f>IFERROR(INDEX(Venta!FcDetalle,MATCH(CONCATENATE(A25,"HPE"),Venta!FcClave,0),FcInicioVtaAnual+1),"")</f>
        <v/>
      </c>
      <c r="S25" s="63" t="str">
        <f>IFERROR(INDEX(Venta!FcDetalle,MATCH(CONCATENATE(A25,"HPE"),Venta!FcClave,0),FcInicioVtaAnual+2),"")</f>
        <v/>
      </c>
      <c r="T25" s="63" t="str">
        <f>IFERROR(INDEX(Venta!FcDetalle,MATCH(CONCATENATE(A25,"HPE"),Venta!FcClave,0),FcInicioVtaAnual+3),"")</f>
        <v/>
      </c>
      <c r="U25" s="64" t="str">
        <f>IFERROR(IF(FcCheckProy=FALSE,INDEX(Venta!FcDetalle,MATCH(CONCATENATE(A25,"HPE"),Venta!FcClave,0),FcInicioVtaAnual+4),INDEX(Venta!FcDetalle,MATCH(CONCATENATE(A25,"HPE"),Venta!FcClave,0),FcInicioVtaAnual+5)),"")</f>
        <v/>
      </c>
      <c r="V25" s="242"/>
    </row>
    <row r="26" spans="1:22" ht="12" hidden="1" customHeight="1" outlineLevel="1" x14ac:dyDescent="0.2">
      <c r="A26" s="43" t="str">
        <f>IF($G$10="-","",$G$10)</f>
        <v/>
      </c>
      <c r="B26" s="98" t="str">
        <f>IFERROR(INDEX(Maestro!FcDetalle,MATCH(A26,Maestro!FcClave,0),5),"")</f>
        <v/>
      </c>
      <c r="C26" s="111" t="str">
        <f>IFERROR(INDEX(Venta!FcDetalle,MATCH(CONCATENATE(A26,"HPE"),Venta!FcClave,0),FcInicioVtaMes+0),"")</f>
        <v/>
      </c>
      <c r="D26" s="111" t="str">
        <f>IFERROR(INDEX(Venta!FcDetalle,MATCH(CONCATENATE(A26,"HPE"),Venta!FcClave,0),FcInicioVtaMes+1),"")</f>
        <v/>
      </c>
      <c r="E26" s="111" t="str">
        <f>IFERROR(INDEX(Venta!FcDetalle,MATCH(CONCATENATE(A26,"HPE"),Venta!FcClave,0),FcInicioVtaMes+2),"")</f>
        <v/>
      </c>
      <c r="F26" s="111" t="str">
        <f>IFERROR(INDEX(Venta!FcDetalle,MATCH(CONCATENATE(A26,"HPE"),Venta!FcClave,0),FcInicioVtaMes+3),"")</f>
        <v/>
      </c>
      <c r="G26" s="111" t="str">
        <f>IFERROR(INDEX(Venta!FcDetalle,MATCH(CONCATENATE(A26,"HPE"),Venta!FcClave,0),FcInicioVtaMes+4),"")</f>
        <v/>
      </c>
      <c r="H26" s="111" t="str">
        <f>IFERROR(INDEX(Venta!FcDetalle,MATCH(CONCATENATE(A26,"HPE"),Venta!FcClave,0),FcInicioVtaMes+5),"")</f>
        <v/>
      </c>
      <c r="I26" s="111" t="str">
        <f>IFERROR(INDEX(Venta!FcDetalle,MATCH(CONCATENATE(A26,"HPE"),Venta!FcClave,0),FcInicioVtaMes+6),"")</f>
        <v/>
      </c>
      <c r="J26" s="111" t="str">
        <f>IFERROR(INDEX(Venta!FcDetalle,MATCH(CONCATENATE(A26,"HPE"),Venta!FcClave,0),FcInicioVtaMes+7),"")</f>
        <v/>
      </c>
      <c r="K26" s="111" t="str">
        <f>IFERROR(INDEX(Venta!FcDetalle,MATCH(CONCATENATE(A26,"HPE"),Venta!FcClave,0),FcInicioVtaMes+8),"")</f>
        <v/>
      </c>
      <c r="L26" s="111" t="str">
        <f>IFERROR(INDEX(Venta!FcDetalle,MATCH(CONCATENATE(A26,"HPE"),Venta!FcClave,0),FcInicioVtaMes+9),"")</f>
        <v/>
      </c>
      <c r="M26" s="111" t="str">
        <f>IFERROR(INDEX(Venta!FcDetalle,MATCH(CONCATENATE(A26,"HPE"),Venta!FcClave,0),FcInicioVtaMes+10),"")</f>
        <v/>
      </c>
      <c r="N26" s="111" t="str">
        <f>IFERROR(INDEX(Venta!FcDetalle,MATCH(CONCATENATE(A26,"HPE"),Venta!FcClave,0),FcInicioVtaMes+11),"")</f>
        <v/>
      </c>
      <c r="O26" s="112" t="str">
        <f>IFERROR(INDEX(Venta!FcDetalle,MATCH(CONCATENATE(A26,"HPE"),Venta!FcClave,0),FcInicioVtaMes+12),"")</f>
        <v/>
      </c>
      <c r="P26" s="3"/>
      <c r="Q26" s="142" t="str">
        <f>IFERROR(INDEX(Venta!FcDetalle,MATCH(CONCATENATE(A26,"HPE"),Venta!FcClave,0),FcInicioVtaAnual+0),"")</f>
        <v/>
      </c>
      <c r="R26" s="63" t="str">
        <f>IFERROR(INDEX(Venta!FcDetalle,MATCH(CONCATENATE(A26,"HPE"),Venta!FcClave,0),FcInicioVtaAnual+1),"")</f>
        <v/>
      </c>
      <c r="S26" s="63" t="str">
        <f>IFERROR(INDEX(Venta!FcDetalle,MATCH(CONCATENATE(A26,"HPE"),Venta!FcClave,0),FcInicioVtaAnual+2),"")</f>
        <v/>
      </c>
      <c r="T26" s="63" t="str">
        <f>IFERROR(INDEX(Venta!FcDetalle,MATCH(CONCATENATE(A26,"HPE"),Venta!FcClave,0),FcInicioVtaAnual+3),"")</f>
        <v/>
      </c>
      <c r="U26" s="64" t="str">
        <f>IFERROR(IF(FcCheckProy=FALSE,INDEX(Venta!FcDetalle,MATCH(CONCATENATE(A26,"HPE"),Venta!FcClave,0),FcInicioVtaAnual+4),INDEX(Venta!FcDetalle,MATCH(CONCATENATE(A26,"HPE"),Venta!FcClave,0),FcInicioVtaAnual+5)),"")</f>
        <v/>
      </c>
      <c r="V26" s="242"/>
    </row>
    <row r="27" spans="1:22" ht="12" hidden="1" customHeight="1" outlineLevel="1" x14ac:dyDescent="0.2">
      <c r="A27" s="43" t="str">
        <f>IF($H$10="-","",$H$10)</f>
        <v/>
      </c>
      <c r="B27" s="98" t="str">
        <f>IFERROR(INDEX(Maestro!FcDetalle,MATCH(A27,Maestro!FcClave,0),5),"")</f>
        <v/>
      </c>
      <c r="C27" s="111" t="str">
        <f>IFERROR(INDEX(Venta!FcDetalle,MATCH(CONCATENATE(A27,"HPE"),Venta!FcClave,0),FcInicioVtaMes+0),"")</f>
        <v/>
      </c>
      <c r="D27" s="111" t="str">
        <f>IFERROR(INDEX(Venta!FcDetalle,MATCH(CONCATENATE(A27,"HPE"),Venta!FcClave,0),FcInicioVtaMes+1),"")</f>
        <v/>
      </c>
      <c r="E27" s="111" t="str">
        <f>IFERROR(INDEX(Venta!FcDetalle,MATCH(CONCATENATE(A27,"HPE"),Venta!FcClave,0),FcInicioVtaMes+2),"")</f>
        <v/>
      </c>
      <c r="F27" s="111" t="str">
        <f>IFERROR(INDEX(Venta!FcDetalle,MATCH(CONCATENATE(A27,"HPE"),Venta!FcClave,0),FcInicioVtaMes+3),"")</f>
        <v/>
      </c>
      <c r="G27" s="111" t="str">
        <f>IFERROR(INDEX(Venta!FcDetalle,MATCH(CONCATENATE(A27,"HPE"),Venta!FcClave,0),FcInicioVtaMes+4),"")</f>
        <v/>
      </c>
      <c r="H27" s="111" t="str">
        <f>IFERROR(INDEX(Venta!FcDetalle,MATCH(CONCATENATE(A27,"HPE"),Venta!FcClave,0),FcInicioVtaMes+5),"")</f>
        <v/>
      </c>
      <c r="I27" s="111" t="str">
        <f>IFERROR(INDEX(Venta!FcDetalle,MATCH(CONCATENATE(A27,"HPE"),Venta!FcClave,0),FcInicioVtaMes+6),"")</f>
        <v/>
      </c>
      <c r="J27" s="111" t="str">
        <f>IFERROR(INDEX(Venta!FcDetalle,MATCH(CONCATENATE(A27,"HPE"),Venta!FcClave,0),FcInicioVtaMes+7),"")</f>
        <v/>
      </c>
      <c r="K27" s="111" t="str">
        <f>IFERROR(INDEX(Venta!FcDetalle,MATCH(CONCATENATE(A27,"HPE"),Venta!FcClave,0),FcInicioVtaMes+8),"")</f>
        <v/>
      </c>
      <c r="L27" s="111" t="str">
        <f>IFERROR(INDEX(Venta!FcDetalle,MATCH(CONCATENATE(A27,"HPE"),Venta!FcClave,0),FcInicioVtaMes+9),"")</f>
        <v/>
      </c>
      <c r="M27" s="111" t="str">
        <f>IFERROR(INDEX(Venta!FcDetalle,MATCH(CONCATENATE(A27,"HPE"),Venta!FcClave,0),FcInicioVtaMes+10),"")</f>
        <v/>
      </c>
      <c r="N27" s="111" t="str">
        <f>IFERROR(INDEX(Venta!FcDetalle,MATCH(CONCATENATE(A27,"HPE"),Venta!FcClave,0),FcInicioVtaMes+11),"")</f>
        <v/>
      </c>
      <c r="O27" s="112" t="str">
        <f>IFERROR(INDEX(Venta!FcDetalle,MATCH(CONCATENATE(A27,"HPE"),Venta!FcClave,0),FcInicioVtaMes+12),"")</f>
        <v/>
      </c>
      <c r="P27" s="3"/>
      <c r="Q27" s="142" t="str">
        <f>IFERROR(INDEX(Venta!FcDetalle,MATCH(CONCATENATE(A27,"HPE"),Venta!FcClave,0),FcInicioVtaAnual+0),"")</f>
        <v/>
      </c>
      <c r="R27" s="63" t="str">
        <f>IFERROR(INDEX(Venta!FcDetalle,MATCH(CONCATENATE(A27,"HPE"),Venta!FcClave,0),FcInicioVtaAnual+1),"")</f>
        <v/>
      </c>
      <c r="S27" s="63" t="str">
        <f>IFERROR(INDEX(Venta!FcDetalle,MATCH(CONCATENATE(A27,"HPE"),Venta!FcClave,0),FcInicioVtaAnual+2),"")</f>
        <v/>
      </c>
      <c r="T27" s="63" t="str">
        <f>IFERROR(INDEX(Venta!FcDetalle,MATCH(CONCATENATE(A27,"HPE"),Venta!FcClave,0),FcInicioVtaAnual+3),"")</f>
        <v/>
      </c>
      <c r="U27" s="64" t="str">
        <f>IFERROR(IF(FcCheckProy=FALSE,INDEX(Venta!FcDetalle,MATCH(CONCATENATE(A27,"HPE"),Venta!FcClave,0),FcInicioVtaAnual+4),INDEX(Venta!FcDetalle,MATCH(CONCATENATE(A27,"HPE"),Venta!FcClave,0),FcInicioVtaAnual+5)),"")</f>
        <v/>
      </c>
      <c r="V27" s="242"/>
    </row>
    <row r="28" spans="1:22" ht="12" hidden="1" customHeight="1" outlineLevel="1" x14ac:dyDescent="0.2">
      <c r="A28" s="43" t="str">
        <f>IF($I$10="-","",$I$10)</f>
        <v/>
      </c>
      <c r="B28" s="98" t="str">
        <f>IFERROR(INDEX(Maestro!FcDetalle,MATCH(A28,Maestro!FcClave,0),5),"")</f>
        <v/>
      </c>
      <c r="C28" s="111" t="str">
        <f>IFERROR(INDEX(Venta!FcDetalle,MATCH(CONCATENATE(A28,"HPE"),Venta!FcClave,0),FcInicioVtaMes+0),"")</f>
        <v/>
      </c>
      <c r="D28" s="111" t="str">
        <f>IFERROR(INDEX(Venta!FcDetalle,MATCH(CONCATENATE(A28,"HPE"),Venta!FcClave,0),FcInicioVtaMes+1),"")</f>
        <v/>
      </c>
      <c r="E28" s="111" t="str">
        <f>IFERROR(INDEX(Venta!FcDetalle,MATCH(CONCATENATE(A28,"HPE"),Venta!FcClave,0),FcInicioVtaMes+2),"")</f>
        <v/>
      </c>
      <c r="F28" s="111" t="str">
        <f>IFERROR(INDEX(Venta!FcDetalle,MATCH(CONCATENATE(A28,"HPE"),Venta!FcClave,0),FcInicioVtaMes+3),"")</f>
        <v/>
      </c>
      <c r="G28" s="111" t="str">
        <f>IFERROR(INDEX(Venta!FcDetalle,MATCH(CONCATENATE(A28,"HPE"),Venta!FcClave,0),FcInicioVtaMes+4),"")</f>
        <v/>
      </c>
      <c r="H28" s="111" t="str">
        <f>IFERROR(INDEX(Venta!FcDetalle,MATCH(CONCATENATE(A28,"HPE"),Venta!FcClave,0),FcInicioVtaMes+5),"")</f>
        <v/>
      </c>
      <c r="I28" s="111" t="str">
        <f>IFERROR(INDEX(Venta!FcDetalle,MATCH(CONCATENATE(A28,"HPE"),Venta!FcClave,0),FcInicioVtaMes+6),"")</f>
        <v/>
      </c>
      <c r="J28" s="111" t="str">
        <f>IFERROR(INDEX(Venta!FcDetalle,MATCH(CONCATENATE(A28,"HPE"),Venta!FcClave,0),FcInicioVtaMes+7),"")</f>
        <v/>
      </c>
      <c r="K28" s="111" t="str">
        <f>IFERROR(INDEX(Venta!FcDetalle,MATCH(CONCATENATE(A28,"HPE"),Venta!FcClave,0),FcInicioVtaMes+8),"")</f>
        <v/>
      </c>
      <c r="L28" s="111" t="str">
        <f>IFERROR(INDEX(Venta!FcDetalle,MATCH(CONCATENATE(A28,"HPE"),Venta!FcClave,0),FcInicioVtaMes+9),"")</f>
        <v/>
      </c>
      <c r="M28" s="111" t="str">
        <f>IFERROR(INDEX(Venta!FcDetalle,MATCH(CONCATENATE(A28,"HPE"),Venta!FcClave,0),FcInicioVtaMes+10),"")</f>
        <v/>
      </c>
      <c r="N28" s="111" t="str">
        <f>IFERROR(INDEX(Venta!FcDetalle,MATCH(CONCATENATE(A28,"HPE"),Venta!FcClave,0),FcInicioVtaMes+11),"")</f>
        <v/>
      </c>
      <c r="O28" s="112" t="str">
        <f>IFERROR(INDEX(Venta!FcDetalle,MATCH(CONCATENATE(A28,"HPE"),Venta!FcClave,0),FcInicioVtaMes+12),"")</f>
        <v/>
      </c>
      <c r="P28" s="3"/>
      <c r="Q28" s="142" t="str">
        <f>IFERROR(INDEX(Venta!FcDetalle,MATCH(CONCATENATE(A28,"HPE"),Venta!FcClave,0),FcInicioVtaAnual+0),"")</f>
        <v/>
      </c>
      <c r="R28" s="63" t="str">
        <f>IFERROR(INDEX(Venta!FcDetalle,MATCH(CONCATENATE(A28,"HPE"),Venta!FcClave,0),FcInicioVtaAnual+1),"")</f>
        <v/>
      </c>
      <c r="S28" s="63" t="str">
        <f>IFERROR(INDEX(Venta!FcDetalle,MATCH(CONCATENATE(A28,"HPE"),Venta!FcClave,0),FcInicioVtaAnual+2),"")</f>
        <v/>
      </c>
      <c r="T28" s="63" t="str">
        <f>IFERROR(INDEX(Venta!FcDetalle,MATCH(CONCATENATE(A28,"HPE"),Venta!FcClave,0),FcInicioVtaAnual+3),"")</f>
        <v/>
      </c>
      <c r="U28" s="64" t="str">
        <f>IFERROR(IF(FcCheckProy=FALSE,INDEX(Venta!FcDetalle,MATCH(CONCATENATE(A28,"HPE"),Venta!FcClave,0),FcInicioVtaAnual+4),INDEX(Venta!FcDetalle,MATCH(CONCATENATE(A28,"HPE"),Venta!FcClave,0),FcInicioVtaAnual+5)),"")</f>
        <v/>
      </c>
      <c r="V28" s="242"/>
    </row>
    <row r="29" spans="1:22" ht="12" hidden="1" customHeight="1" outlineLevel="1" x14ac:dyDescent="0.2">
      <c r="A29" s="43" t="str">
        <f>IF($J$10="-","",$J$10)</f>
        <v/>
      </c>
      <c r="B29" s="98" t="str">
        <f>IFERROR(INDEX(Maestro!FcDetalle,MATCH(A29,Maestro!FcClave,0),5),"")</f>
        <v/>
      </c>
      <c r="C29" s="111" t="str">
        <f>IFERROR(INDEX(Venta!FcDetalle,MATCH(CONCATENATE(A29,"HPE"),Venta!FcClave,0),FcInicioVtaMes+0),"")</f>
        <v/>
      </c>
      <c r="D29" s="111" t="str">
        <f>IFERROR(INDEX(Venta!FcDetalle,MATCH(CONCATENATE(A29,"HPE"),Venta!FcClave,0),FcInicioVtaMes+1),"")</f>
        <v/>
      </c>
      <c r="E29" s="111" t="str">
        <f>IFERROR(INDEX(Venta!FcDetalle,MATCH(CONCATENATE(A29,"HPE"),Venta!FcClave,0),FcInicioVtaMes+2),"")</f>
        <v/>
      </c>
      <c r="F29" s="111" t="str">
        <f>IFERROR(INDEX(Venta!FcDetalle,MATCH(CONCATENATE(A29,"HPE"),Venta!FcClave,0),FcInicioVtaMes+3),"")</f>
        <v/>
      </c>
      <c r="G29" s="111" t="str">
        <f>IFERROR(INDEX(Venta!FcDetalle,MATCH(CONCATENATE(A29,"HPE"),Venta!FcClave,0),FcInicioVtaMes+4),"")</f>
        <v/>
      </c>
      <c r="H29" s="111" t="str">
        <f>IFERROR(INDEX(Venta!FcDetalle,MATCH(CONCATENATE(A29,"HPE"),Venta!FcClave,0),FcInicioVtaMes+5),"")</f>
        <v/>
      </c>
      <c r="I29" s="111" t="str">
        <f>IFERROR(INDEX(Venta!FcDetalle,MATCH(CONCATENATE(A29,"HPE"),Venta!FcClave,0),FcInicioVtaMes+6),"")</f>
        <v/>
      </c>
      <c r="J29" s="111" t="str">
        <f>IFERROR(INDEX(Venta!FcDetalle,MATCH(CONCATENATE(A29,"HPE"),Venta!FcClave,0),FcInicioVtaMes+7),"")</f>
        <v/>
      </c>
      <c r="K29" s="111" t="str">
        <f>IFERROR(INDEX(Venta!FcDetalle,MATCH(CONCATENATE(A29,"HPE"),Venta!FcClave,0),FcInicioVtaMes+8),"")</f>
        <v/>
      </c>
      <c r="L29" s="111" t="str">
        <f>IFERROR(INDEX(Venta!FcDetalle,MATCH(CONCATENATE(A29,"HPE"),Venta!FcClave,0),FcInicioVtaMes+9),"")</f>
        <v/>
      </c>
      <c r="M29" s="111" t="str">
        <f>IFERROR(INDEX(Venta!FcDetalle,MATCH(CONCATENATE(A29,"HPE"),Venta!FcClave,0),FcInicioVtaMes+10),"")</f>
        <v/>
      </c>
      <c r="N29" s="111" t="str">
        <f>IFERROR(INDEX(Venta!FcDetalle,MATCH(CONCATENATE(A29,"HPE"),Venta!FcClave,0),FcInicioVtaMes+11),"")</f>
        <v/>
      </c>
      <c r="O29" s="112" t="str">
        <f>IFERROR(INDEX(Venta!FcDetalle,MATCH(CONCATENATE(A29,"HPE"),Venta!FcClave,0),FcInicioVtaMes+12),"")</f>
        <v/>
      </c>
      <c r="P29" s="3"/>
      <c r="Q29" s="142" t="str">
        <f>IFERROR(INDEX(Venta!FcDetalle,MATCH(CONCATENATE(A29,"HPE"),Venta!FcClave,0),FcInicioVtaAnual+0),"")</f>
        <v/>
      </c>
      <c r="R29" s="63" t="str">
        <f>IFERROR(INDEX(Venta!FcDetalle,MATCH(CONCATENATE(A29,"HPE"),Venta!FcClave,0),FcInicioVtaAnual+1),"")</f>
        <v/>
      </c>
      <c r="S29" s="63" t="str">
        <f>IFERROR(INDEX(Venta!FcDetalle,MATCH(CONCATENATE(A29,"HPE"),Venta!FcClave,0),FcInicioVtaAnual+2),"")</f>
        <v/>
      </c>
      <c r="T29" s="63" t="str">
        <f>IFERROR(INDEX(Venta!FcDetalle,MATCH(CONCATENATE(A29,"HPE"),Venta!FcClave,0),FcInicioVtaAnual+3),"")</f>
        <v/>
      </c>
      <c r="U29" s="64" t="str">
        <f>IFERROR(IF(FcCheckProy=FALSE,INDEX(Venta!FcDetalle,MATCH(CONCATENATE(A29,"HPE"),Venta!FcClave,0),FcInicioVtaAnual+4),INDEX(Venta!FcDetalle,MATCH(CONCATENATE(A29,"HPE"),Venta!FcClave,0),FcInicioVtaAnual+5)),"")</f>
        <v/>
      </c>
      <c r="V29" s="242"/>
    </row>
    <row r="30" spans="1:22" ht="12" hidden="1" customHeight="1" outlineLevel="1" x14ac:dyDescent="0.2">
      <c r="A30" s="43" t="str">
        <f>IF($K$10="-","",$K$10)</f>
        <v/>
      </c>
      <c r="B30" s="98" t="str">
        <f>IFERROR(INDEX(Maestro!FcDetalle,MATCH(A30,Maestro!FcClave,0),5),"")</f>
        <v/>
      </c>
      <c r="C30" s="111" t="str">
        <f>IFERROR(INDEX(Venta!FcDetalle,MATCH(CONCATENATE(A30,"HPE"),Venta!FcClave,0),FcInicioVtaMes+0),"")</f>
        <v/>
      </c>
      <c r="D30" s="111" t="str">
        <f>IFERROR(INDEX(Venta!FcDetalle,MATCH(CONCATENATE(A30,"HPE"),Venta!FcClave,0),FcInicioVtaMes+1),"")</f>
        <v/>
      </c>
      <c r="E30" s="111" t="str">
        <f>IFERROR(INDEX(Venta!FcDetalle,MATCH(CONCATENATE(A30,"HPE"),Venta!FcClave,0),FcInicioVtaMes+2),"")</f>
        <v/>
      </c>
      <c r="F30" s="111" t="str">
        <f>IFERROR(INDEX(Venta!FcDetalle,MATCH(CONCATENATE(A30,"HPE"),Venta!FcClave,0),FcInicioVtaMes+3),"")</f>
        <v/>
      </c>
      <c r="G30" s="111" t="str">
        <f>IFERROR(INDEX(Venta!FcDetalle,MATCH(CONCATENATE(A30,"HPE"),Venta!FcClave,0),FcInicioVtaMes+4),"")</f>
        <v/>
      </c>
      <c r="H30" s="111" t="str">
        <f>IFERROR(INDEX(Venta!FcDetalle,MATCH(CONCATENATE(A30,"HPE"),Venta!FcClave,0),FcInicioVtaMes+5),"")</f>
        <v/>
      </c>
      <c r="I30" s="111" t="str">
        <f>IFERROR(INDEX(Venta!FcDetalle,MATCH(CONCATENATE(A30,"HPE"),Venta!FcClave,0),FcInicioVtaMes+6),"")</f>
        <v/>
      </c>
      <c r="J30" s="111" t="str">
        <f>IFERROR(INDEX(Venta!FcDetalle,MATCH(CONCATENATE(A30,"HPE"),Venta!FcClave,0),FcInicioVtaMes+7),"")</f>
        <v/>
      </c>
      <c r="K30" s="111" t="str">
        <f>IFERROR(INDEX(Venta!FcDetalle,MATCH(CONCATENATE(A30,"HPE"),Venta!FcClave,0),FcInicioVtaMes+8),"")</f>
        <v/>
      </c>
      <c r="L30" s="111" t="str">
        <f>IFERROR(INDEX(Venta!FcDetalle,MATCH(CONCATENATE(A30,"HPE"),Venta!FcClave,0),FcInicioVtaMes+9),"")</f>
        <v/>
      </c>
      <c r="M30" s="111" t="str">
        <f>IFERROR(INDEX(Venta!FcDetalle,MATCH(CONCATENATE(A30,"HPE"),Venta!FcClave,0),FcInicioVtaMes+10),"")</f>
        <v/>
      </c>
      <c r="N30" s="111" t="str">
        <f>IFERROR(INDEX(Venta!FcDetalle,MATCH(CONCATENATE(A30,"HPE"),Venta!FcClave,0),FcInicioVtaMes+11),"")</f>
        <v/>
      </c>
      <c r="O30" s="112" t="str">
        <f>IFERROR(INDEX(Venta!FcDetalle,MATCH(CONCATENATE(A30,"HPE"),Venta!FcClave,0),FcInicioVtaMes+12),"")</f>
        <v/>
      </c>
      <c r="P30" s="3"/>
      <c r="Q30" s="142" t="str">
        <f>IFERROR(INDEX(Venta!FcDetalle,MATCH(CONCATENATE(A30,"HPE"),Venta!FcClave,0),FcInicioVtaAnual+0),"")</f>
        <v/>
      </c>
      <c r="R30" s="63" t="str">
        <f>IFERROR(INDEX(Venta!FcDetalle,MATCH(CONCATENATE(A30,"HPE"),Venta!FcClave,0),FcInicioVtaAnual+1),"")</f>
        <v/>
      </c>
      <c r="S30" s="63" t="str">
        <f>IFERROR(INDEX(Venta!FcDetalle,MATCH(CONCATENATE(A30,"HPE"),Venta!FcClave,0),FcInicioVtaAnual+2),"")</f>
        <v/>
      </c>
      <c r="T30" s="63" t="str">
        <f>IFERROR(INDEX(Venta!FcDetalle,MATCH(CONCATENATE(A30,"HPE"),Venta!FcClave,0),FcInicioVtaAnual+3),"")</f>
        <v/>
      </c>
      <c r="U30" s="64" t="str">
        <f>IFERROR(IF(FcCheckProy=FALSE,INDEX(Venta!FcDetalle,MATCH(CONCATENATE(A30,"HPE"),Venta!FcClave,0),FcInicioVtaAnual+4),INDEX(Venta!FcDetalle,MATCH(CONCATENATE(A30,"HPE"),Venta!FcClave,0),FcInicioVtaAnual+5)),"")</f>
        <v/>
      </c>
      <c r="V30" s="242"/>
    </row>
    <row r="31" spans="1:22" ht="12" hidden="1" customHeight="1" outlineLevel="1" x14ac:dyDescent="0.2">
      <c r="A31" s="43" t="str">
        <f>IF($I$9="-","",$I$9)</f>
        <v/>
      </c>
      <c r="B31" s="98" t="str">
        <f>IFERROR(INDEX(Maestro!FcDetalle,MATCH(A31,Maestro!FcClave,0),5),"")</f>
        <v/>
      </c>
      <c r="C31" s="111" t="str">
        <f>IFERROR(INDEX(Venta!FcDetalle,MATCH(CONCATENATE(A31,"HPE"),Venta!FcClave,0),FcInicioVtaMes+0),"")</f>
        <v/>
      </c>
      <c r="D31" s="111" t="str">
        <f>IFERROR(INDEX(Venta!FcDetalle,MATCH(CONCATENATE(A31,"HPE"),Venta!FcClave,0),FcInicioVtaMes+1),"")</f>
        <v/>
      </c>
      <c r="E31" s="111" t="str">
        <f>IFERROR(INDEX(Venta!FcDetalle,MATCH(CONCATENATE(A31,"HPE"),Venta!FcClave,0),FcInicioVtaMes+2),"")</f>
        <v/>
      </c>
      <c r="F31" s="111" t="str">
        <f>IFERROR(INDEX(Venta!FcDetalle,MATCH(CONCATENATE(A31,"HPE"),Venta!FcClave,0),FcInicioVtaMes+3),"")</f>
        <v/>
      </c>
      <c r="G31" s="111" t="str">
        <f>IFERROR(INDEX(Venta!FcDetalle,MATCH(CONCATENATE(A31,"HPE"),Venta!FcClave,0),FcInicioVtaMes+4),"")</f>
        <v/>
      </c>
      <c r="H31" s="111" t="str">
        <f>IFERROR(INDEX(Venta!FcDetalle,MATCH(CONCATENATE(A31,"HPE"),Venta!FcClave,0),FcInicioVtaMes+5),"")</f>
        <v/>
      </c>
      <c r="I31" s="111" t="str">
        <f>IFERROR(INDEX(Venta!FcDetalle,MATCH(CONCATENATE(A31,"HPE"),Venta!FcClave,0),FcInicioVtaMes+6),"")</f>
        <v/>
      </c>
      <c r="J31" s="111" t="str">
        <f>IFERROR(INDEX(Venta!FcDetalle,MATCH(CONCATENATE(A31,"HPE"),Venta!FcClave,0),FcInicioVtaMes+7),"")</f>
        <v/>
      </c>
      <c r="K31" s="111" t="str">
        <f>IFERROR(INDEX(Venta!FcDetalle,MATCH(CONCATENATE(A31,"HPE"),Venta!FcClave,0),FcInicioVtaMes+8),"")</f>
        <v/>
      </c>
      <c r="L31" s="111" t="str">
        <f>IFERROR(INDEX(Venta!FcDetalle,MATCH(CONCATENATE(A31,"HPE"),Venta!FcClave,0),FcInicioVtaMes+9),"")</f>
        <v/>
      </c>
      <c r="M31" s="111" t="str">
        <f>IFERROR(INDEX(Venta!FcDetalle,MATCH(CONCATENATE(A31,"HPE"),Venta!FcClave,0),FcInicioVtaMes+10),"")</f>
        <v/>
      </c>
      <c r="N31" s="111" t="str">
        <f>IFERROR(INDEX(Venta!FcDetalle,MATCH(CONCATENATE(A31,"HPE"),Venta!FcClave,0),FcInicioVtaMes+11),"")</f>
        <v/>
      </c>
      <c r="O31" s="112" t="str">
        <f>IFERROR(INDEX(Venta!FcDetalle,MATCH(CONCATENATE(A31,"HPE"),Venta!FcClave,0),FcInicioVtaMes+12),"")</f>
        <v/>
      </c>
      <c r="P31" s="3"/>
      <c r="Q31" s="142" t="str">
        <f>IFERROR(INDEX(Venta!FcDetalle,MATCH(CONCATENATE(A31,"HPE"),Venta!FcClave,0),FcInicioVtaAnual+0),"")</f>
        <v/>
      </c>
      <c r="R31" s="63" t="str">
        <f>IFERROR(INDEX(Venta!FcDetalle,MATCH(CONCATENATE(A31,"HPE"),Venta!FcClave,0),FcInicioVtaAnual+1),"")</f>
        <v/>
      </c>
      <c r="S31" s="63" t="str">
        <f>IFERROR(INDEX(Venta!FcDetalle,MATCH(CONCATENATE(A31,"HPE"),Venta!FcClave,0),FcInicioVtaAnual+2),"")</f>
        <v/>
      </c>
      <c r="T31" s="63" t="str">
        <f>IFERROR(INDEX(Venta!FcDetalle,MATCH(CONCATENATE(A31,"HPE"),Venta!FcClave,0),FcInicioVtaAnual+3),"")</f>
        <v/>
      </c>
      <c r="U31" s="64" t="str">
        <f>IFERROR(IF(FcCheckProy=FALSE,INDEX(Venta!FcDetalle,MATCH(CONCATENATE(A31,"HPE"),Venta!FcClave,0),FcInicioVtaAnual+4),INDEX(Venta!FcDetalle,MATCH(CONCATENATE(A31,"HPE"),Venta!FcClave,0),FcInicioVtaAnual+5)),"")</f>
        <v/>
      </c>
      <c r="V31" s="242"/>
    </row>
    <row r="32" spans="1:22" ht="12" hidden="1" customHeight="1" outlineLevel="1" x14ac:dyDescent="0.2">
      <c r="A32" s="43" t="str">
        <f>IF($J$9="-","",$J$9)</f>
        <v/>
      </c>
      <c r="B32" s="98" t="str">
        <f>IFERROR(INDEX(Maestro!FcDetalle,MATCH(A32,Maestro!FcClave,0),5),"")</f>
        <v/>
      </c>
      <c r="C32" s="111" t="str">
        <f>IFERROR(INDEX(Venta!FcDetalle,MATCH(CONCATENATE(A32,"HPE"),Venta!FcClave,0),FcInicioVtaMes+0),"")</f>
        <v/>
      </c>
      <c r="D32" s="111" t="str">
        <f>IFERROR(INDEX(Venta!FcDetalle,MATCH(CONCATENATE(A32,"HPE"),Venta!FcClave,0),FcInicioVtaMes+1),"")</f>
        <v/>
      </c>
      <c r="E32" s="111" t="str">
        <f>IFERROR(INDEX(Venta!FcDetalle,MATCH(CONCATENATE(A32,"HPE"),Venta!FcClave,0),FcInicioVtaMes+2),"")</f>
        <v/>
      </c>
      <c r="F32" s="111" t="str">
        <f>IFERROR(INDEX(Venta!FcDetalle,MATCH(CONCATENATE(A32,"HPE"),Venta!FcClave,0),FcInicioVtaMes+3),"")</f>
        <v/>
      </c>
      <c r="G32" s="111" t="str">
        <f>IFERROR(INDEX(Venta!FcDetalle,MATCH(CONCATENATE(A32,"HPE"),Venta!FcClave,0),FcInicioVtaMes+4),"")</f>
        <v/>
      </c>
      <c r="H32" s="111" t="str">
        <f>IFERROR(INDEX(Venta!FcDetalle,MATCH(CONCATENATE(A32,"HPE"),Venta!FcClave,0),FcInicioVtaMes+5),"")</f>
        <v/>
      </c>
      <c r="I32" s="111" t="str">
        <f>IFERROR(INDEX(Venta!FcDetalle,MATCH(CONCATENATE(A32,"HPE"),Venta!FcClave,0),FcInicioVtaMes+6),"")</f>
        <v/>
      </c>
      <c r="J32" s="111" t="str">
        <f>IFERROR(INDEX(Venta!FcDetalle,MATCH(CONCATENATE(A32,"HPE"),Venta!FcClave,0),FcInicioVtaMes+7),"")</f>
        <v/>
      </c>
      <c r="K32" s="111" t="str">
        <f>IFERROR(INDEX(Venta!FcDetalle,MATCH(CONCATENATE(A32,"HPE"),Venta!FcClave,0),FcInicioVtaMes+8),"")</f>
        <v/>
      </c>
      <c r="L32" s="111" t="str">
        <f>IFERROR(INDEX(Venta!FcDetalle,MATCH(CONCATENATE(A32,"HPE"),Venta!FcClave,0),FcInicioVtaMes+9),"")</f>
        <v/>
      </c>
      <c r="M32" s="111" t="str">
        <f>IFERROR(INDEX(Venta!FcDetalle,MATCH(CONCATENATE(A32,"HPE"),Venta!FcClave,0),FcInicioVtaMes+10),"")</f>
        <v/>
      </c>
      <c r="N32" s="111" t="str">
        <f>IFERROR(INDEX(Venta!FcDetalle,MATCH(CONCATENATE(A32,"HPE"),Venta!FcClave,0),FcInicioVtaMes+11),"")</f>
        <v/>
      </c>
      <c r="O32" s="112" t="str">
        <f>IFERROR(INDEX(Venta!FcDetalle,MATCH(CONCATENATE(A32,"HPE"),Venta!FcClave,0),FcInicioVtaMes+12),"")</f>
        <v/>
      </c>
      <c r="P32" s="3"/>
      <c r="Q32" s="142" t="str">
        <f>IFERROR(INDEX(Venta!FcDetalle,MATCH(CONCATENATE(A32,"HPE"),Venta!FcClave,0),FcInicioVtaAnual+0),"")</f>
        <v/>
      </c>
      <c r="R32" s="63" t="str">
        <f>IFERROR(INDEX(Venta!FcDetalle,MATCH(CONCATENATE(A32,"HPE"),Venta!FcClave,0),FcInicioVtaAnual+1),"")</f>
        <v/>
      </c>
      <c r="S32" s="63" t="str">
        <f>IFERROR(INDEX(Venta!FcDetalle,MATCH(CONCATENATE(A32,"HPE"),Venta!FcClave,0),FcInicioVtaAnual+2),"")</f>
        <v/>
      </c>
      <c r="T32" s="63" t="str">
        <f>IFERROR(INDEX(Venta!FcDetalle,MATCH(CONCATENATE(A32,"HPE"),Venta!FcClave,0),FcInicioVtaAnual+3),"")</f>
        <v/>
      </c>
      <c r="U32" s="64" t="str">
        <f>IFERROR(IF(FcCheckProy=FALSE,INDEX(Venta!FcDetalle,MATCH(CONCATENATE(A32,"HPE"),Venta!FcClave,0),FcInicioVtaAnual+4),INDEX(Venta!FcDetalle,MATCH(CONCATENATE(A32,"HPE"),Venta!FcClave,0),FcInicioVtaAnual+5)),"")</f>
        <v/>
      </c>
      <c r="V32" s="242"/>
    </row>
    <row r="33" spans="1:22" ht="12" hidden="1" customHeight="1" outlineLevel="1" thickBot="1" x14ac:dyDescent="0.25">
      <c r="A33" s="97" t="str">
        <f>IF($K$9="-","",$K$9)</f>
        <v/>
      </c>
      <c r="B33" s="98" t="str">
        <f>IFERROR(INDEX(Maestro!FcDetalle,MATCH(A33,Maestro!FcClave,0),5),"")</f>
        <v/>
      </c>
      <c r="C33" s="111" t="str">
        <f>IFERROR(INDEX(Venta!FcDetalle,MATCH(CONCATENATE(A33,"HPE"),Venta!FcClave,0),FcInicioVtaMes+0),"")</f>
        <v/>
      </c>
      <c r="D33" s="111" t="str">
        <f>IFERROR(INDEX(Venta!FcDetalle,MATCH(CONCATENATE(A33,"HPE"),Venta!FcClave,0),FcInicioVtaMes+1),"")</f>
        <v/>
      </c>
      <c r="E33" s="111" t="str">
        <f>IFERROR(INDEX(Venta!FcDetalle,MATCH(CONCATENATE(A33,"HPE"),Venta!FcClave,0),FcInicioVtaMes+2),"")</f>
        <v/>
      </c>
      <c r="F33" s="111" t="str">
        <f>IFERROR(INDEX(Venta!FcDetalle,MATCH(CONCATENATE(A33,"HPE"),Venta!FcClave,0),FcInicioVtaMes+3),"")</f>
        <v/>
      </c>
      <c r="G33" s="111" t="str">
        <f>IFERROR(INDEX(Venta!FcDetalle,MATCH(CONCATENATE(A33,"HPE"),Venta!FcClave,0),FcInicioVtaMes+4),"")</f>
        <v/>
      </c>
      <c r="H33" s="111" t="str">
        <f>IFERROR(INDEX(Venta!FcDetalle,MATCH(CONCATENATE(A33,"HPE"),Venta!FcClave,0),FcInicioVtaMes+5),"")</f>
        <v/>
      </c>
      <c r="I33" s="111" t="str">
        <f>IFERROR(INDEX(Venta!FcDetalle,MATCH(CONCATENATE(A33,"HPE"),Venta!FcClave,0),FcInicioVtaMes+6),"")</f>
        <v/>
      </c>
      <c r="J33" s="111" t="str">
        <f>IFERROR(INDEX(Venta!FcDetalle,MATCH(CONCATENATE(A33,"HPE"),Venta!FcClave,0),FcInicioVtaMes+7),"")</f>
        <v/>
      </c>
      <c r="K33" s="111" t="str">
        <f>IFERROR(INDEX(Venta!FcDetalle,MATCH(CONCATENATE(A33,"HPE"),Venta!FcClave,0),FcInicioVtaMes+8),"")</f>
        <v/>
      </c>
      <c r="L33" s="111" t="str">
        <f>IFERROR(INDEX(Venta!FcDetalle,MATCH(CONCATENATE(A33,"HPE"),Venta!FcClave,0),FcInicioVtaMes+9),"")</f>
        <v/>
      </c>
      <c r="M33" s="111" t="str">
        <f>IFERROR(INDEX(Venta!FcDetalle,MATCH(CONCATENATE(A33,"HPE"),Venta!FcClave,0),FcInicioVtaMes+10),"")</f>
        <v/>
      </c>
      <c r="N33" s="111" t="str">
        <f>IFERROR(INDEX(Venta!FcDetalle,MATCH(CONCATENATE(A33,"HPE"),Venta!FcClave,0),FcInicioVtaMes+11),"")</f>
        <v/>
      </c>
      <c r="O33" s="112" t="str">
        <f>IFERROR(INDEX(Venta!FcDetalle,MATCH(CONCATENATE(A33,"HPE"),Venta!FcClave,0),FcInicioVtaMes+12),"")</f>
        <v/>
      </c>
      <c r="P33" s="3"/>
      <c r="Q33" s="180" t="str">
        <f>IFERROR(INDEX(Venta!FcDetalle,MATCH(CONCATENATE(A33,"HPE"),Venta!FcClave,0),FcInicioVtaAnual+0),"")</f>
        <v/>
      </c>
      <c r="R33" s="181" t="str">
        <f>IFERROR(INDEX(Venta!FcDetalle,MATCH(CONCATENATE(A33,"HPE"),Venta!FcClave,0),FcInicioVtaAnual+1),"")</f>
        <v/>
      </c>
      <c r="S33" s="181" t="str">
        <f>IFERROR(INDEX(Venta!FcDetalle,MATCH(CONCATENATE(A33,"HPE"),Venta!FcClave,0),FcInicioVtaAnual+2),"")</f>
        <v/>
      </c>
      <c r="T33" s="181" t="str">
        <f>IFERROR(INDEX(Venta!FcDetalle,MATCH(CONCATENATE(A33,"HPE"),Venta!FcClave,0),FcInicioVtaAnual+3),"")</f>
        <v/>
      </c>
      <c r="U33" s="182" t="str">
        <f>IFERROR(IF(FcCheckProy=FALSE,INDEX(Venta!FcDetalle,MATCH(CONCATENATE(A33,"HPE"),Venta!FcClave,0),FcInicioVtaAnual+4),INDEX(Venta!FcDetalle,MATCH(CONCATENATE(A33,"HPE"),Venta!FcClave,0),FcInicioVtaAnual+5)),"")</f>
        <v/>
      </c>
      <c r="V33" s="242"/>
    </row>
    <row r="34" spans="1:22" ht="12" customHeight="1" collapsed="1" thickBot="1" x14ac:dyDescent="0.25">
      <c r="A34" s="117" t="s">
        <v>22</v>
      </c>
      <c r="B34" s="118"/>
      <c r="C34" s="119">
        <f t="shared" ref="C34:O34" si="2">SUM(C24:C33)</f>
        <v>0</v>
      </c>
      <c r="D34" s="119">
        <f t="shared" si="2"/>
        <v>0</v>
      </c>
      <c r="E34" s="119">
        <f t="shared" si="2"/>
        <v>0</v>
      </c>
      <c r="F34" s="119">
        <f t="shared" si="2"/>
        <v>0</v>
      </c>
      <c r="G34" s="119">
        <f t="shared" si="2"/>
        <v>0</v>
      </c>
      <c r="H34" s="119">
        <f t="shared" si="2"/>
        <v>0</v>
      </c>
      <c r="I34" s="119">
        <f t="shared" si="2"/>
        <v>0</v>
      </c>
      <c r="J34" s="119">
        <f t="shared" si="2"/>
        <v>0</v>
      </c>
      <c r="K34" s="119">
        <f t="shared" si="2"/>
        <v>0</v>
      </c>
      <c r="L34" s="119">
        <f t="shared" si="2"/>
        <v>0</v>
      </c>
      <c r="M34" s="119">
        <f t="shared" si="2"/>
        <v>0</v>
      </c>
      <c r="N34" s="119">
        <f t="shared" si="2"/>
        <v>0</v>
      </c>
      <c r="O34" s="120">
        <f t="shared" si="2"/>
        <v>0</v>
      </c>
      <c r="P34" s="6"/>
      <c r="Q34" s="187">
        <f>SUM(Q24:Q33)</f>
        <v>0</v>
      </c>
      <c r="R34" s="188">
        <f>SUM(R24:R33)</f>
        <v>0</v>
      </c>
      <c r="S34" s="188">
        <f>SUM(S24:S33)</f>
        <v>0</v>
      </c>
      <c r="T34" s="188">
        <f>SUM(T24:T33)</f>
        <v>0</v>
      </c>
      <c r="U34" s="120">
        <f>SUM(U24:U33)</f>
        <v>0</v>
      </c>
      <c r="V34" s="242"/>
    </row>
    <row r="35" spans="1:22" ht="12" hidden="1" customHeight="1" outlineLevel="1" x14ac:dyDescent="0.2">
      <c r="A35" s="43">
        <f>IF($E$10="-",$C$4,$E$10)</f>
        <v>6005</v>
      </c>
      <c r="B35" s="98" t="str">
        <f>IFERROR(INDEX(Maestro!FcDetalle,MATCH(A35,Maestro!FcClave,0),5),"")</f>
        <v/>
      </c>
      <c r="C35" s="111" t="str">
        <f>IFERROR(INDEX(Venta!FcDetalle,MATCH(CONCATENATE(A35,"GT"),Venta!FcClave,0),FcInicioVtaMes+0),"")</f>
        <v/>
      </c>
      <c r="D35" s="111" t="str">
        <f>IFERROR(INDEX(Venta!FcDetalle,MATCH(CONCATENATE(A35,"GT"),Venta!FcClave,0),FcInicioVtaMes+1),"")</f>
        <v/>
      </c>
      <c r="E35" s="111" t="str">
        <f>IFERROR(INDEX(Venta!FcDetalle,MATCH(CONCATENATE(A35,"GT"),Venta!FcClave,0),FcInicioVtaMes+2),"")</f>
        <v/>
      </c>
      <c r="F35" s="111" t="str">
        <f>IFERROR(INDEX(Venta!FcDetalle,MATCH(CONCATENATE(A35,"GT"),Venta!FcClave,0),FcInicioVtaMes+3),"")</f>
        <v/>
      </c>
      <c r="G35" s="111" t="str">
        <f>IFERROR(INDEX(Venta!FcDetalle,MATCH(CONCATENATE(A35,"GT"),Venta!FcClave,0),FcInicioVtaMes+4),"")</f>
        <v/>
      </c>
      <c r="H35" s="111" t="str">
        <f>IFERROR(INDEX(Venta!FcDetalle,MATCH(CONCATENATE(A35,"GT"),Venta!FcClave,0),FcInicioVtaMes+5),"")</f>
        <v/>
      </c>
      <c r="I35" s="111" t="str">
        <f>IFERROR(INDEX(Venta!FcDetalle,MATCH(CONCATENATE(A35,"GT"),Venta!FcClave,0),FcInicioVtaMes+6),"")</f>
        <v/>
      </c>
      <c r="J35" s="111" t="str">
        <f>IFERROR(INDEX(Venta!FcDetalle,MATCH(CONCATENATE(A35,"GT"),Venta!FcClave,0),FcInicioVtaMes+7),"")</f>
        <v/>
      </c>
      <c r="K35" s="111" t="str">
        <f>IFERROR(INDEX(Venta!FcDetalle,MATCH(CONCATENATE(A35,"GT"),Venta!FcClave,0),FcInicioVtaMes+8),"")</f>
        <v/>
      </c>
      <c r="L35" s="111" t="str">
        <f>IFERROR(INDEX(Venta!FcDetalle,MATCH(CONCATENATE(A35,"GT"),Venta!FcClave,0),FcInicioVtaMes+9),"")</f>
        <v/>
      </c>
      <c r="M35" s="111" t="str">
        <f>IFERROR(INDEX(Venta!FcDetalle,MATCH(CONCATENATE(A35,"GT"),Venta!FcClave,0),FcInicioVtaMes+10),"")</f>
        <v/>
      </c>
      <c r="N35" s="111" t="str">
        <f>IFERROR(INDEX(Venta!FcDetalle,MATCH(CONCATENATE(A35,"GT"),Venta!FcClave,0),FcInicioVtaMes+11),"")</f>
        <v/>
      </c>
      <c r="O35" s="112" t="str">
        <f>IFERROR(INDEX(Venta!FcDetalle,MATCH(CONCATENATE(A35,"GT"),Venta!FcClave,0),FcInicioVtaMes+12),"")</f>
        <v/>
      </c>
      <c r="P35" s="3"/>
      <c r="Q35" s="146" t="str">
        <f>IFERROR(INDEX(Venta!FcDetalle,MATCH(CONCATENATE(A35,"GT"),Venta!FcClave,0),FcInicioVtaAnual+0),"")</f>
        <v/>
      </c>
      <c r="R35" s="147" t="str">
        <f>IFERROR(INDEX(Venta!FcDetalle,MATCH(CONCATENATE(A35,"GT"),Venta!FcClave,0),FcInicioVtaAnual+1),"")</f>
        <v/>
      </c>
      <c r="S35" s="147" t="str">
        <f>IFERROR(INDEX(Venta!FcDetalle,MATCH(CONCATENATE(A35,"GT"),Venta!FcClave,0),FcInicioVtaAnual+2),"")</f>
        <v/>
      </c>
      <c r="T35" s="147" t="str">
        <f>IFERROR(INDEX(Venta!FcDetalle,MATCH(CONCATENATE(A35,"GT"),Venta!FcClave,0),FcInicioVtaAnual+3),"")</f>
        <v/>
      </c>
      <c r="U35" s="148" t="str">
        <f>IFERROR(IF(FcCheckProy=FALSE,INDEX(Venta!FcDetalle,MATCH(CONCATENATE(A35,"GT"),Venta!FcClave,0),FcInicioVtaAnual+4),INDEX(Venta!FcDetalle,MATCH(CONCATENATE(A35,"GT"),Venta!FcClave,0),FcInicioVtaAnual+5)),"")</f>
        <v/>
      </c>
      <c r="V35" s="242"/>
    </row>
    <row r="36" spans="1:22" ht="12" hidden="1" customHeight="1" outlineLevel="1" x14ac:dyDescent="0.2">
      <c r="A36" s="43" t="str">
        <f>IF($F$10="-","",$F$10)</f>
        <v/>
      </c>
      <c r="B36" s="98" t="str">
        <f>IFERROR(INDEX(Maestro!FcDetalle,MATCH(A36,Maestro!FcClave,0),5),"")</f>
        <v/>
      </c>
      <c r="C36" s="111" t="str">
        <f>IFERROR(INDEX(Venta!FcDetalle,MATCH(CONCATENATE(A36,"GT"),Venta!FcClave,0),FcInicioVtaMes+0),"")</f>
        <v/>
      </c>
      <c r="D36" s="111" t="str">
        <f>IFERROR(INDEX(Venta!FcDetalle,MATCH(CONCATENATE(A36,"GT"),Venta!FcClave,0),FcInicioVtaMes+1),"")</f>
        <v/>
      </c>
      <c r="E36" s="111" t="str">
        <f>IFERROR(INDEX(Venta!FcDetalle,MATCH(CONCATENATE(A36,"GT"),Venta!FcClave,0),FcInicioVtaMes+2),"")</f>
        <v/>
      </c>
      <c r="F36" s="111" t="str">
        <f>IFERROR(INDEX(Venta!FcDetalle,MATCH(CONCATENATE(A36,"GT"),Venta!FcClave,0),FcInicioVtaMes+3),"")</f>
        <v/>
      </c>
      <c r="G36" s="111" t="str">
        <f>IFERROR(INDEX(Venta!FcDetalle,MATCH(CONCATENATE(A36,"GT"),Venta!FcClave,0),FcInicioVtaMes+4),"")</f>
        <v/>
      </c>
      <c r="H36" s="111" t="str">
        <f>IFERROR(INDEX(Venta!FcDetalle,MATCH(CONCATENATE(A36,"GT"),Venta!FcClave,0),FcInicioVtaMes+5),"")</f>
        <v/>
      </c>
      <c r="I36" s="111" t="str">
        <f>IFERROR(INDEX(Venta!FcDetalle,MATCH(CONCATENATE(A36,"GT"),Venta!FcClave,0),FcInicioVtaMes+6),"")</f>
        <v/>
      </c>
      <c r="J36" s="111" t="str">
        <f>IFERROR(INDEX(Venta!FcDetalle,MATCH(CONCATENATE(A36,"GT"),Venta!FcClave,0),FcInicioVtaMes+7),"")</f>
        <v/>
      </c>
      <c r="K36" s="111" t="str">
        <f>IFERROR(INDEX(Venta!FcDetalle,MATCH(CONCATENATE(A36,"GT"),Venta!FcClave,0),FcInicioVtaMes+8),"")</f>
        <v/>
      </c>
      <c r="L36" s="111" t="str">
        <f>IFERROR(INDEX(Venta!FcDetalle,MATCH(CONCATENATE(A36,"GT"),Venta!FcClave,0),FcInicioVtaMes+9),"")</f>
        <v/>
      </c>
      <c r="M36" s="111" t="str">
        <f>IFERROR(INDEX(Venta!FcDetalle,MATCH(CONCATENATE(A36,"GT"),Venta!FcClave,0),FcInicioVtaMes+10),"")</f>
        <v/>
      </c>
      <c r="N36" s="111" t="str">
        <f>IFERROR(INDEX(Venta!FcDetalle,MATCH(CONCATENATE(A36,"GT"),Venta!FcClave,0),FcInicioVtaMes+11),"")</f>
        <v/>
      </c>
      <c r="O36" s="112" t="str">
        <f>IFERROR(INDEX(Venta!FcDetalle,MATCH(CONCATENATE(A36,"GT"),Venta!FcClave,0),FcInicioVtaMes+12),"")</f>
        <v/>
      </c>
      <c r="P36" s="6"/>
      <c r="Q36" s="142" t="str">
        <f>IFERROR(INDEX(Venta!FcDetalle,MATCH(CONCATENATE(A36,"GT"),Venta!FcClave,0),FcInicioVtaAnual+0),"")</f>
        <v/>
      </c>
      <c r="R36" s="63" t="str">
        <f>IFERROR(INDEX(Venta!FcDetalle,MATCH(CONCATENATE(A36,"GT"),Venta!FcClave,0),FcInicioVtaAnual+1),"")</f>
        <v/>
      </c>
      <c r="S36" s="63" t="str">
        <f>IFERROR(INDEX(Venta!FcDetalle,MATCH(CONCATENATE(A36,"GT"),Venta!FcClave,0),FcInicioVtaAnual+2),"")</f>
        <v/>
      </c>
      <c r="T36" s="63" t="str">
        <f>IFERROR(INDEX(Venta!FcDetalle,MATCH(CONCATENATE(A36,"GT"),Venta!FcClave,0),FcInicioVtaAnual+3),"")</f>
        <v/>
      </c>
      <c r="U36" s="64" t="str">
        <f>IFERROR(IF(FcCheckProy=FALSE,INDEX(Venta!FcDetalle,MATCH(CONCATENATE(A36,"GT"),Venta!FcClave,0),FcInicioVtaAnual+4),INDEX(Venta!FcDetalle,MATCH(CONCATENATE(A36,"GT"),Venta!FcClave,0),FcInicioVtaAnual+5)),"")</f>
        <v/>
      </c>
      <c r="V36" s="242"/>
    </row>
    <row r="37" spans="1:22" ht="12" hidden="1" customHeight="1" outlineLevel="1" x14ac:dyDescent="0.2">
      <c r="A37" s="43" t="str">
        <f>IF($G$10="-","",$G$10)</f>
        <v/>
      </c>
      <c r="B37" s="98" t="str">
        <f>IFERROR(INDEX(Maestro!FcDetalle,MATCH(A37,Maestro!FcClave,0),5),"")</f>
        <v/>
      </c>
      <c r="C37" s="111" t="str">
        <f>IFERROR(INDEX(Venta!FcDetalle,MATCH(CONCATENATE(A37,"GT"),Venta!FcClave,0),FcInicioVtaMes+0),"")</f>
        <v/>
      </c>
      <c r="D37" s="111" t="str">
        <f>IFERROR(INDEX(Venta!FcDetalle,MATCH(CONCATENATE(A37,"GT"),Venta!FcClave,0),FcInicioVtaMes+1),"")</f>
        <v/>
      </c>
      <c r="E37" s="111" t="str">
        <f>IFERROR(INDEX(Venta!FcDetalle,MATCH(CONCATENATE(A37,"GT"),Venta!FcClave,0),FcInicioVtaMes+2),"")</f>
        <v/>
      </c>
      <c r="F37" s="111" t="str">
        <f>IFERROR(INDEX(Venta!FcDetalle,MATCH(CONCATENATE(A37,"GT"),Venta!FcClave,0),FcInicioVtaMes+3),"")</f>
        <v/>
      </c>
      <c r="G37" s="111" t="str">
        <f>IFERROR(INDEX(Venta!FcDetalle,MATCH(CONCATENATE(A37,"GT"),Venta!FcClave,0),FcInicioVtaMes+4),"")</f>
        <v/>
      </c>
      <c r="H37" s="111" t="str">
        <f>IFERROR(INDEX(Venta!FcDetalle,MATCH(CONCATENATE(A37,"GT"),Venta!FcClave,0),FcInicioVtaMes+5),"")</f>
        <v/>
      </c>
      <c r="I37" s="111" t="str">
        <f>IFERROR(INDEX(Venta!FcDetalle,MATCH(CONCATENATE(A37,"GT"),Venta!FcClave,0),FcInicioVtaMes+6),"")</f>
        <v/>
      </c>
      <c r="J37" s="111" t="str">
        <f>IFERROR(INDEX(Venta!FcDetalle,MATCH(CONCATENATE(A37,"GT"),Venta!FcClave,0),FcInicioVtaMes+7),"")</f>
        <v/>
      </c>
      <c r="K37" s="111" t="str">
        <f>IFERROR(INDEX(Venta!FcDetalle,MATCH(CONCATENATE(A37,"GT"),Venta!FcClave,0),FcInicioVtaMes+8),"")</f>
        <v/>
      </c>
      <c r="L37" s="111" t="str">
        <f>IFERROR(INDEX(Venta!FcDetalle,MATCH(CONCATENATE(A37,"GT"),Venta!FcClave,0),FcInicioVtaMes+9),"")</f>
        <v/>
      </c>
      <c r="M37" s="111" t="str">
        <f>IFERROR(INDEX(Venta!FcDetalle,MATCH(CONCATENATE(A37,"GT"),Venta!FcClave,0),FcInicioVtaMes+10),"")</f>
        <v/>
      </c>
      <c r="N37" s="111" t="str">
        <f>IFERROR(INDEX(Venta!FcDetalle,MATCH(CONCATENATE(A37,"GT"),Venta!FcClave,0),FcInicioVtaMes+11),"")</f>
        <v/>
      </c>
      <c r="O37" s="112" t="str">
        <f>IFERROR(INDEX(Venta!FcDetalle,MATCH(CONCATENATE(A37,"GT"),Venta!FcClave,0),FcInicioVtaMes+12),"")</f>
        <v/>
      </c>
      <c r="P37" s="6"/>
      <c r="Q37" s="142" t="str">
        <f>IFERROR(INDEX(Venta!FcDetalle,MATCH(CONCATENATE(A37,"GT"),Venta!FcClave,0),FcInicioVtaAnual+0),"")</f>
        <v/>
      </c>
      <c r="R37" s="63" t="str">
        <f>IFERROR(INDEX(Venta!FcDetalle,MATCH(CONCATENATE(A37,"GT"),Venta!FcClave,0),FcInicioVtaAnual+1),"")</f>
        <v/>
      </c>
      <c r="S37" s="63" t="str">
        <f>IFERROR(INDEX(Venta!FcDetalle,MATCH(CONCATENATE(A37,"GT"),Venta!FcClave,0),FcInicioVtaAnual+2),"")</f>
        <v/>
      </c>
      <c r="T37" s="63" t="str">
        <f>IFERROR(INDEX(Venta!FcDetalle,MATCH(CONCATENATE(A37,"GT"),Venta!FcClave,0),FcInicioVtaAnual+3),"")</f>
        <v/>
      </c>
      <c r="U37" s="64" t="str">
        <f>IFERROR(IF(FcCheckProy=FALSE,INDEX(Venta!FcDetalle,MATCH(CONCATENATE(A37,"GT"),Venta!FcClave,0),FcInicioVtaAnual+4),INDEX(Venta!FcDetalle,MATCH(CONCATENATE(A37,"GT"),Venta!FcClave,0),FcInicioVtaAnual+5)),"")</f>
        <v/>
      </c>
      <c r="V37" s="242"/>
    </row>
    <row r="38" spans="1:22" ht="12" hidden="1" customHeight="1" outlineLevel="1" x14ac:dyDescent="0.2">
      <c r="A38" s="43" t="str">
        <f>IF($H$10="-","",$H$10)</f>
        <v/>
      </c>
      <c r="B38" s="98" t="str">
        <f>IFERROR(INDEX(Maestro!FcDetalle,MATCH(A38,Maestro!FcClave,0),5),"")</f>
        <v/>
      </c>
      <c r="C38" s="111" t="str">
        <f>IFERROR(INDEX(Venta!FcDetalle,MATCH(CONCATENATE(A38,"GT"),Venta!FcClave,0),FcInicioVtaMes+0),"")</f>
        <v/>
      </c>
      <c r="D38" s="111" t="str">
        <f>IFERROR(INDEX(Venta!FcDetalle,MATCH(CONCATENATE(A38,"GT"),Venta!FcClave,0),FcInicioVtaMes+1),"")</f>
        <v/>
      </c>
      <c r="E38" s="111" t="str">
        <f>IFERROR(INDEX(Venta!FcDetalle,MATCH(CONCATENATE(A38,"GT"),Venta!FcClave,0),FcInicioVtaMes+2),"")</f>
        <v/>
      </c>
      <c r="F38" s="111" t="str">
        <f>IFERROR(INDEX(Venta!FcDetalle,MATCH(CONCATENATE(A38,"GT"),Venta!FcClave,0),FcInicioVtaMes+3),"")</f>
        <v/>
      </c>
      <c r="G38" s="111" t="str">
        <f>IFERROR(INDEX(Venta!FcDetalle,MATCH(CONCATENATE(A38,"GT"),Venta!FcClave,0),FcInicioVtaMes+4),"")</f>
        <v/>
      </c>
      <c r="H38" s="111" t="str">
        <f>IFERROR(INDEX(Venta!FcDetalle,MATCH(CONCATENATE(A38,"GT"),Venta!FcClave,0),FcInicioVtaMes+5),"")</f>
        <v/>
      </c>
      <c r="I38" s="111" t="str">
        <f>IFERROR(INDEX(Venta!FcDetalle,MATCH(CONCATENATE(A38,"GT"),Venta!FcClave,0),FcInicioVtaMes+6),"")</f>
        <v/>
      </c>
      <c r="J38" s="111" t="str">
        <f>IFERROR(INDEX(Venta!FcDetalle,MATCH(CONCATENATE(A38,"GT"),Venta!FcClave,0),FcInicioVtaMes+7),"")</f>
        <v/>
      </c>
      <c r="K38" s="111" t="str">
        <f>IFERROR(INDEX(Venta!FcDetalle,MATCH(CONCATENATE(A38,"GT"),Venta!FcClave,0),FcInicioVtaMes+8),"")</f>
        <v/>
      </c>
      <c r="L38" s="111" t="str">
        <f>IFERROR(INDEX(Venta!FcDetalle,MATCH(CONCATENATE(A38,"GT"),Venta!FcClave,0),FcInicioVtaMes+9),"")</f>
        <v/>
      </c>
      <c r="M38" s="111" t="str">
        <f>IFERROR(INDEX(Venta!FcDetalle,MATCH(CONCATENATE(A38,"GT"),Venta!FcClave,0),FcInicioVtaMes+10),"")</f>
        <v/>
      </c>
      <c r="N38" s="111" t="str">
        <f>IFERROR(INDEX(Venta!FcDetalle,MATCH(CONCATENATE(A38,"GT"),Venta!FcClave,0),FcInicioVtaMes+11),"")</f>
        <v/>
      </c>
      <c r="O38" s="112" t="str">
        <f>IFERROR(INDEX(Venta!FcDetalle,MATCH(CONCATENATE(A38,"GT"),Venta!FcClave,0),FcInicioVtaMes+12),"")</f>
        <v/>
      </c>
      <c r="P38" s="6"/>
      <c r="Q38" s="142" t="str">
        <f>IFERROR(INDEX(Venta!FcDetalle,MATCH(CONCATENATE(A38,"GT"),Venta!FcClave,0),FcInicioVtaAnual+0),"")</f>
        <v/>
      </c>
      <c r="R38" s="63" t="str">
        <f>IFERROR(INDEX(Venta!FcDetalle,MATCH(CONCATENATE(A38,"GT"),Venta!FcClave,0),FcInicioVtaAnual+1),"")</f>
        <v/>
      </c>
      <c r="S38" s="63" t="str">
        <f>IFERROR(INDEX(Venta!FcDetalle,MATCH(CONCATENATE(A38,"GT"),Venta!FcClave,0),FcInicioVtaAnual+2),"")</f>
        <v/>
      </c>
      <c r="T38" s="63" t="str">
        <f>IFERROR(INDEX(Venta!FcDetalle,MATCH(CONCATENATE(A38,"GT"),Venta!FcClave,0),FcInicioVtaAnual+3),"")</f>
        <v/>
      </c>
      <c r="U38" s="64" t="str">
        <f>IFERROR(IF(FcCheckProy=FALSE,INDEX(Venta!FcDetalle,MATCH(CONCATENATE(A38,"GT"),Venta!FcClave,0),FcInicioVtaAnual+4),INDEX(Venta!FcDetalle,MATCH(CONCATENATE(A38,"GT"),Venta!FcClave,0),FcInicioVtaAnual+5)),"")</f>
        <v/>
      </c>
      <c r="V38" s="242"/>
    </row>
    <row r="39" spans="1:22" ht="12" hidden="1" customHeight="1" outlineLevel="1" x14ac:dyDescent="0.2">
      <c r="A39" s="43" t="str">
        <f>IF($I$10="-","",$I$10)</f>
        <v/>
      </c>
      <c r="B39" s="98" t="str">
        <f>IFERROR(INDEX(Maestro!FcDetalle,MATCH(A39,Maestro!FcClave,0),5),"")</f>
        <v/>
      </c>
      <c r="C39" s="111" t="str">
        <f>IFERROR(INDEX(Venta!FcDetalle,MATCH(CONCATENATE(A39,"GT"),Venta!FcClave,0),FcInicioVtaMes+0),"")</f>
        <v/>
      </c>
      <c r="D39" s="111" t="str">
        <f>IFERROR(INDEX(Venta!FcDetalle,MATCH(CONCATENATE(A39,"GT"),Venta!FcClave,0),FcInicioVtaMes+1),"")</f>
        <v/>
      </c>
      <c r="E39" s="111" t="str">
        <f>IFERROR(INDEX(Venta!FcDetalle,MATCH(CONCATENATE(A39,"GT"),Venta!FcClave,0),FcInicioVtaMes+2),"")</f>
        <v/>
      </c>
      <c r="F39" s="111" t="str">
        <f>IFERROR(INDEX(Venta!FcDetalle,MATCH(CONCATENATE(A39,"GT"),Venta!FcClave,0),FcInicioVtaMes+3),"")</f>
        <v/>
      </c>
      <c r="G39" s="111" t="str">
        <f>IFERROR(INDEX(Venta!FcDetalle,MATCH(CONCATENATE(A39,"GT"),Venta!FcClave,0),FcInicioVtaMes+4),"")</f>
        <v/>
      </c>
      <c r="H39" s="111" t="str">
        <f>IFERROR(INDEX(Venta!FcDetalle,MATCH(CONCATENATE(A39,"GT"),Venta!FcClave,0),FcInicioVtaMes+5),"")</f>
        <v/>
      </c>
      <c r="I39" s="111" t="str">
        <f>IFERROR(INDEX(Venta!FcDetalle,MATCH(CONCATENATE(A39,"GT"),Venta!FcClave,0),FcInicioVtaMes+6),"")</f>
        <v/>
      </c>
      <c r="J39" s="111" t="str">
        <f>IFERROR(INDEX(Venta!FcDetalle,MATCH(CONCATENATE(A39,"GT"),Venta!FcClave,0),FcInicioVtaMes+7),"")</f>
        <v/>
      </c>
      <c r="K39" s="111" t="str">
        <f>IFERROR(INDEX(Venta!FcDetalle,MATCH(CONCATENATE(A39,"GT"),Venta!FcClave,0),FcInicioVtaMes+8),"")</f>
        <v/>
      </c>
      <c r="L39" s="111" t="str">
        <f>IFERROR(INDEX(Venta!FcDetalle,MATCH(CONCATENATE(A39,"GT"),Venta!FcClave,0),FcInicioVtaMes+9),"")</f>
        <v/>
      </c>
      <c r="M39" s="111" t="str">
        <f>IFERROR(INDEX(Venta!FcDetalle,MATCH(CONCATENATE(A39,"GT"),Venta!FcClave,0),FcInicioVtaMes+10),"")</f>
        <v/>
      </c>
      <c r="N39" s="111" t="str">
        <f>IFERROR(INDEX(Venta!FcDetalle,MATCH(CONCATENATE(A39,"GT"),Venta!FcClave,0),FcInicioVtaMes+11),"")</f>
        <v/>
      </c>
      <c r="O39" s="112" t="str">
        <f>IFERROR(INDEX(Venta!FcDetalle,MATCH(CONCATENATE(A39,"GT"),Venta!FcClave,0),FcInicioVtaMes+12),"")</f>
        <v/>
      </c>
      <c r="P39" s="6"/>
      <c r="Q39" s="142" t="str">
        <f>IFERROR(INDEX(Venta!FcDetalle,MATCH(CONCATENATE(A39,"GT"),Venta!FcClave,0),FcInicioVtaAnual+0),"")</f>
        <v/>
      </c>
      <c r="R39" s="63" t="str">
        <f>IFERROR(INDEX(Venta!FcDetalle,MATCH(CONCATENATE(A39,"GT"),Venta!FcClave,0),FcInicioVtaAnual+1),"")</f>
        <v/>
      </c>
      <c r="S39" s="63" t="str">
        <f>IFERROR(INDEX(Venta!FcDetalle,MATCH(CONCATENATE(A39,"GT"),Venta!FcClave,0),FcInicioVtaAnual+2),"")</f>
        <v/>
      </c>
      <c r="T39" s="63" t="str">
        <f>IFERROR(INDEX(Venta!FcDetalle,MATCH(CONCATENATE(A39,"GT"),Venta!FcClave,0),FcInicioVtaAnual+3),"")</f>
        <v/>
      </c>
      <c r="U39" s="64" t="str">
        <f>IFERROR(IF(FcCheckProy=FALSE,INDEX(Venta!FcDetalle,MATCH(CONCATENATE(A39,"GT"),Venta!FcClave,0),FcInicioVtaAnual+4),INDEX(Venta!FcDetalle,MATCH(CONCATENATE(A39,"GT"),Venta!FcClave,0),FcInicioVtaAnual+5)),"")</f>
        <v/>
      </c>
      <c r="V39" s="242"/>
    </row>
    <row r="40" spans="1:22" ht="12" hidden="1" customHeight="1" outlineLevel="1" x14ac:dyDescent="0.2">
      <c r="A40" s="43" t="str">
        <f>IF($J$10="-","",$J$10)</f>
        <v/>
      </c>
      <c r="B40" s="98" t="str">
        <f>IFERROR(INDEX(Maestro!FcDetalle,MATCH(A40,Maestro!FcClave,0),5),"")</f>
        <v/>
      </c>
      <c r="C40" s="111" t="str">
        <f>IFERROR(INDEX(Venta!FcDetalle,MATCH(CONCATENATE(A40,"GT"),Venta!FcClave,0),FcInicioVtaMes+0),"")</f>
        <v/>
      </c>
      <c r="D40" s="111" t="str">
        <f>IFERROR(INDEX(Venta!FcDetalle,MATCH(CONCATENATE(A40,"GT"),Venta!FcClave,0),FcInicioVtaMes+1),"")</f>
        <v/>
      </c>
      <c r="E40" s="111" t="str">
        <f>IFERROR(INDEX(Venta!FcDetalle,MATCH(CONCATENATE(A40,"GT"),Venta!FcClave,0),FcInicioVtaMes+2),"")</f>
        <v/>
      </c>
      <c r="F40" s="111" t="str">
        <f>IFERROR(INDEX(Venta!FcDetalle,MATCH(CONCATENATE(A40,"GT"),Venta!FcClave,0),FcInicioVtaMes+3),"")</f>
        <v/>
      </c>
      <c r="G40" s="111" t="str">
        <f>IFERROR(INDEX(Venta!FcDetalle,MATCH(CONCATENATE(A40,"GT"),Venta!FcClave,0),FcInicioVtaMes+4),"")</f>
        <v/>
      </c>
      <c r="H40" s="111" t="str">
        <f>IFERROR(INDEX(Venta!FcDetalle,MATCH(CONCATENATE(A40,"GT"),Venta!FcClave,0),FcInicioVtaMes+5),"")</f>
        <v/>
      </c>
      <c r="I40" s="111" t="str">
        <f>IFERROR(INDEX(Venta!FcDetalle,MATCH(CONCATENATE(A40,"GT"),Venta!FcClave,0),FcInicioVtaMes+6),"")</f>
        <v/>
      </c>
      <c r="J40" s="111" t="str">
        <f>IFERROR(INDEX(Venta!FcDetalle,MATCH(CONCATENATE(A40,"GT"),Venta!FcClave,0),FcInicioVtaMes+7),"")</f>
        <v/>
      </c>
      <c r="K40" s="111" t="str">
        <f>IFERROR(INDEX(Venta!FcDetalle,MATCH(CONCATENATE(A40,"GT"),Venta!FcClave,0),FcInicioVtaMes+8),"")</f>
        <v/>
      </c>
      <c r="L40" s="111" t="str">
        <f>IFERROR(INDEX(Venta!FcDetalle,MATCH(CONCATENATE(A40,"GT"),Venta!FcClave,0),FcInicioVtaMes+9),"")</f>
        <v/>
      </c>
      <c r="M40" s="111" t="str">
        <f>IFERROR(INDEX(Venta!FcDetalle,MATCH(CONCATENATE(A40,"GT"),Venta!FcClave,0),FcInicioVtaMes+10),"")</f>
        <v/>
      </c>
      <c r="N40" s="111" t="str">
        <f>IFERROR(INDEX(Venta!FcDetalle,MATCH(CONCATENATE(A40,"GT"),Venta!FcClave,0),FcInicioVtaMes+11),"")</f>
        <v/>
      </c>
      <c r="O40" s="112" t="str">
        <f>IFERROR(INDEX(Venta!FcDetalle,MATCH(CONCATENATE(A40,"GT"),Venta!FcClave,0),FcInicioVtaMes+12),"")</f>
        <v/>
      </c>
      <c r="P40" s="6"/>
      <c r="Q40" s="142" t="str">
        <f>IFERROR(INDEX(Venta!FcDetalle,MATCH(CONCATENATE(A40,"GT"),Venta!FcClave,0),FcInicioVtaAnual+0),"")</f>
        <v/>
      </c>
      <c r="R40" s="63" t="str">
        <f>IFERROR(INDEX(Venta!FcDetalle,MATCH(CONCATENATE(A40,"GT"),Venta!FcClave,0),FcInicioVtaAnual+1),"")</f>
        <v/>
      </c>
      <c r="S40" s="63" t="str">
        <f>IFERROR(INDEX(Venta!FcDetalle,MATCH(CONCATENATE(A40,"GT"),Venta!FcClave,0),FcInicioVtaAnual+2),"")</f>
        <v/>
      </c>
      <c r="T40" s="63" t="str">
        <f>IFERROR(INDEX(Venta!FcDetalle,MATCH(CONCATENATE(A40,"GT"),Venta!FcClave,0),FcInicioVtaAnual+3),"")</f>
        <v/>
      </c>
      <c r="U40" s="64" t="str">
        <f>IFERROR(IF(FcCheckProy=FALSE,INDEX(Venta!FcDetalle,MATCH(CONCATENATE(A40,"GT"),Venta!FcClave,0),FcInicioVtaAnual+4),INDEX(Venta!FcDetalle,MATCH(CONCATENATE(A40,"GT"),Venta!FcClave,0),FcInicioVtaAnual+5)),"")</f>
        <v/>
      </c>
      <c r="V40" s="242"/>
    </row>
    <row r="41" spans="1:22" ht="12" hidden="1" customHeight="1" outlineLevel="1" x14ac:dyDescent="0.2">
      <c r="A41" s="43" t="str">
        <f>IF($K$10="-","",$K$10)</f>
        <v/>
      </c>
      <c r="B41" s="98" t="str">
        <f>IFERROR(INDEX(Maestro!FcDetalle,MATCH(A41,Maestro!FcClave,0),5),"")</f>
        <v/>
      </c>
      <c r="C41" s="111" t="str">
        <f>IFERROR(INDEX(Venta!FcDetalle,MATCH(CONCATENATE(A41,"GT"),Venta!FcClave,0),FcInicioVtaMes+0),"")</f>
        <v/>
      </c>
      <c r="D41" s="111" t="str">
        <f>IFERROR(INDEX(Venta!FcDetalle,MATCH(CONCATENATE(A41,"GT"),Venta!FcClave,0),FcInicioVtaMes+1),"")</f>
        <v/>
      </c>
      <c r="E41" s="111" t="str">
        <f>IFERROR(INDEX(Venta!FcDetalle,MATCH(CONCATENATE(A41,"GT"),Venta!FcClave,0),FcInicioVtaMes+2),"")</f>
        <v/>
      </c>
      <c r="F41" s="111" t="str">
        <f>IFERROR(INDEX(Venta!FcDetalle,MATCH(CONCATENATE(A41,"GT"),Venta!FcClave,0),FcInicioVtaMes+3),"")</f>
        <v/>
      </c>
      <c r="G41" s="111" t="str">
        <f>IFERROR(INDEX(Venta!FcDetalle,MATCH(CONCATENATE(A41,"GT"),Venta!FcClave,0),FcInicioVtaMes+4),"")</f>
        <v/>
      </c>
      <c r="H41" s="111" t="str">
        <f>IFERROR(INDEX(Venta!FcDetalle,MATCH(CONCATENATE(A41,"GT"),Venta!FcClave,0),FcInicioVtaMes+5),"")</f>
        <v/>
      </c>
      <c r="I41" s="111" t="str">
        <f>IFERROR(INDEX(Venta!FcDetalle,MATCH(CONCATENATE(A41,"GT"),Venta!FcClave,0),FcInicioVtaMes+6),"")</f>
        <v/>
      </c>
      <c r="J41" s="111" t="str">
        <f>IFERROR(INDEX(Venta!FcDetalle,MATCH(CONCATENATE(A41,"GT"),Venta!FcClave,0),FcInicioVtaMes+7),"")</f>
        <v/>
      </c>
      <c r="K41" s="111" t="str">
        <f>IFERROR(INDEX(Venta!FcDetalle,MATCH(CONCATENATE(A41,"GT"),Venta!FcClave,0),FcInicioVtaMes+8),"")</f>
        <v/>
      </c>
      <c r="L41" s="111" t="str">
        <f>IFERROR(INDEX(Venta!FcDetalle,MATCH(CONCATENATE(A41,"GT"),Venta!FcClave,0),FcInicioVtaMes+9),"")</f>
        <v/>
      </c>
      <c r="M41" s="111" t="str">
        <f>IFERROR(INDEX(Venta!FcDetalle,MATCH(CONCATENATE(A41,"GT"),Venta!FcClave,0),FcInicioVtaMes+10),"")</f>
        <v/>
      </c>
      <c r="N41" s="111" t="str">
        <f>IFERROR(INDEX(Venta!FcDetalle,MATCH(CONCATENATE(A41,"GT"),Venta!FcClave,0),FcInicioVtaMes+11),"")</f>
        <v/>
      </c>
      <c r="O41" s="112" t="str">
        <f>IFERROR(INDEX(Venta!FcDetalle,MATCH(CONCATENATE(A41,"GT"),Venta!FcClave,0),FcInicioVtaMes+12),"")</f>
        <v/>
      </c>
      <c r="P41" s="6"/>
      <c r="Q41" s="142" t="str">
        <f>IFERROR(INDEX(Venta!FcDetalle,MATCH(CONCATENATE(A41,"GT"),Venta!FcClave,0),FcInicioVtaAnual+0),"")</f>
        <v/>
      </c>
      <c r="R41" s="63" t="str">
        <f>IFERROR(INDEX(Venta!FcDetalle,MATCH(CONCATENATE(A41,"GT"),Venta!FcClave,0),FcInicioVtaAnual+1),"")</f>
        <v/>
      </c>
      <c r="S41" s="63" t="str">
        <f>IFERROR(INDEX(Venta!FcDetalle,MATCH(CONCATENATE(A41,"GT"),Venta!FcClave,0),FcInicioVtaAnual+2),"")</f>
        <v/>
      </c>
      <c r="T41" s="63" t="str">
        <f>IFERROR(INDEX(Venta!FcDetalle,MATCH(CONCATENATE(A41,"GT"),Venta!FcClave,0),FcInicioVtaAnual+3),"")</f>
        <v/>
      </c>
      <c r="U41" s="64" t="str">
        <f>IFERROR(IF(FcCheckProy=FALSE,INDEX(Venta!FcDetalle,MATCH(CONCATENATE(A41,"GT"),Venta!FcClave,0),FcInicioVtaAnual+4),INDEX(Venta!FcDetalle,MATCH(CONCATENATE(A41,"GT"),Venta!FcClave,0),FcInicioVtaAnual+5)),"")</f>
        <v/>
      </c>
      <c r="V41" s="242"/>
    </row>
    <row r="42" spans="1:22" ht="12" hidden="1" customHeight="1" outlineLevel="1" x14ac:dyDescent="0.2">
      <c r="A42" s="43" t="str">
        <f>IF($I$9="-","",$I$9)</f>
        <v/>
      </c>
      <c r="B42" s="98" t="str">
        <f>IFERROR(INDEX(Maestro!FcDetalle,MATCH(A42,Maestro!FcClave,0),5),"")</f>
        <v/>
      </c>
      <c r="C42" s="111" t="str">
        <f>IFERROR(INDEX(Venta!FcDetalle,MATCH(CONCATENATE(A42,"GT"),Venta!FcClave,0),FcInicioVtaMes+0),"")</f>
        <v/>
      </c>
      <c r="D42" s="111" t="str">
        <f>IFERROR(INDEX(Venta!FcDetalle,MATCH(CONCATENATE(A42,"GT"),Venta!FcClave,0),FcInicioVtaMes+1),"")</f>
        <v/>
      </c>
      <c r="E42" s="111" t="str">
        <f>IFERROR(INDEX(Venta!FcDetalle,MATCH(CONCATENATE(A42,"GT"),Venta!FcClave,0),FcInicioVtaMes+2),"")</f>
        <v/>
      </c>
      <c r="F42" s="111" t="str">
        <f>IFERROR(INDEX(Venta!FcDetalle,MATCH(CONCATENATE(A42,"GT"),Venta!FcClave,0),FcInicioVtaMes+3),"")</f>
        <v/>
      </c>
      <c r="G42" s="111" t="str">
        <f>IFERROR(INDEX(Venta!FcDetalle,MATCH(CONCATENATE(A42,"GT"),Venta!FcClave,0),FcInicioVtaMes+4),"")</f>
        <v/>
      </c>
      <c r="H42" s="111" t="str">
        <f>IFERROR(INDEX(Venta!FcDetalle,MATCH(CONCATENATE(A42,"GT"),Venta!FcClave,0),FcInicioVtaMes+5),"")</f>
        <v/>
      </c>
      <c r="I42" s="111" t="str">
        <f>IFERROR(INDEX(Venta!FcDetalle,MATCH(CONCATENATE(A42,"GT"),Venta!FcClave,0),FcInicioVtaMes+6),"")</f>
        <v/>
      </c>
      <c r="J42" s="111" t="str">
        <f>IFERROR(INDEX(Venta!FcDetalle,MATCH(CONCATENATE(A42,"GT"),Venta!FcClave,0),FcInicioVtaMes+7),"")</f>
        <v/>
      </c>
      <c r="K42" s="111" t="str">
        <f>IFERROR(INDEX(Venta!FcDetalle,MATCH(CONCATENATE(A42,"GT"),Venta!FcClave,0),FcInicioVtaMes+8),"")</f>
        <v/>
      </c>
      <c r="L42" s="111" t="str">
        <f>IFERROR(INDEX(Venta!FcDetalle,MATCH(CONCATENATE(A42,"GT"),Venta!FcClave,0),FcInicioVtaMes+9),"")</f>
        <v/>
      </c>
      <c r="M42" s="111" t="str">
        <f>IFERROR(INDEX(Venta!FcDetalle,MATCH(CONCATENATE(A42,"GT"),Venta!FcClave,0),FcInicioVtaMes+10),"")</f>
        <v/>
      </c>
      <c r="N42" s="111" t="str">
        <f>IFERROR(INDEX(Venta!FcDetalle,MATCH(CONCATENATE(A42,"GT"),Venta!FcClave,0),FcInicioVtaMes+11),"")</f>
        <v/>
      </c>
      <c r="O42" s="112" t="str">
        <f>IFERROR(INDEX(Venta!FcDetalle,MATCH(CONCATENATE(A42,"GT"),Venta!FcClave,0),FcInicioVtaMes+12),"")</f>
        <v/>
      </c>
      <c r="P42" s="6"/>
      <c r="Q42" s="142" t="str">
        <f>IFERROR(INDEX(Venta!FcDetalle,MATCH(CONCATENATE(A42,"GT"),Venta!FcClave,0),FcInicioVtaAnual+0),"")</f>
        <v/>
      </c>
      <c r="R42" s="63" t="str">
        <f>IFERROR(INDEX(Venta!FcDetalle,MATCH(CONCATENATE(A42,"GT"),Venta!FcClave,0),FcInicioVtaAnual+1),"")</f>
        <v/>
      </c>
      <c r="S42" s="63" t="str">
        <f>IFERROR(INDEX(Venta!FcDetalle,MATCH(CONCATENATE(A42,"GT"),Venta!FcClave,0),FcInicioVtaAnual+2),"")</f>
        <v/>
      </c>
      <c r="T42" s="63" t="str">
        <f>IFERROR(INDEX(Venta!FcDetalle,MATCH(CONCATENATE(A42,"GT"),Venta!FcClave,0),FcInicioVtaAnual+3),"")</f>
        <v/>
      </c>
      <c r="U42" s="64" t="str">
        <f>IFERROR(IF(FcCheckProy=FALSE,INDEX(Venta!FcDetalle,MATCH(CONCATENATE(A42,"GT"),Venta!FcClave,0),FcInicioVtaAnual+4),INDEX(Venta!FcDetalle,MATCH(CONCATENATE(A42,"GT"),Venta!FcClave,0),FcInicioVtaAnual+5)),"")</f>
        <v/>
      </c>
      <c r="V42" s="242"/>
    </row>
    <row r="43" spans="1:22" ht="12" hidden="1" customHeight="1" outlineLevel="1" x14ac:dyDescent="0.2">
      <c r="A43" s="43" t="str">
        <f>IF($J$9="-","",$J$9)</f>
        <v/>
      </c>
      <c r="B43" s="98" t="str">
        <f>IFERROR(INDEX(Maestro!FcDetalle,MATCH(A43,Maestro!FcClave,0),5),"")</f>
        <v/>
      </c>
      <c r="C43" s="111" t="str">
        <f>IFERROR(INDEX(Venta!FcDetalle,MATCH(CONCATENATE(A43,"GT"),Venta!FcClave,0),FcInicioVtaMes+0),"")</f>
        <v/>
      </c>
      <c r="D43" s="111" t="str">
        <f>IFERROR(INDEX(Venta!FcDetalle,MATCH(CONCATENATE(A43,"GT"),Venta!FcClave,0),FcInicioVtaMes+1),"")</f>
        <v/>
      </c>
      <c r="E43" s="111" t="str">
        <f>IFERROR(INDEX(Venta!FcDetalle,MATCH(CONCATENATE(A43,"GT"),Venta!FcClave,0),FcInicioVtaMes+2),"")</f>
        <v/>
      </c>
      <c r="F43" s="111" t="str">
        <f>IFERROR(INDEX(Venta!FcDetalle,MATCH(CONCATENATE(A43,"GT"),Venta!FcClave,0),FcInicioVtaMes+3),"")</f>
        <v/>
      </c>
      <c r="G43" s="111" t="str">
        <f>IFERROR(INDEX(Venta!FcDetalle,MATCH(CONCATENATE(A43,"GT"),Venta!FcClave,0),FcInicioVtaMes+4),"")</f>
        <v/>
      </c>
      <c r="H43" s="111" t="str">
        <f>IFERROR(INDEX(Venta!FcDetalle,MATCH(CONCATENATE(A43,"GT"),Venta!FcClave,0),FcInicioVtaMes+5),"")</f>
        <v/>
      </c>
      <c r="I43" s="111" t="str">
        <f>IFERROR(INDEX(Venta!FcDetalle,MATCH(CONCATENATE(A43,"GT"),Venta!FcClave,0),FcInicioVtaMes+6),"")</f>
        <v/>
      </c>
      <c r="J43" s="111" t="str">
        <f>IFERROR(INDEX(Venta!FcDetalle,MATCH(CONCATENATE(A43,"GT"),Venta!FcClave,0),FcInicioVtaMes+7),"")</f>
        <v/>
      </c>
      <c r="K43" s="111" t="str">
        <f>IFERROR(INDEX(Venta!FcDetalle,MATCH(CONCATENATE(A43,"GT"),Venta!FcClave,0),FcInicioVtaMes+8),"")</f>
        <v/>
      </c>
      <c r="L43" s="111" t="str">
        <f>IFERROR(INDEX(Venta!FcDetalle,MATCH(CONCATENATE(A43,"GT"),Venta!FcClave,0),FcInicioVtaMes+9),"")</f>
        <v/>
      </c>
      <c r="M43" s="111" t="str">
        <f>IFERROR(INDEX(Venta!FcDetalle,MATCH(CONCATENATE(A43,"GT"),Venta!FcClave,0),FcInicioVtaMes+10),"")</f>
        <v/>
      </c>
      <c r="N43" s="111" t="str">
        <f>IFERROR(INDEX(Venta!FcDetalle,MATCH(CONCATENATE(A43,"GT"),Venta!FcClave,0),FcInicioVtaMes+11),"")</f>
        <v/>
      </c>
      <c r="O43" s="112" t="str">
        <f>IFERROR(INDEX(Venta!FcDetalle,MATCH(CONCATENATE(A43,"GT"),Venta!FcClave,0),FcInicioVtaMes+12),"")</f>
        <v/>
      </c>
      <c r="P43" s="6"/>
      <c r="Q43" s="142" t="str">
        <f>IFERROR(INDEX(Venta!FcDetalle,MATCH(CONCATENATE(A43,"GT"),Venta!FcClave,0),FcInicioVtaAnual+0),"")</f>
        <v/>
      </c>
      <c r="R43" s="63" t="str">
        <f>IFERROR(INDEX(Venta!FcDetalle,MATCH(CONCATENATE(A43,"GT"),Venta!FcClave,0),FcInicioVtaAnual+1),"")</f>
        <v/>
      </c>
      <c r="S43" s="63" t="str">
        <f>IFERROR(INDEX(Venta!FcDetalle,MATCH(CONCATENATE(A43,"GT"),Venta!FcClave,0),FcInicioVtaAnual+2),"")</f>
        <v/>
      </c>
      <c r="T43" s="63" t="str">
        <f>IFERROR(INDEX(Venta!FcDetalle,MATCH(CONCATENATE(A43,"GT"),Venta!FcClave,0),FcInicioVtaAnual+3),"")</f>
        <v/>
      </c>
      <c r="U43" s="64" t="str">
        <f>IFERROR(IF(FcCheckProy=FALSE,INDEX(Venta!FcDetalle,MATCH(CONCATENATE(A43,"GT"),Venta!FcClave,0),FcInicioVtaAnual+4),INDEX(Venta!FcDetalle,MATCH(CONCATENATE(A43,"GT"),Venta!FcClave,0),FcInicioVtaAnual+5)),"")</f>
        <v/>
      </c>
      <c r="V43" s="242"/>
    </row>
    <row r="44" spans="1:22" ht="12" hidden="1" customHeight="1" outlineLevel="1" thickBot="1" x14ac:dyDescent="0.25">
      <c r="A44" s="97" t="str">
        <f>IF($K$9="-","",$K$9)</f>
        <v/>
      </c>
      <c r="B44" s="98" t="str">
        <f>IFERROR(INDEX(Maestro!FcDetalle,MATCH(A44,Maestro!FcClave,0),5),"")</f>
        <v/>
      </c>
      <c r="C44" s="111" t="str">
        <f>IFERROR(INDEX(Venta!FcDetalle,MATCH(CONCATENATE(A44,"GT"),Venta!FcClave,0),FcInicioVtaMes+0),"")</f>
        <v/>
      </c>
      <c r="D44" s="111" t="str">
        <f>IFERROR(INDEX(Venta!FcDetalle,MATCH(CONCATENATE(A44,"GT"),Venta!FcClave,0),FcInicioVtaMes+1),"")</f>
        <v/>
      </c>
      <c r="E44" s="111" t="str">
        <f>IFERROR(INDEX(Venta!FcDetalle,MATCH(CONCATENATE(A44,"GT"),Venta!FcClave,0),FcInicioVtaMes+2),"")</f>
        <v/>
      </c>
      <c r="F44" s="111" t="str">
        <f>IFERROR(INDEX(Venta!FcDetalle,MATCH(CONCATENATE(A44,"GT"),Venta!FcClave,0),FcInicioVtaMes+3),"")</f>
        <v/>
      </c>
      <c r="G44" s="111" t="str">
        <f>IFERROR(INDEX(Venta!FcDetalle,MATCH(CONCATENATE(A44,"GT"),Venta!FcClave,0),FcInicioVtaMes+4),"")</f>
        <v/>
      </c>
      <c r="H44" s="111" t="str">
        <f>IFERROR(INDEX(Venta!FcDetalle,MATCH(CONCATENATE(A44,"GT"),Venta!FcClave,0),FcInicioVtaMes+5),"")</f>
        <v/>
      </c>
      <c r="I44" s="111" t="str">
        <f>IFERROR(INDEX(Venta!FcDetalle,MATCH(CONCATENATE(A44,"GT"),Venta!FcClave,0),FcInicioVtaMes+6),"")</f>
        <v/>
      </c>
      <c r="J44" s="111" t="str">
        <f>IFERROR(INDEX(Venta!FcDetalle,MATCH(CONCATENATE(A44,"GT"),Venta!FcClave,0),FcInicioVtaMes+7),"")</f>
        <v/>
      </c>
      <c r="K44" s="111" t="str">
        <f>IFERROR(INDEX(Venta!FcDetalle,MATCH(CONCATENATE(A44,"GT"),Venta!FcClave,0),FcInicioVtaMes+8),"")</f>
        <v/>
      </c>
      <c r="L44" s="111" t="str">
        <f>IFERROR(INDEX(Venta!FcDetalle,MATCH(CONCATENATE(A44,"GT"),Venta!FcClave,0),FcInicioVtaMes+9),"")</f>
        <v/>
      </c>
      <c r="M44" s="111" t="str">
        <f>IFERROR(INDEX(Venta!FcDetalle,MATCH(CONCATENATE(A44,"GT"),Venta!FcClave,0),FcInicioVtaMes+10),"")</f>
        <v/>
      </c>
      <c r="N44" s="111" t="str">
        <f>IFERROR(INDEX(Venta!FcDetalle,MATCH(CONCATENATE(A44,"GT"),Venta!FcClave,0),FcInicioVtaMes+11),"")</f>
        <v/>
      </c>
      <c r="O44" s="112" t="str">
        <f>IFERROR(INDEX(Venta!FcDetalle,MATCH(CONCATENATE(A44,"GT"),Venta!FcClave,0),FcInicioVtaMes+12),"")</f>
        <v/>
      </c>
      <c r="P44" s="6"/>
      <c r="Q44" s="180" t="str">
        <f>IFERROR(INDEX(Venta!FcDetalle,MATCH(CONCATENATE(A44,"GT"),Venta!FcClave,0),FcInicioVtaAnual+0),"")</f>
        <v/>
      </c>
      <c r="R44" s="181" t="str">
        <f>IFERROR(INDEX(Venta!FcDetalle,MATCH(CONCATENATE(A44,"GT"),Venta!FcClave,0),FcInicioVtaAnual+1),"")</f>
        <v/>
      </c>
      <c r="S44" s="181" t="str">
        <f>IFERROR(INDEX(Venta!FcDetalle,MATCH(CONCATENATE(A44,"GT"),Venta!FcClave,0),FcInicioVtaAnual+2),"")</f>
        <v/>
      </c>
      <c r="T44" s="181" t="str">
        <f>IFERROR(INDEX(Venta!FcDetalle,MATCH(CONCATENATE(A44,"GT"),Venta!FcClave,0),FcInicioVtaAnual+3),"")</f>
        <v/>
      </c>
      <c r="U44" s="182" t="str">
        <f>IFERROR(IF(FcCheckProy=FALSE,INDEX(Venta!FcDetalle,MATCH(CONCATENATE(A44,"GT"),Venta!FcClave,0),FcInicioVtaAnual+4),INDEX(Venta!FcDetalle,MATCH(CONCATENATE(A44,"GT"),Venta!FcClave,0),FcInicioVtaAnual+5)),"")</f>
        <v/>
      </c>
      <c r="V44" s="242"/>
    </row>
    <row r="45" spans="1:22" ht="12" customHeight="1" collapsed="1" thickBot="1" x14ac:dyDescent="0.25">
      <c r="A45" s="245" t="s">
        <v>43</v>
      </c>
      <c r="B45" s="246"/>
      <c r="C45" s="247">
        <f t="shared" ref="C45:O45" si="3">SUM(C35:C44)</f>
        <v>0</v>
      </c>
      <c r="D45" s="247">
        <f t="shared" si="3"/>
        <v>0</v>
      </c>
      <c r="E45" s="247">
        <f t="shared" si="3"/>
        <v>0</v>
      </c>
      <c r="F45" s="247">
        <f t="shared" si="3"/>
        <v>0</v>
      </c>
      <c r="G45" s="247">
        <f t="shared" si="3"/>
        <v>0</v>
      </c>
      <c r="H45" s="247">
        <f t="shared" si="3"/>
        <v>0</v>
      </c>
      <c r="I45" s="247">
        <f t="shared" si="3"/>
        <v>0</v>
      </c>
      <c r="J45" s="247">
        <f t="shared" si="3"/>
        <v>0</v>
      </c>
      <c r="K45" s="247">
        <f t="shared" si="3"/>
        <v>0</v>
      </c>
      <c r="L45" s="247">
        <f t="shared" si="3"/>
        <v>0</v>
      </c>
      <c r="M45" s="247">
        <f t="shared" si="3"/>
        <v>0</v>
      </c>
      <c r="N45" s="247">
        <f t="shared" si="3"/>
        <v>0</v>
      </c>
      <c r="O45" s="248">
        <f t="shared" si="3"/>
        <v>0</v>
      </c>
      <c r="P45" s="6"/>
      <c r="Q45" s="249">
        <f>SUM(Q35:Q44)</f>
        <v>0</v>
      </c>
      <c r="R45" s="250">
        <f>SUM(R35:R44)</f>
        <v>0</v>
      </c>
      <c r="S45" s="250">
        <f>SUM(S35:S44)</f>
        <v>0</v>
      </c>
      <c r="T45" s="250">
        <f>SUM(T35:T44)</f>
        <v>0</v>
      </c>
      <c r="U45" s="248">
        <f>SUM(U35:U44)</f>
        <v>0</v>
      </c>
      <c r="V45" s="242"/>
    </row>
    <row r="46" spans="1:22" ht="12" hidden="1" customHeight="1" outlineLevel="1" x14ac:dyDescent="0.2">
      <c r="A46" s="43">
        <f>IF($E$10="-",$C$4,$E$10)</f>
        <v>6005</v>
      </c>
      <c r="B46" s="98" t="str">
        <f>IFERROR(INDEX(Maestro!FcDetalle,MATCH(A46,Maestro!FcClave,0),5),"")</f>
        <v/>
      </c>
      <c r="C46" s="111" t="str">
        <f>IFERROR(INDEX(Venta!FcDetalle,MATCH(CONCATENATE(A46,"CAP"),Venta!FcClave,0),FcInicioVtaMes+0),"")</f>
        <v/>
      </c>
      <c r="D46" s="111" t="str">
        <f>IFERROR(INDEX(Venta!FcDetalle,MATCH(CONCATENATE(A46,"CAP"),Venta!FcClave,0),FcInicioVtaMes+1),"")</f>
        <v/>
      </c>
      <c r="E46" s="111" t="str">
        <f>IFERROR(INDEX(Venta!FcDetalle,MATCH(CONCATENATE(A46,"CAP"),Venta!FcClave,0),FcInicioVtaMes+2),"")</f>
        <v/>
      </c>
      <c r="F46" s="111" t="str">
        <f>IFERROR(INDEX(Venta!FcDetalle,MATCH(CONCATENATE(A46,"CAP"),Venta!FcClave,0),FcInicioVtaMes+3),"")</f>
        <v/>
      </c>
      <c r="G46" s="111" t="str">
        <f>IFERROR(INDEX(Venta!FcDetalle,MATCH(CONCATENATE(A46,"CAP"),Venta!FcClave,0),FcInicioVtaMes+4),"")</f>
        <v/>
      </c>
      <c r="H46" s="111" t="str">
        <f>IFERROR(INDEX(Venta!FcDetalle,MATCH(CONCATENATE(A46,"CAP"),Venta!FcClave,0),FcInicioVtaMes+5),"")</f>
        <v/>
      </c>
      <c r="I46" s="111" t="str">
        <f>IFERROR(INDEX(Venta!FcDetalle,MATCH(CONCATENATE(A46,"CAP"),Venta!FcClave,0),FcInicioVtaMes+6),"")</f>
        <v/>
      </c>
      <c r="J46" s="111" t="str">
        <f>IFERROR(INDEX(Venta!FcDetalle,MATCH(CONCATENATE(A46,"CAP"),Venta!FcClave,0),FcInicioVtaMes+7),"")</f>
        <v/>
      </c>
      <c r="K46" s="111" t="str">
        <f>IFERROR(INDEX(Venta!FcDetalle,MATCH(CONCATENATE(A46,"CAP"),Venta!FcClave,0),FcInicioVtaMes+8),"")</f>
        <v/>
      </c>
      <c r="L46" s="111" t="str">
        <f>IFERROR(INDEX(Venta!FcDetalle,MATCH(CONCATENATE(A46,"CAP"),Venta!FcClave,0),FcInicioVtaMes+9),"")</f>
        <v/>
      </c>
      <c r="M46" s="111" t="str">
        <f>IFERROR(INDEX(Venta!FcDetalle,MATCH(CONCATENATE(A46,"CAP"),Venta!FcClave,0),FcInicioVtaMes+10),"")</f>
        <v/>
      </c>
      <c r="N46" s="111" t="str">
        <f>IFERROR(INDEX(Venta!FcDetalle,MATCH(CONCATENATE(A46,"CAP"),Venta!FcClave,0),FcInicioVtaMes+11),"")</f>
        <v/>
      </c>
      <c r="O46" s="112" t="str">
        <f>IFERROR(INDEX(Venta!FcDetalle,MATCH(CONCATENATE(A46,"CAP"),Venta!FcClave,0),FcInicioVtaMes+12),"")</f>
        <v/>
      </c>
      <c r="P46" s="3"/>
      <c r="Q46" s="146" t="str">
        <f>IFERROR(INDEX(Venta!FcDetalle,MATCH(CONCATENATE(A46,"CAP"),Venta!FcClave,0),FcInicioVtaAnual+0),"")</f>
        <v/>
      </c>
      <c r="R46" s="147" t="str">
        <f>IFERROR(INDEX(Venta!FcDetalle,MATCH(CONCATENATE(A46,"CAP"),Venta!FcClave,0),FcInicioVtaAnual+1),"")</f>
        <v/>
      </c>
      <c r="S46" s="147" t="str">
        <f>IFERROR(INDEX(Venta!FcDetalle,MATCH(CONCATENATE(A46,"CAP"),Venta!FcClave,0),FcInicioVtaAnual+2),"")</f>
        <v/>
      </c>
      <c r="T46" s="147" t="str">
        <f>IFERROR(INDEX(Venta!FcDetalle,MATCH(CONCATENATE(A46,"CAP"),Venta!FcClave,0),FcInicioVtaAnual+3),"")</f>
        <v/>
      </c>
      <c r="U46" s="148" t="str">
        <f>IFERROR(IF(FcCheckProy=FALSE,INDEX(Venta!FcDetalle,MATCH(CONCATENATE(A46,"CAP"),Venta!FcClave,0),FcInicioVtaAnual+4),INDEX(Venta!FcDetalle,MATCH(CONCATENATE(A46,"CAP"),Venta!FcClave,0),FcInicioVtaAnual+5)),"")</f>
        <v/>
      </c>
      <c r="V46" s="242"/>
    </row>
    <row r="47" spans="1:22" ht="12" hidden="1" customHeight="1" outlineLevel="1" x14ac:dyDescent="0.2">
      <c r="A47" s="43" t="str">
        <f>IF($F$10="-","",$F$10)</f>
        <v/>
      </c>
      <c r="B47" s="98" t="str">
        <f>IFERROR(INDEX(Maestro!FcDetalle,MATCH(A47,Maestro!FcClave,0),5),"")</f>
        <v/>
      </c>
      <c r="C47" s="111" t="str">
        <f>IFERROR(INDEX(Venta!FcDetalle,MATCH(CONCATENATE(A47,"CAP"),Venta!FcClave,0),FcInicioVtaMes+0),"")</f>
        <v/>
      </c>
      <c r="D47" s="111" t="str">
        <f>IFERROR(INDEX(Venta!FcDetalle,MATCH(CONCATENATE(A47,"CAP"),Venta!FcClave,0),FcInicioVtaMes+1),"")</f>
        <v/>
      </c>
      <c r="E47" s="111" t="str">
        <f>IFERROR(INDEX(Venta!FcDetalle,MATCH(CONCATENATE(A47,"CAP"),Venta!FcClave,0),FcInicioVtaMes+2),"")</f>
        <v/>
      </c>
      <c r="F47" s="111" t="str">
        <f>IFERROR(INDEX(Venta!FcDetalle,MATCH(CONCATENATE(A47,"CAP"),Venta!FcClave,0),FcInicioVtaMes+3),"")</f>
        <v/>
      </c>
      <c r="G47" s="111" t="str">
        <f>IFERROR(INDEX(Venta!FcDetalle,MATCH(CONCATENATE(A47,"CAP"),Venta!FcClave,0),FcInicioVtaMes+4),"")</f>
        <v/>
      </c>
      <c r="H47" s="111" t="str">
        <f>IFERROR(INDEX(Venta!FcDetalle,MATCH(CONCATENATE(A47,"CAP"),Venta!FcClave,0),FcInicioVtaMes+5),"")</f>
        <v/>
      </c>
      <c r="I47" s="111" t="str">
        <f>IFERROR(INDEX(Venta!FcDetalle,MATCH(CONCATENATE(A47,"CAP"),Venta!FcClave,0),FcInicioVtaMes+6),"")</f>
        <v/>
      </c>
      <c r="J47" s="111" t="str">
        <f>IFERROR(INDEX(Venta!FcDetalle,MATCH(CONCATENATE(A47,"CAP"),Venta!FcClave,0),FcInicioVtaMes+7),"")</f>
        <v/>
      </c>
      <c r="K47" s="111" t="str">
        <f>IFERROR(INDEX(Venta!FcDetalle,MATCH(CONCATENATE(A47,"CAP"),Venta!FcClave,0),FcInicioVtaMes+8),"")</f>
        <v/>
      </c>
      <c r="L47" s="111" t="str">
        <f>IFERROR(INDEX(Venta!FcDetalle,MATCH(CONCATENATE(A47,"CAP"),Venta!FcClave,0),FcInicioVtaMes+9),"")</f>
        <v/>
      </c>
      <c r="M47" s="111" t="str">
        <f>IFERROR(INDEX(Venta!FcDetalle,MATCH(CONCATENATE(A47,"CAP"),Venta!FcClave,0),FcInicioVtaMes+10),"")</f>
        <v/>
      </c>
      <c r="N47" s="111" t="str">
        <f>IFERROR(INDEX(Venta!FcDetalle,MATCH(CONCATENATE(A47,"CAP"),Venta!FcClave,0),FcInicioVtaMes+11),"")</f>
        <v/>
      </c>
      <c r="O47" s="112" t="str">
        <f>IFERROR(INDEX(Venta!FcDetalle,MATCH(CONCATENATE(A47,"CAP"),Venta!FcClave,0),FcInicioVtaMes+12),"")</f>
        <v/>
      </c>
      <c r="P47" s="6"/>
      <c r="Q47" s="142" t="str">
        <f>IFERROR(INDEX(Venta!FcDetalle,MATCH(CONCATENATE(A47,"CAP"),Venta!FcClave,0),FcInicioVtaAnual+0),"")</f>
        <v/>
      </c>
      <c r="R47" s="63" t="str">
        <f>IFERROR(INDEX(Venta!FcDetalle,MATCH(CONCATENATE(A47,"CAP"),Venta!FcClave,0),FcInicioVtaAnual+1),"")</f>
        <v/>
      </c>
      <c r="S47" s="63" t="str">
        <f>IFERROR(INDEX(Venta!FcDetalle,MATCH(CONCATENATE(A47,"CAP"),Venta!FcClave,0),FcInicioVtaAnual+2),"")</f>
        <v/>
      </c>
      <c r="T47" s="63" t="str">
        <f>IFERROR(INDEX(Venta!FcDetalle,MATCH(CONCATENATE(A47,"CAP"),Venta!FcClave,0),FcInicioVtaAnual+3),"")</f>
        <v/>
      </c>
      <c r="U47" s="64" t="str">
        <f>IFERROR(IF(FcCheckProy=FALSE,INDEX(Venta!FcDetalle,MATCH(CONCATENATE(A47,"CAP"),Venta!FcClave,0),FcInicioVtaAnual+4),INDEX(Venta!FcDetalle,MATCH(CONCATENATE(A47,"CAP"),Venta!FcClave,0),FcInicioVtaAnual+5)),"")</f>
        <v/>
      </c>
      <c r="V47" s="242"/>
    </row>
    <row r="48" spans="1:22" ht="12" hidden="1" customHeight="1" outlineLevel="1" x14ac:dyDescent="0.2">
      <c r="A48" s="43" t="str">
        <f>IF($G$10="-","",$G$10)</f>
        <v/>
      </c>
      <c r="B48" s="98" t="str">
        <f>IFERROR(INDEX(Maestro!FcDetalle,MATCH(A48,Maestro!FcClave,0),5),"")</f>
        <v/>
      </c>
      <c r="C48" s="111" t="str">
        <f>IFERROR(INDEX(Venta!FcDetalle,MATCH(CONCATENATE(A48,"CAP"),Venta!FcClave,0),FcInicioVtaMes+0),"")</f>
        <v/>
      </c>
      <c r="D48" s="111" t="str">
        <f>IFERROR(INDEX(Venta!FcDetalle,MATCH(CONCATENATE(A48,"CAP"),Venta!FcClave,0),FcInicioVtaMes+1),"")</f>
        <v/>
      </c>
      <c r="E48" s="111" t="str">
        <f>IFERROR(INDEX(Venta!FcDetalle,MATCH(CONCATENATE(A48,"CAP"),Venta!FcClave,0),FcInicioVtaMes+2),"")</f>
        <v/>
      </c>
      <c r="F48" s="111" t="str">
        <f>IFERROR(INDEX(Venta!FcDetalle,MATCH(CONCATENATE(A48,"CAP"),Venta!FcClave,0),FcInicioVtaMes+3),"")</f>
        <v/>
      </c>
      <c r="G48" s="111" t="str">
        <f>IFERROR(INDEX(Venta!FcDetalle,MATCH(CONCATENATE(A48,"CAP"),Venta!FcClave,0),FcInicioVtaMes+4),"")</f>
        <v/>
      </c>
      <c r="H48" s="111" t="str">
        <f>IFERROR(INDEX(Venta!FcDetalle,MATCH(CONCATENATE(A48,"CAP"),Venta!FcClave,0),FcInicioVtaMes+5),"")</f>
        <v/>
      </c>
      <c r="I48" s="111" t="str">
        <f>IFERROR(INDEX(Venta!FcDetalle,MATCH(CONCATENATE(A48,"CAP"),Venta!FcClave,0),FcInicioVtaMes+6),"")</f>
        <v/>
      </c>
      <c r="J48" s="111" t="str">
        <f>IFERROR(INDEX(Venta!FcDetalle,MATCH(CONCATENATE(A48,"CAP"),Venta!FcClave,0),FcInicioVtaMes+7),"")</f>
        <v/>
      </c>
      <c r="K48" s="111" t="str">
        <f>IFERROR(INDEX(Venta!FcDetalle,MATCH(CONCATENATE(A48,"CAP"),Venta!FcClave,0),FcInicioVtaMes+8),"")</f>
        <v/>
      </c>
      <c r="L48" s="111" t="str">
        <f>IFERROR(INDEX(Venta!FcDetalle,MATCH(CONCATENATE(A48,"CAP"),Venta!FcClave,0),FcInicioVtaMes+9),"")</f>
        <v/>
      </c>
      <c r="M48" s="111" t="str">
        <f>IFERROR(INDEX(Venta!FcDetalle,MATCH(CONCATENATE(A48,"CAP"),Venta!FcClave,0),FcInicioVtaMes+10),"")</f>
        <v/>
      </c>
      <c r="N48" s="111" t="str">
        <f>IFERROR(INDEX(Venta!FcDetalle,MATCH(CONCATENATE(A48,"CAP"),Venta!FcClave,0),FcInicioVtaMes+11),"")</f>
        <v/>
      </c>
      <c r="O48" s="112" t="str">
        <f>IFERROR(INDEX(Venta!FcDetalle,MATCH(CONCATENATE(A48,"CAP"),Venta!FcClave,0),FcInicioVtaMes+12),"")</f>
        <v/>
      </c>
      <c r="P48" s="6"/>
      <c r="Q48" s="142" t="str">
        <f>IFERROR(INDEX(Venta!FcDetalle,MATCH(CONCATENATE(A48,"CAP"),Venta!FcClave,0),FcInicioVtaAnual+0),"")</f>
        <v/>
      </c>
      <c r="R48" s="63" t="str">
        <f>IFERROR(INDEX(Venta!FcDetalle,MATCH(CONCATENATE(A48,"CAP"),Venta!FcClave,0),FcInicioVtaAnual+1),"")</f>
        <v/>
      </c>
      <c r="S48" s="63" t="str">
        <f>IFERROR(INDEX(Venta!FcDetalle,MATCH(CONCATENATE(A48,"CAP"),Venta!FcClave,0),FcInicioVtaAnual+2),"")</f>
        <v/>
      </c>
      <c r="T48" s="63" t="str">
        <f>IFERROR(INDEX(Venta!FcDetalle,MATCH(CONCATENATE(A48,"CAP"),Venta!FcClave,0),FcInicioVtaAnual+3),"")</f>
        <v/>
      </c>
      <c r="U48" s="64" t="str">
        <f>IFERROR(IF(FcCheckProy=FALSE,INDEX(Venta!FcDetalle,MATCH(CONCATENATE(A48,"CAP"),Venta!FcClave,0),FcInicioVtaAnual+4),INDEX(Venta!FcDetalle,MATCH(CONCATENATE(A48,"CAP"),Venta!FcClave,0),FcInicioVtaAnual+5)),"")</f>
        <v/>
      </c>
      <c r="V48" s="242"/>
    </row>
    <row r="49" spans="1:22" ht="12" hidden="1" customHeight="1" outlineLevel="1" x14ac:dyDescent="0.2">
      <c r="A49" s="43" t="str">
        <f>IF($H$10="-","",$H$10)</f>
        <v/>
      </c>
      <c r="B49" s="98" t="str">
        <f>IFERROR(INDEX(Maestro!FcDetalle,MATCH(A49,Maestro!FcClave,0),5),"")</f>
        <v/>
      </c>
      <c r="C49" s="111" t="str">
        <f>IFERROR(INDEX(Venta!FcDetalle,MATCH(CONCATENATE(A49,"CAP"),Venta!FcClave,0),FcInicioVtaMes+0),"")</f>
        <v/>
      </c>
      <c r="D49" s="111" t="str">
        <f>IFERROR(INDEX(Venta!FcDetalle,MATCH(CONCATENATE(A49,"CAP"),Venta!FcClave,0),FcInicioVtaMes+1),"")</f>
        <v/>
      </c>
      <c r="E49" s="111" t="str">
        <f>IFERROR(INDEX(Venta!FcDetalle,MATCH(CONCATENATE(A49,"CAP"),Venta!FcClave,0),FcInicioVtaMes+2),"")</f>
        <v/>
      </c>
      <c r="F49" s="111" t="str">
        <f>IFERROR(INDEX(Venta!FcDetalle,MATCH(CONCATENATE(A49,"CAP"),Venta!FcClave,0),FcInicioVtaMes+3),"")</f>
        <v/>
      </c>
      <c r="G49" s="111" t="str">
        <f>IFERROR(INDEX(Venta!FcDetalle,MATCH(CONCATENATE(A49,"CAP"),Venta!FcClave,0),FcInicioVtaMes+4),"")</f>
        <v/>
      </c>
      <c r="H49" s="111" t="str">
        <f>IFERROR(INDEX(Venta!FcDetalle,MATCH(CONCATENATE(A49,"CAP"),Venta!FcClave,0),FcInicioVtaMes+5),"")</f>
        <v/>
      </c>
      <c r="I49" s="111" t="str">
        <f>IFERROR(INDEX(Venta!FcDetalle,MATCH(CONCATENATE(A49,"CAP"),Venta!FcClave,0),FcInicioVtaMes+6),"")</f>
        <v/>
      </c>
      <c r="J49" s="111" t="str">
        <f>IFERROR(INDEX(Venta!FcDetalle,MATCH(CONCATENATE(A49,"CAP"),Venta!FcClave,0),FcInicioVtaMes+7),"")</f>
        <v/>
      </c>
      <c r="K49" s="111" t="str">
        <f>IFERROR(INDEX(Venta!FcDetalle,MATCH(CONCATENATE(A49,"CAP"),Venta!FcClave,0),FcInicioVtaMes+8),"")</f>
        <v/>
      </c>
      <c r="L49" s="111" t="str">
        <f>IFERROR(INDEX(Venta!FcDetalle,MATCH(CONCATENATE(A49,"CAP"),Venta!FcClave,0),FcInicioVtaMes+9),"")</f>
        <v/>
      </c>
      <c r="M49" s="111" t="str">
        <f>IFERROR(INDEX(Venta!FcDetalle,MATCH(CONCATENATE(A49,"CAP"),Venta!FcClave,0),FcInicioVtaMes+10),"")</f>
        <v/>
      </c>
      <c r="N49" s="111" t="str">
        <f>IFERROR(INDEX(Venta!FcDetalle,MATCH(CONCATENATE(A49,"CAP"),Venta!FcClave,0),FcInicioVtaMes+11),"")</f>
        <v/>
      </c>
      <c r="O49" s="112" t="str">
        <f>IFERROR(INDEX(Venta!FcDetalle,MATCH(CONCATENATE(A49,"CAP"),Venta!FcClave,0),FcInicioVtaMes+12),"")</f>
        <v/>
      </c>
      <c r="P49" s="6"/>
      <c r="Q49" s="142" t="str">
        <f>IFERROR(INDEX(Venta!FcDetalle,MATCH(CONCATENATE(A49,"CAP"),Venta!FcClave,0),FcInicioVtaAnual+0),"")</f>
        <v/>
      </c>
      <c r="R49" s="63" t="str">
        <f>IFERROR(INDEX(Venta!FcDetalle,MATCH(CONCATENATE(A49,"CAP"),Venta!FcClave,0),FcInicioVtaAnual+1),"")</f>
        <v/>
      </c>
      <c r="S49" s="63" t="str">
        <f>IFERROR(INDEX(Venta!FcDetalle,MATCH(CONCATENATE(A49,"CAP"),Venta!FcClave,0),FcInicioVtaAnual+2),"")</f>
        <v/>
      </c>
      <c r="T49" s="63" t="str">
        <f>IFERROR(INDEX(Venta!FcDetalle,MATCH(CONCATENATE(A49,"CAP"),Venta!FcClave,0),FcInicioVtaAnual+3),"")</f>
        <v/>
      </c>
      <c r="U49" s="64" t="str">
        <f>IFERROR(IF(FcCheckProy=FALSE,INDEX(Venta!FcDetalle,MATCH(CONCATENATE(A49,"CAP"),Venta!FcClave,0),FcInicioVtaAnual+4),INDEX(Venta!FcDetalle,MATCH(CONCATENATE(A49,"CAP"),Venta!FcClave,0),FcInicioVtaAnual+5)),"")</f>
        <v/>
      </c>
      <c r="V49" s="242"/>
    </row>
    <row r="50" spans="1:22" ht="12" hidden="1" customHeight="1" outlineLevel="1" x14ac:dyDescent="0.2">
      <c r="A50" s="43" t="str">
        <f>IF($I$10="-","",$I$10)</f>
        <v/>
      </c>
      <c r="B50" s="98" t="str">
        <f>IFERROR(INDEX(Maestro!FcDetalle,MATCH(A50,Maestro!FcClave,0),5),"")</f>
        <v/>
      </c>
      <c r="C50" s="111" t="str">
        <f>IFERROR(INDEX(Venta!FcDetalle,MATCH(CONCATENATE(A50,"CAP"),Venta!FcClave,0),FcInicioVtaMes+0),"")</f>
        <v/>
      </c>
      <c r="D50" s="111" t="str">
        <f>IFERROR(INDEX(Venta!FcDetalle,MATCH(CONCATENATE(A50,"CAP"),Venta!FcClave,0),FcInicioVtaMes+1),"")</f>
        <v/>
      </c>
      <c r="E50" s="111" t="str">
        <f>IFERROR(INDEX(Venta!FcDetalle,MATCH(CONCATENATE(A50,"CAP"),Venta!FcClave,0),FcInicioVtaMes+2),"")</f>
        <v/>
      </c>
      <c r="F50" s="111" t="str">
        <f>IFERROR(INDEX(Venta!FcDetalle,MATCH(CONCATENATE(A50,"CAP"),Venta!FcClave,0),FcInicioVtaMes+3),"")</f>
        <v/>
      </c>
      <c r="G50" s="111" t="str">
        <f>IFERROR(INDEX(Venta!FcDetalle,MATCH(CONCATENATE(A50,"CAP"),Venta!FcClave,0),FcInicioVtaMes+4),"")</f>
        <v/>
      </c>
      <c r="H50" s="111" t="str">
        <f>IFERROR(INDEX(Venta!FcDetalle,MATCH(CONCATENATE(A50,"CAP"),Venta!FcClave,0),FcInicioVtaMes+5),"")</f>
        <v/>
      </c>
      <c r="I50" s="111" t="str">
        <f>IFERROR(INDEX(Venta!FcDetalle,MATCH(CONCATENATE(A50,"CAP"),Venta!FcClave,0),FcInicioVtaMes+6),"")</f>
        <v/>
      </c>
      <c r="J50" s="111" t="str">
        <f>IFERROR(INDEX(Venta!FcDetalle,MATCH(CONCATENATE(A50,"CAP"),Venta!FcClave,0),FcInicioVtaMes+7),"")</f>
        <v/>
      </c>
      <c r="K50" s="111" t="str">
        <f>IFERROR(INDEX(Venta!FcDetalle,MATCH(CONCATENATE(A50,"CAP"),Venta!FcClave,0),FcInicioVtaMes+8),"")</f>
        <v/>
      </c>
      <c r="L50" s="111" t="str">
        <f>IFERROR(INDEX(Venta!FcDetalle,MATCH(CONCATENATE(A50,"CAP"),Venta!FcClave,0),FcInicioVtaMes+9),"")</f>
        <v/>
      </c>
      <c r="M50" s="111" t="str">
        <f>IFERROR(INDEX(Venta!FcDetalle,MATCH(CONCATENATE(A50,"CAP"),Venta!FcClave,0),FcInicioVtaMes+10),"")</f>
        <v/>
      </c>
      <c r="N50" s="111" t="str">
        <f>IFERROR(INDEX(Venta!FcDetalle,MATCH(CONCATENATE(A50,"CAP"),Venta!FcClave,0),FcInicioVtaMes+11),"")</f>
        <v/>
      </c>
      <c r="O50" s="112" t="str">
        <f>IFERROR(INDEX(Venta!FcDetalle,MATCH(CONCATENATE(A50,"CAP"),Venta!FcClave,0),FcInicioVtaMes+12),"")</f>
        <v/>
      </c>
      <c r="P50" s="6"/>
      <c r="Q50" s="142" t="str">
        <f>IFERROR(INDEX(Venta!FcDetalle,MATCH(CONCATENATE(A50,"CAP"),Venta!FcClave,0),FcInicioVtaAnual+0),"")</f>
        <v/>
      </c>
      <c r="R50" s="63" t="str">
        <f>IFERROR(INDEX(Venta!FcDetalle,MATCH(CONCATENATE(A50,"CAP"),Venta!FcClave,0),FcInicioVtaAnual+1),"")</f>
        <v/>
      </c>
      <c r="S50" s="63" t="str">
        <f>IFERROR(INDEX(Venta!FcDetalle,MATCH(CONCATENATE(A50,"CAP"),Venta!FcClave,0),FcInicioVtaAnual+2),"")</f>
        <v/>
      </c>
      <c r="T50" s="63" t="str">
        <f>IFERROR(INDEX(Venta!FcDetalle,MATCH(CONCATENATE(A50,"CAP"),Venta!FcClave,0),FcInicioVtaAnual+3),"")</f>
        <v/>
      </c>
      <c r="U50" s="64" t="str">
        <f>IFERROR(IF(FcCheckProy=FALSE,INDEX(Venta!FcDetalle,MATCH(CONCATENATE(A50,"CAP"),Venta!FcClave,0),FcInicioVtaAnual+4),INDEX(Venta!FcDetalle,MATCH(CONCATENATE(A50,"CAP"),Venta!FcClave,0),FcInicioVtaAnual+5)),"")</f>
        <v/>
      </c>
      <c r="V50" s="242"/>
    </row>
    <row r="51" spans="1:22" ht="12" hidden="1" customHeight="1" outlineLevel="1" x14ac:dyDescent="0.2">
      <c r="A51" s="43" t="str">
        <f>IF($J$10="-","",$J$10)</f>
        <v/>
      </c>
      <c r="B51" s="98" t="str">
        <f>IFERROR(INDEX(Maestro!FcDetalle,MATCH(A51,Maestro!FcClave,0),5),"")</f>
        <v/>
      </c>
      <c r="C51" s="111" t="str">
        <f>IFERROR(INDEX(Venta!FcDetalle,MATCH(CONCATENATE(A51,"CAP"),Venta!FcClave,0),FcInicioVtaMes+0),"")</f>
        <v/>
      </c>
      <c r="D51" s="111" t="str">
        <f>IFERROR(INDEX(Venta!FcDetalle,MATCH(CONCATENATE(A51,"CAP"),Venta!FcClave,0),FcInicioVtaMes+1),"")</f>
        <v/>
      </c>
      <c r="E51" s="111" t="str">
        <f>IFERROR(INDEX(Venta!FcDetalle,MATCH(CONCATENATE(A51,"CAP"),Venta!FcClave,0),FcInicioVtaMes+2),"")</f>
        <v/>
      </c>
      <c r="F51" s="111" t="str">
        <f>IFERROR(INDEX(Venta!FcDetalle,MATCH(CONCATENATE(A51,"CAP"),Venta!FcClave,0),FcInicioVtaMes+3),"")</f>
        <v/>
      </c>
      <c r="G51" s="111" t="str">
        <f>IFERROR(INDEX(Venta!FcDetalle,MATCH(CONCATENATE(A51,"CAP"),Venta!FcClave,0),FcInicioVtaMes+4),"")</f>
        <v/>
      </c>
      <c r="H51" s="111" t="str">
        <f>IFERROR(INDEX(Venta!FcDetalle,MATCH(CONCATENATE(A51,"CAP"),Venta!FcClave,0),FcInicioVtaMes+5),"")</f>
        <v/>
      </c>
      <c r="I51" s="111" t="str">
        <f>IFERROR(INDEX(Venta!FcDetalle,MATCH(CONCATENATE(A51,"CAP"),Venta!FcClave,0),FcInicioVtaMes+6),"")</f>
        <v/>
      </c>
      <c r="J51" s="111" t="str">
        <f>IFERROR(INDEX(Venta!FcDetalle,MATCH(CONCATENATE(A51,"CAP"),Venta!FcClave,0),FcInicioVtaMes+7),"")</f>
        <v/>
      </c>
      <c r="K51" s="111" t="str">
        <f>IFERROR(INDEX(Venta!FcDetalle,MATCH(CONCATENATE(A51,"CAP"),Venta!FcClave,0),FcInicioVtaMes+8),"")</f>
        <v/>
      </c>
      <c r="L51" s="111" t="str">
        <f>IFERROR(INDEX(Venta!FcDetalle,MATCH(CONCATENATE(A51,"CAP"),Venta!FcClave,0),FcInicioVtaMes+9),"")</f>
        <v/>
      </c>
      <c r="M51" s="111" t="str">
        <f>IFERROR(INDEX(Venta!FcDetalle,MATCH(CONCATENATE(A51,"CAP"),Venta!FcClave,0),FcInicioVtaMes+10),"")</f>
        <v/>
      </c>
      <c r="N51" s="111" t="str">
        <f>IFERROR(INDEX(Venta!FcDetalle,MATCH(CONCATENATE(A51,"CAP"),Venta!FcClave,0),FcInicioVtaMes+11),"")</f>
        <v/>
      </c>
      <c r="O51" s="112" t="str">
        <f>IFERROR(INDEX(Venta!FcDetalle,MATCH(CONCATENATE(A51,"CAP"),Venta!FcClave,0),FcInicioVtaMes+12),"")</f>
        <v/>
      </c>
      <c r="P51" s="6"/>
      <c r="Q51" s="142" t="str">
        <f>IFERROR(INDEX(Venta!FcDetalle,MATCH(CONCATENATE(A51,"CAP"),Venta!FcClave,0),FcInicioVtaAnual+0),"")</f>
        <v/>
      </c>
      <c r="R51" s="63" t="str">
        <f>IFERROR(INDEX(Venta!FcDetalle,MATCH(CONCATENATE(A51,"CAP"),Venta!FcClave,0),FcInicioVtaAnual+1),"")</f>
        <v/>
      </c>
      <c r="S51" s="63" t="str">
        <f>IFERROR(INDEX(Venta!FcDetalle,MATCH(CONCATENATE(A51,"CAP"),Venta!FcClave,0),FcInicioVtaAnual+2),"")</f>
        <v/>
      </c>
      <c r="T51" s="63" t="str">
        <f>IFERROR(INDEX(Venta!FcDetalle,MATCH(CONCATENATE(A51,"CAP"),Venta!FcClave,0),FcInicioVtaAnual+3),"")</f>
        <v/>
      </c>
      <c r="U51" s="64" t="str">
        <f>IFERROR(IF(FcCheckProy=FALSE,INDEX(Venta!FcDetalle,MATCH(CONCATENATE(A51,"CAP"),Venta!FcClave,0),FcInicioVtaAnual+4),INDEX(Venta!FcDetalle,MATCH(CONCATENATE(A51,"CAP"),Venta!FcClave,0),FcInicioVtaAnual+5)),"")</f>
        <v/>
      </c>
      <c r="V51" s="242"/>
    </row>
    <row r="52" spans="1:22" ht="12" hidden="1" customHeight="1" outlineLevel="1" x14ac:dyDescent="0.2">
      <c r="A52" s="43" t="str">
        <f>IF($K$10="-","",$K$10)</f>
        <v/>
      </c>
      <c r="B52" s="98" t="str">
        <f>IFERROR(INDEX(Maestro!FcDetalle,MATCH(A52,Maestro!FcClave,0),5),"")</f>
        <v/>
      </c>
      <c r="C52" s="111" t="str">
        <f>IFERROR(INDEX(Venta!FcDetalle,MATCH(CONCATENATE(A52,"CAP"),Venta!FcClave,0),FcInicioVtaMes+0),"")</f>
        <v/>
      </c>
      <c r="D52" s="111" t="str">
        <f>IFERROR(INDEX(Venta!FcDetalle,MATCH(CONCATENATE(A52,"CAP"),Venta!FcClave,0),FcInicioVtaMes+1),"")</f>
        <v/>
      </c>
      <c r="E52" s="111" t="str">
        <f>IFERROR(INDEX(Venta!FcDetalle,MATCH(CONCATENATE(A52,"CAP"),Venta!FcClave,0),FcInicioVtaMes+2),"")</f>
        <v/>
      </c>
      <c r="F52" s="111" t="str">
        <f>IFERROR(INDEX(Venta!FcDetalle,MATCH(CONCATENATE(A52,"CAP"),Venta!FcClave,0),FcInicioVtaMes+3),"")</f>
        <v/>
      </c>
      <c r="G52" s="111" t="str">
        <f>IFERROR(INDEX(Venta!FcDetalle,MATCH(CONCATENATE(A52,"CAP"),Venta!FcClave,0),FcInicioVtaMes+4),"")</f>
        <v/>
      </c>
      <c r="H52" s="111" t="str">
        <f>IFERROR(INDEX(Venta!FcDetalle,MATCH(CONCATENATE(A52,"CAP"),Venta!FcClave,0),FcInicioVtaMes+5),"")</f>
        <v/>
      </c>
      <c r="I52" s="111" t="str">
        <f>IFERROR(INDEX(Venta!FcDetalle,MATCH(CONCATENATE(A52,"CAP"),Venta!FcClave,0),FcInicioVtaMes+6),"")</f>
        <v/>
      </c>
      <c r="J52" s="111" t="str">
        <f>IFERROR(INDEX(Venta!FcDetalle,MATCH(CONCATENATE(A52,"CAP"),Venta!FcClave,0),FcInicioVtaMes+7),"")</f>
        <v/>
      </c>
      <c r="K52" s="111" t="str">
        <f>IFERROR(INDEX(Venta!FcDetalle,MATCH(CONCATENATE(A52,"CAP"),Venta!FcClave,0),FcInicioVtaMes+8),"")</f>
        <v/>
      </c>
      <c r="L52" s="111" t="str">
        <f>IFERROR(INDEX(Venta!FcDetalle,MATCH(CONCATENATE(A52,"CAP"),Venta!FcClave,0),FcInicioVtaMes+9),"")</f>
        <v/>
      </c>
      <c r="M52" s="111" t="str">
        <f>IFERROR(INDEX(Venta!FcDetalle,MATCH(CONCATENATE(A52,"CAP"),Venta!FcClave,0),FcInicioVtaMes+10),"")</f>
        <v/>
      </c>
      <c r="N52" s="111" t="str">
        <f>IFERROR(INDEX(Venta!FcDetalle,MATCH(CONCATENATE(A52,"CAP"),Venta!FcClave,0),FcInicioVtaMes+11),"")</f>
        <v/>
      </c>
      <c r="O52" s="112" t="str">
        <f>IFERROR(INDEX(Venta!FcDetalle,MATCH(CONCATENATE(A52,"CAP"),Venta!FcClave,0),FcInicioVtaMes+12),"")</f>
        <v/>
      </c>
      <c r="P52" s="6"/>
      <c r="Q52" s="142" t="str">
        <f>IFERROR(INDEX(Venta!FcDetalle,MATCH(CONCATENATE(A52,"CAP"),Venta!FcClave,0),FcInicioVtaAnual+0),"")</f>
        <v/>
      </c>
      <c r="R52" s="63" t="str">
        <f>IFERROR(INDEX(Venta!FcDetalle,MATCH(CONCATENATE(A52,"CAP"),Venta!FcClave,0),FcInicioVtaAnual+1),"")</f>
        <v/>
      </c>
      <c r="S52" s="63" t="str">
        <f>IFERROR(INDEX(Venta!FcDetalle,MATCH(CONCATENATE(A52,"CAP"),Venta!FcClave,0),FcInicioVtaAnual+2),"")</f>
        <v/>
      </c>
      <c r="T52" s="63" t="str">
        <f>IFERROR(INDEX(Venta!FcDetalle,MATCH(CONCATENATE(A52,"CAP"),Venta!FcClave,0),FcInicioVtaAnual+3),"")</f>
        <v/>
      </c>
      <c r="U52" s="64" t="str">
        <f>IFERROR(IF(FcCheckProy=FALSE,INDEX(Venta!FcDetalle,MATCH(CONCATENATE(A52,"CAP"),Venta!FcClave,0),FcInicioVtaAnual+4),INDEX(Venta!FcDetalle,MATCH(CONCATENATE(A52,"CAP"),Venta!FcClave,0),FcInicioVtaAnual+5)),"")</f>
        <v/>
      </c>
      <c r="V52" s="242"/>
    </row>
    <row r="53" spans="1:22" ht="12" hidden="1" customHeight="1" outlineLevel="1" x14ac:dyDescent="0.2">
      <c r="A53" s="43" t="str">
        <f>IF($I$9="-","",$I$9)</f>
        <v/>
      </c>
      <c r="B53" s="98" t="str">
        <f>IFERROR(INDEX(Maestro!FcDetalle,MATCH(A53,Maestro!FcClave,0),5),"")</f>
        <v/>
      </c>
      <c r="C53" s="111" t="str">
        <f>IFERROR(INDEX(Venta!FcDetalle,MATCH(CONCATENATE(A53,"CAP"),Venta!FcClave,0),FcInicioVtaMes+0),"")</f>
        <v/>
      </c>
      <c r="D53" s="111" t="str">
        <f>IFERROR(INDEX(Venta!FcDetalle,MATCH(CONCATENATE(A53,"CAP"),Venta!FcClave,0),FcInicioVtaMes+1),"")</f>
        <v/>
      </c>
      <c r="E53" s="111" t="str">
        <f>IFERROR(INDEX(Venta!FcDetalle,MATCH(CONCATENATE(A53,"CAP"),Venta!FcClave,0),FcInicioVtaMes+2),"")</f>
        <v/>
      </c>
      <c r="F53" s="111" t="str">
        <f>IFERROR(INDEX(Venta!FcDetalle,MATCH(CONCATENATE(A53,"CAP"),Venta!FcClave,0),FcInicioVtaMes+3),"")</f>
        <v/>
      </c>
      <c r="G53" s="111" t="str">
        <f>IFERROR(INDEX(Venta!FcDetalle,MATCH(CONCATENATE(A53,"CAP"),Venta!FcClave,0),FcInicioVtaMes+4),"")</f>
        <v/>
      </c>
      <c r="H53" s="111" t="str">
        <f>IFERROR(INDEX(Venta!FcDetalle,MATCH(CONCATENATE(A53,"CAP"),Venta!FcClave,0),FcInicioVtaMes+5),"")</f>
        <v/>
      </c>
      <c r="I53" s="111" t="str">
        <f>IFERROR(INDEX(Venta!FcDetalle,MATCH(CONCATENATE(A53,"CAP"),Venta!FcClave,0),FcInicioVtaMes+6),"")</f>
        <v/>
      </c>
      <c r="J53" s="111" t="str">
        <f>IFERROR(INDEX(Venta!FcDetalle,MATCH(CONCATENATE(A53,"CAP"),Venta!FcClave,0),FcInicioVtaMes+7),"")</f>
        <v/>
      </c>
      <c r="K53" s="111" t="str">
        <f>IFERROR(INDEX(Venta!FcDetalle,MATCH(CONCATENATE(A53,"CAP"),Venta!FcClave,0),FcInicioVtaMes+8),"")</f>
        <v/>
      </c>
      <c r="L53" s="111" t="str">
        <f>IFERROR(INDEX(Venta!FcDetalle,MATCH(CONCATENATE(A53,"CAP"),Venta!FcClave,0),FcInicioVtaMes+9),"")</f>
        <v/>
      </c>
      <c r="M53" s="111" t="str">
        <f>IFERROR(INDEX(Venta!FcDetalle,MATCH(CONCATENATE(A53,"CAP"),Venta!FcClave,0),FcInicioVtaMes+10),"")</f>
        <v/>
      </c>
      <c r="N53" s="111" t="str">
        <f>IFERROR(INDEX(Venta!FcDetalle,MATCH(CONCATENATE(A53,"CAP"),Venta!FcClave,0),FcInicioVtaMes+11),"")</f>
        <v/>
      </c>
      <c r="O53" s="112" t="str">
        <f>IFERROR(INDEX(Venta!FcDetalle,MATCH(CONCATENATE(A53,"CAP"),Venta!FcClave,0),FcInicioVtaMes+12),"")</f>
        <v/>
      </c>
      <c r="P53" s="6"/>
      <c r="Q53" s="142" t="str">
        <f>IFERROR(INDEX(Venta!FcDetalle,MATCH(CONCATENATE(A53,"CAP"),Venta!FcClave,0),FcInicioVtaAnual+0),"")</f>
        <v/>
      </c>
      <c r="R53" s="63" t="str">
        <f>IFERROR(INDEX(Venta!FcDetalle,MATCH(CONCATENATE(A53,"CAP"),Venta!FcClave,0),FcInicioVtaAnual+1),"")</f>
        <v/>
      </c>
      <c r="S53" s="63" t="str">
        <f>IFERROR(INDEX(Venta!FcDetalle,MATCH(CONCATENATE(A53,"CAP"),Venta!FcClave,0),FcInicioVtaAnual+2),"")</f>
        <v/>
      </c>
      <c r="T53" s="63" t="str">
        <f>IFERROR(INDEX(Venta!FcDetalle,MATCH(CONCATENATE(A53,"CAP"),Venta!FcClave,0),FcInicioVtaAnual+3),"")</f>
        <v/>
      </c>
      <c r="U53" s="64" t="str">
        <f>IFERROR(IF(FcCheckProy=FALSE,INDEX(Venta!FcDetalle,MATCH(CONCATENATE(A53,"CAP"),Venta!FcClave,0),FcInicioVtaAnual+4),INDEX(Venta!FcDetalle,MATCH(CONCATENATE(A53,"CAP"),Venta!FcClave,0),FcInicioVtaAnual+5)),"")</f>
        <v/>
      </c>
      <c r="V53" s="242"/>
    </row>
    <row r="54" spans="1:22" ht="12" hidden="1" customHeight="1" outlineLevel="1" x14ac:dyDescent="0.2">
      <c r="A54" s="43" t="str">
        <f>IF($J$9="-","",$J$9)</f>
        <v/>
      </c>
      <c r="B54" s="98" t="str">
        <f>IFERROR(INDEX(Maestro!FcDetalle,MATCH(A54,Maestro!FcClave,0),5),"")</f>
        <v/>
      </c>
      <c r="C54" s="111" t="str">
        <f>IFERROR(INDEX(Venta!FcDetalle,MATCH(CONCATENATE(A54,"CAP"),Venta!FcClave,0),FcInicioVtaMes+0),"")</f>
        <v/>
      </c>
      <c r="D54" s="111" t="str">
        <f>IFERROR(INDEX(Venta!FcDetalle,MATCH(CONCATENATE(A54,"CAP"),Venta!FcClave,0),FcInicioVtaMes+1),"")</f>
        <v/>
      </c>
      <c r="E54" s="111" t="str">
        <f>IFERROR(INDEX(Venta!FcDetalle,MATCH(CONCATENATE(A54,"CAP"),Venta!FcClave,0),FcInicioVtaMes+2),"")</f>
        <v/>
      </c>
      <c r="F54" s="111" t="str">
        <f>IFERROR(INDEX(Venta!FcDetalle,MATCH(CONCATENATE(A54,"CAP"),Venta!FcClave,0),FcInicioVtaMes+3),"")</f>
        <v/>
      </c>
      <c r="G54" s="111" t="str">
        <f>IFERROR(INDEX(Venta!FcDetalle,MATCH(CONCATENATE(A54,"CAP"),Venta!FcClave,0),FcInicioVtaMes+4),"")</f>
        <v/>
      </c>
      <c r="H54" s="111" t="str">
        <f>IFERROR(INDEX(Venta!FcDetalle,MATCH(CONCATENATE(A54,"CAP"),Venta!FcClave,0),FcInicioVtaMes+5),"")</f>
        <v/>
      </c>
      <c r="I54" s="111" t="str">
        <f>IFERROR(INDEX(Venta!FcDetalle,MATCH(CONCATENATE(A54,"CAP"),Venta!FcClave,0),FcInicioVtaMes+6),"")</f>
        <v/>
      </c>
      <c r="J54" s="111" t="str">
        <f>IFERROR(INDEX(Venta!FcDetalle,MATCH(CONCATENATE(A54,"CAP"),Venta!FcClave,0),FcInicioVtaMes+7),"")</f>
        <v/>
      </c>
      <c r="K54" s="111" t="str">
        <f>IFERROR(INDEX(Venta!FcDetalle,MATCH(CONCATENATE(A54,"CAP"),Venta!FcClave,0),FcInicioVtaMes+8),"")</f>
        <v/>
      </c>
      <c r="L54" s="111" t="str">
        <f>IFERROR(INDEX(Venta!FcDetalle,MATCH(CONCATENATE(A54,"CAP"),Venta!FcClave,0),FcInicioVtaMes+9),"")</f>
        <v/>
      </c>
      <c r="M54" s="111" t="str">
        <f>IFERROR(INDEX(Venta!FcDetalle,MATCH(CONCATENATE(A54,"CAP"),Venta!FcClave,0),FcInicioVtaMes+10),"")</f>
        <v/>
      </c>
      <c r="N54" s="111" t="str">
        <f>IFERROR(INDEX(Venta!FcDetalle,MATCH(CONCATENATE(A54,"CAP"),Venta!FcClave,0),FcInicioVtaMes+11),"")</f>
        <v/>
      </c>
      <c r="O54" s="112" t="str">
        <f>IFERROR(INDEX(Venta!FcDetalle,MATCH(CONCATENATE(A54,"CAP"),Venta!FcClave,0),FcInicioVtaMes+12),"")</f>
        <v/>
      </c>
      <c r="P54" s="6"/>
      <c r="Q54" s="142" t="str">
        <f>IFERROR(INDEX(Venta!FcDetalle,MATCH(CONCATENATE(A54,"CAP"),Venta!FcClave,0),FcInicioVtaAnual+0),"")</f>
        <v/>
      </c>
      <c r="R54" s="63" t="str">
        <f>IFERROR(INDEX(Venta!FcDetalle,MATCH(CONCATENATE(A54,"CAP"),Venta!FcClave,0),FcInicioVtaAnual+1),"")</f>
        <v/>
      </c>
      <c r="S54" s="63" t="str">
        <f>IFERROR(INDEX(Venta!FcDetalle,MATCH(CONCATENATE(A54,"CAP"),Venta!FcClave,0),FcInicioVtaAnual+2),"")</f>
        <v/>
      </c>
      <c r="T54" s="63" t="str">
        <f>IFERROR(INDEX(Venta!FcDetalle,MATCH(CONCATENATE(A54,"CAP"),Venta!FcClave,0),FcInicioVtaAnual+3),"")</f>
        <v/>
      </c>
      <c r="U54" s="64" t="str">
        <f>IFERROR(IF(FcCheckProy=FALSE,INDEX(Venta!FcDetalle,MATCH(CONCATENATE(A54,"CAP"),Venta!FcClave,0),FcInicioVtaAnual+4),INDEX(Venta!FcDetalle,MATCH(CONCATENATE(A54,"CAP"),Venta!FcClave,0),FcInicioVtaAnual+5)),"")</f>
        <v/>
      </c>
      <c r="V54" s="242"/>
    </row>
    <row r="55" spans="1:22" ht="12" hidden="1" customHeight="1" outlineLevel="1" thickBot="1" x14ac:dyDescent="0.25">
      <c r="A55" s="97" t="str">
        <f>IF($K$9="-","",$K$9)</f>
        <v/>
      </c>
      <c r="B55" s="98" t="str">
        <f>IFERROR(INDEX(Maestro!FcDetalle,MATCH(A55,Maestro!FcClave,0),5),"")</f>
        <v/>
      </c>
      <c r="C55" s="111" t="str">
        <f>IFERROR(INDEX(Venta!FcDetalle,MATCH(CONCATENATE(A55,"CAP"),Venta!FcClave,0),FcInicioVtaMes+0),"")</f>
        <v/>
      </c>
      <c r="D55" s="111" t="str">
        <f>IFERROR(INDEX(Venta!FcDetalle,MATCH(CONCATENATE(A55,"CAP"),Venta!FcClave,0),FcInicioVtaMes+1),"")</f>
        <v/>
      </c>
      <c r="E55" s="111" t="str">
        <f>IFERROR(INDEX(Venta!FcDetalle,MATCH(CONCATENATE(A55,"CAP"),Venta!FcClave,0),FcInicioVtaMes+2),"")</f>
        <v/>
      </c>
      <c r="F55" s="111" t="str">
        <f>IFERROR(INDEX(Venta!FcDetalle,MATCH(CONCATENATE(A55,"CAP"),Venta!FcClave,0),FcInicioVtaMes+3),"")</f>
        <v/>
      </c>
      <c r="G55" s="111" t="str">
        <f>IFERROR(INDEX(Venta!FcDetalle,MATCH(CONCATENATE(A55,"CAP"),Venta!FcClave,0),FcInicioVtaMes+4),"")</f>
        <v/>
      </c>
      <c r="H55" s="111" t="str">
        <f>IFERROR(INDEX(Venta!FcDetalle,MATCH(CONCATENATE(A55,"CAP"),Venta!FcClave,0),FcInicioVtaMes+5),"")</f>
        <v/>
      </c>
      <c r="I55" s="111" t="str">
        <f>IFERROR(INDEX(Venta!FcDetalle,MATCH(CONCATENATE(A55,"CAP"),Venta!FcClave,0),FcInicioVtaMes+6),"")</f>
        <v/>
      </c>
      <c r="J55" s="111" t="str">
        <f>IFERROR(INDEX(Venta!FcDetalle,MATCH(CONCATENATE(A55,"CAP"),Venta!FcClave,0),FcInicioVtaMes+7),"")</f>
        <v/>
      </c>
      <c r="K55" s="111" t="str">
        <f>IFERROR(INDEX(Venta!FcDetalle,MATCH(CONCATENATE(A55,"CAP"),Venta!FcClave,0),FcInicioVtaMes+8),"")</f>
        <v/>
      </c>
      <c r="L55" s="111" t="str">
        <f>IFERROR(INDEX(Venta!FcDetalle,MATCH(CONCATENATE(A55,"CAP"),Venta!FcClave,0),FcInicioVtaMes+9),"")</f>
        <v/>
      </c>
      <c r="M55" s="111" t="str">
        <f>IFERROR(INDEX(Venta!FcDetalle,MATCH(CONCATENATE(A55,"CAP"),Venta!FcClave,0),FcInicioVtaMes+10),"")</f>
        <v/>
      </c>
      <c r="N55" s="111" t="str">
        <f>IFERROR(INDEX(Venta!FcDetalle,MATCH(CONCATENATE(A55,"CAP"),Venta!FcClave,0),FcInicioVtaMes+11),"")</f>
        <v/>
      </c>
      <c r="O55" s="112" t="str">
        <f>IFERROR(INDEX(Venta!FcDetalle,MATCH(CONCATENATE(A55,"CAP"),Venta!FcClave,0),FcInicioVtaMes+12),"")</f>
        <v/>
      </c>
      <c r="P55" s="6"/>
      <c r="Q55" s="180" t="str">
        <f>IFERROR(INDEX(Venta!FcDetalle,MATCH(CONCATENATE(A55,"CAP"),Venta!FcClave,0),FcInicioVtaAnual+0),"")</f>
        <v/>
      </c>
      <c r="R55" s="181" t="str">
        <f>IFERROR(INDEX(Venta!FcDetalle,MATCH(CONCATENATE(A55,"CAP"),Venta!FcClave,0),FcInicioVtaAnual+1),"")</f>
        <v/>
      </c>
      <c r="S55" s="181" t="str">
        <f>IFERROR(INDEX(Venta!FcDetalle,MATCH(CONCATENATE(A55,"CAP"),Venta!FcClave,0),FcInicioVtaAnual+2),"")</f>
        <v/>
      </c>
      <c r="T55" s="181" t="str">
        <f>IFERROR(INDEX(Venta!FcDetalle,MATCH(CONCATENATE(A55,"CAP"),Venta!FcClave,0),FcInicioVtaAnual+3),"")</f>
        <v/>
      </c>
      <c r="U55" s="182" t="str">
        <f>IFERROR(IF(FcCheckProy=FALSE,INDEX(Venta!FcDetalle,MATCH(CONCATENATE(A55,"CAP"),Venta!FcClave,0),FcInicioVtaAnual+4),INDEX(Venta!FcDetalle,MATCH(CONCATENATE(A55,"CAP"),Venta!FcClave,0),FcInicioVtaAnual+5)),"")</f>
        <v/>
      </c>
      <c r="V55" s="242"/>
    </row>
    <row r="56" spans="1:22" ht="12" customHeight="1" collapsed="1" thickBot="1" x14ac:dyDescent="0.25">
      <c r="A56" s="154" t="s">
        <v>6</v>
      </c>
      <c r="B56" s="155"/>
      <c r="C56" s="156">
        <f t="shared" ref="C56:O56" si="4">SUM(C46:C55)</f>
        <v>0</v>
      </c>
      <c r="D56" s="156">
        <f t="shared" si="4"/>
        <v>0</v>
      </c>
      <c r="E56" s="156">
        <f t="shared" si="4"/>
        <v>0</v>
      </c>
      <c r="F56" s="156">
        <f t="shared" si="4"/>
        <v>0</v>
      </c>
      <c r="G56" s="156">
        <f t="shared" si="4"/>
        <v>0</v>
      </c>
      <c r="H56" s="156">
        <f t="shared" si="4"/>
        <v>0</v>
      </c>
      <c r="I56" s="156">
        <f t="shared" si="4"/>
        <v>0</v>
      </c>
      <c r="J56" s="156">
        <f t="shared" si="4"/>
        <v>0</v>
      </c>
      <c r="K56" s="156">
        <f t="shared" si="4"/>
        <v>0</v>
      </c>
      <c r="L56" s="156">
        <f t="shared" si="4"/>
        <v>0</v>
      </c>
      <c r="M56" s="156">
        <f t="shared" si="4"/>
        <v>0</v>
      </c>
      <c r="N56" s="156">
        <f t="shared" si="4"/>
        <v>0</v>
      </c>
      <c r="O56" s="157">
        <f t="shared" si="4"/>
        <v>0</v>
      </c>
      <c r="P56" s="6"/>
      <c r="Q56" s="189">
        <f>SUM(Q46:Q55)</f>
        <v>0</v>
      </c>
      <c r="R56" s="190">
        <f>SUM(R46:R55)</f>
        <v>0</v>
      </c>
      <c r="S56" s="190">
        <f>SUM(S46:S55)</f>
        <v>0</v>
      </c>
      <c r="T56" s="190">
        <f>SUM(T46:T55)</f>
        <v>0</v>
      </c>
      <c r="U56" s="157">
        <f>SUM(U46:U55)</f>
        <v>0</v>
      </c>
      <c r="V56" s="242"/>
    </row>
    <row r="57" spans="1:22" ht="12" customHeight="1" thickBot="1" x14ac:dyDescent="0.25">
      <c r="A57" s="38" t="s">
        <v>10</v>
      </c>
      <c r="B57" s="81"/>
      <c r="C57" s="67">
        <f>C23+C34+C45+C56</f>
        <v>0</v>
      </c>
      <c r="D57" s="67">
        <f t="shared" ref="D57:O57" si="5">D23+D34+D45+D56</f>
        <v>0</v>
      </c>
      <c r="E57" s="67">
        <f t="shared" si="5"/>
        <v>0</v>
      </c>
      <c r="F57" s="67">
        <f t="shared" si="5"/>
        <v>0</v>
      </c>
      <c r="G57" s="67">
        <f t="shared" si="5"/>
        <v>0</v>
      </c>
      <c r="H57" s="67">
        <f t="shared" si="5"/>
        <v>0</v>
      </c>
      <c r="I57" s="67">
        <f t="shared" si="5"/>
        <v>0</v>
      </c>
      <c r="J57" s="67">
        <f t="shared" si="5"/>
        <v>0</v>
      </c>
      <c r="K57" s="67">
        <f t="shared" si="5"/>
        <v>0</v>
      </c>
      <c r="L57" s="67">
        <f t="shared" si="5"/>
        <v>0</v>
      </c>
      <c r="M57" s="67">
        <f t="shared" si="5"/>
        <v>0</v>
      </c>
      <c r="N57" s="67">
        <f t="shared" si="5"/>
        <v>0</v>
      </c>
      <c r="O57" s="68">
        <f t="shared" si="5"/>
        <v>0</v>
      </c>
      <c r="P57" s="6"/>
      <c r="Q57" s="261">
        <f>Q23+Q34+Q45+Q56</f>
        <v>0</v>
      </c>
      <c r="R57" s="262">
        <f t="shared" ref="R57:U57" si="6">R23+R34+R45+R56</f>
        <v>0</v>
      </c>
      <c r="S57" s="262">
        <f t="shared" si="6"/>
        <v>0</v>
      </c>
      <c r="T57" s="262">
        <f t="shared" si="6"/>
        <v>0</v>
      </c>
      <c r="U57" s="263">
        <f t="shared" si="6"/>
        <v>0</v>
      </c>
      <c r="V57" s="242"/>
    </row>
    <row r="58" spans="1:22" ht="12" hidden="1" customHeight="1" outlineLevel="1" x14ac:dyDescent="0.2">
      <c r="A58" s="212" t="s">
        <v>40</v>
      </c>
      <c r="B58" s="213"/>
      <c r="C58" s="216" t="str">
        <f>IF(ISERROR(VLOOKUP($A$10,#REF!,MATCH(visor!C$12,#REF!,0),0)/IF($V$9,VLOOKUP(C$12,#REF!,2,0),1)*IF($V$10,1+VLOOKUP(C$12,#REF!,3,0),1)),"",VLOOKUP($A$10,#REF!,MATCH(visor!C$12,#REF!,0),0)/IF($V$9,VLOOKUP(C$12,#REF!,2,0),1)*IF($V$10,1+VLOOKUP(C$12,#REF!,3,0),1))</f>
        <v/>
      </c>
      <c r="D58" s="216" t="str">
        <f>IF(ISERROR(VLOOKUP($A$10,#REF!,MATCH(visor!D$12,#REF!,0),0)/IF($V$9,VLOOKUP(D$12,#REF!,2,0),1)*IF($V$10,1+VLOOKUP(D$12,#REF!,3,0),1)),"",VLOOKUP($A$10,#REF!,MATCH(visor!D$12,#REF!,0),0)/IF($V$9,VLOOKUP(D$12,#REF!,2,0),1)*IF($V$10,1+VLOOKUP(D$12,#REF!,3,0),1))</f>
        <v/>
      </c>
      <c r="E58" s="216" t="str">
        <f>IF(ISERROR(VLOOKUP($A$10,#REF!,MATCH(visor!E$12,#REF!,0),0)/IF($V$9,VLOOKUP(E$12,#REF!,2,0),1)*IF($V$10,1+VLOOKUP(E$12,#REF!,3,0),1)),"",VLOOKUP($A$10,#REF!,MATCH(visor!E$12,#REF!,0),0)/IF($V$9,VLOOKUP(E$12,#REF!,2,0),1)*IF($V$10,1+VLOOKUP(E$12,#REF!,3,0),1))</f>
        <v/>
      </c>
      <c r="F58" s="216" t="str">
        <f>IF(ISERROR(VLOOKUP($A$10,#REF!,MATCH(visor!F$12,#REF!,0),0)/IF($V$9,VLOOKUP(F$12,#REF!,2,0),1)*IF($V$10,1+VLOOKUP(F$12,#REF!,3,0),1)),"",VLOOKUP($A$10,#REF!,MATCH(visor!F$12,#REF!,0),0)/IF($V$9,VLOOKUP(F$12,#REF!,2,0),1)*IF($V$10,1+VLOOKUP(F$12,#REF!,3,0),1))</f>
        <v/>
      </c>
      <c r="G58" s="216" t="str">
        <f>IF(ISERROR(VLOOKUP($A$10,#REF!,MATCH(visor!G$12,#REF!,0),0)/IF($V$9,VLOOKUP(G$12,#REF!,2,0),1)*IF($V$10,1+VLOOKUP(G$12,#REF!,3,0),1)),"",VLOOKUP($A$10,#REF!,MATCH(visor!G$12,#REF!,0),0)/IF($V$9,VLOOKUP(G$12,#REF!,2,0),1)*IF($V$10,1+VLOOKUP(G$12,#REF!,3,0),1))</f>
        <v/>
      </c>
      <c r="H58" s="216" t="str">
        <f>IF(ISERROR(VLOOKUP($A$10,#REF!,MATCH(visor!H$12,#REF!,0),0)/IF($V$9,VLOOKUP(H$12,#REF!,2,0),1)*IF($V$10,1+VLOOKUP(H$12,#REF!,3,0),1)),"",VLOOKUP($A$10,#REF!,MATCH(visor!H$12,#REF!,0),0)/IF($V$9,VLOOKUP(H$12,#REF!,2,0),1)*IF($V$10,1+VLOOKUP(H$12,#REF!,3,0),1))</f>
        <v/>
      </c>
      <c r="I58" s="216" t="str">
        <f>IF(ISERROR(VLOOKUP($A$10,#REF!,MATCH(visor!I$12,#REF!,0),0)/IF($V$9,VLOOKUP(I$12,#REF!,2,0),1)*IF($V$10,1+VLOOKUP(I$12,#REF!,3,0),1)),"",VLOOKUP($A$10,#REF!,MATCH(visor!I$12,#REF!,0),0)/IF($V$9,VLOOKUP(I$12,#REF!,2,0),1)*IF($V$10,1+VLOOKUP(I$12,#REF!,3,0),1))</f>
        <v/>
      </c>
      <c r="J58" s="216" t="str">
        <f>IF(ISERROR(VLOOKUP($A$10,#REF!,MATCH(visor!J$12,#REF!,0),0)/IF($V$9,VLOOKUP(J$12,#REF!,2,0),1)*IF($V$10,1+VLOOKUP(J$12,#REF!,3,0),1)),"",VLOOKUP($A$10,#REF!,MATCH(visor!J$12,#REF!,0),0)/IF($V$9,VLOOKUP(J$12,#REF!,2,0),1)*IF($V$10,1+VLOOKUP(J$12,#REF!,3,0),1))</f>
        <v/>
      </c>
      <c r="K58" s="216" t="str">
        <f>IF(ISERROR(VLOOKUP($A$10,#REF!,MATCH(visor!K$12,#REF!,0),0)/IF($V$9,VLOOKUP(K$12,#REF!,2,0),1)*IF($V$10,1+VLOOKUP(K$12,#REF!,3,0),1)),"",VLOOKUP($A$10,#REF!,MATCH(visor!K$12,#REF!,0),0)/IF($V$9,VLOOKUP(K$12,#REF!,2,0),1)*IF($V$10,1+VLOOKUP(K$12,#REF!,3,0),1))</f>
        <v/>
      </c>
      <c r="L58" s="216" t="str">
        <f>IF(ISERROR(VLOOKUP($A$10,#REF!,MATCH(visor!L$12,#REF!,0),0)/IF($V$9,VLOOKUP(L$12,#REF!,2,0),1)*IF($V$10,1+VLOOKUP(L$12,#REF!,3,0),1)),"",VLOOKUP($A$10,#REF!,MATCH(visor!L$12,#REF!,0),0)/IF($V$9,VLOOKUP(L$12,#REF!,2,0),1)*IF($V$10,1+VLOOKUP(L$12,#REF!,3,0),1))</f>
        <v/>
      </c>
      <c r="M58" s="216" t="str">
        <f>IF(ISERROR(VLOOKUP($A$10,#REF!,MATCH(visor!M$12,#REF!,0),0)/IF($V$9,VLOOKUP(M$12,#REF!,2,0),1)*IF($V$10,1+VLOOKUP(M$12,#REF!,3,0),1)),"",VLOOKUP($A$10,#REF!,MATCH(visor!M$12,#REF!,0),0)/IF($V$9,VLOOKUP(M$12,#REF!,2,0),1)*IF($V$10,1+VLOOKUP(M$12,#REF!,3,0),1))</f>
        <v/>
      </c>
      <c r="N58" s="216" t="str">
        <f>IF(ISERROR(VLOOKUP($A$10,#REF!,MATCH(visor!N$12,#REF!,0),0)/IF($V$9,VLOOKUP(N$12,#REF!,2,0),1)*IF($V$10,1+VLOOKUP(N$12,#REF!,3,0),1)),"",VLOOKUP($A$10,#REF!,MATCH(visor!N$12,#REF!,0),0)/IF($V$9,VLOOKUP(N$12,#REF!,2,0),1)*IF($V$10,1+VLOOKUP(N$12,#REF!,3,0),1))</f>
        <v/>
      </c>
      <c r="O58" s="217" t="str">
        <f>IF(ISERROR(VLOOKUP($A$10,#REF!,MATCH(visor!O$12,#REF!,0),0)/IF($V$9,VLOOKUP(O$12,#REF!,2,0),1)*IF($V$10,1+VLOOKUP(O$12,#REF!,3,0),1)),"",VLOOKUP($A$10,#REF!,MATCH(visor!O$12,#REF!,0),0)/IF($V$9,VLOOKUP(O$12,#REF!,2,0),1)*IF($V$10,1+VLOOKUP(O$12,#REF!,3,0),1))</f>
        <v/>
      </c>
      <c r="P58" s="6"/>
      <c r="Q58" s="220" t="str">
        <f>IF(ISERROR(VLOOKUP($A$10,#REF!,251+MATCH(visor!Q$12,#REF!,0),0)/IF($V$9,HLOOKUP(Q$12,#REF!,2,0),1)*IF($V$10,1+HLOOKUP(Q$12,#REF!,3,0),1)),"",VLOOKUP($A$10,#REF!,251+MATCH(visor!Q$12,#REF!,0),0)/IF($V$9,HLOOKUP(Q$12,#REF!,2,0),1)*IF($V$10,1+HLOOKUP(Q$12,#REF!,3,0),1))</f>
        <v/>
      </c>
      <c r="R58" s="216" t="str">
        <f>IF(ISERROR(VLOOKUP($A$10,#REF!,251+MATCH(visor!R$12,#REF!,0),0)/IF($V$9,HLOOKUP(R$12,#REF!,2,0),1)*IF($V$10,1+HLOOKUP(R$12,#REF!,3,0),1)),"",VLOOKUP($A$10,#REF!,251+MATCH(visor!R$12,#REF!,0),0)/IF($V$9,HLOOKUP(R$12,#REF!,2,0),1)*IF($V$10,1+HLOOKUP(R$12,#REF!,3,0),1))</f>
        <v/>
      </c>
      <c r="S58" s="216" t="str">
        <f>IF(ISERROR(VLOOKUP($A$10,#REF!,251+MATCH(visor!S$12,#REF!,0),0)/IF($V$9,HLOOKUP(S$12,#REF!,2,0),1)*IF($V$10,1+HLOOKUP(S$12,#REF!,3,0),1)),"",VLOOKUP($A$10,#REF!,251+MATCH(visor!S$12,#REF!,0),0)/IF($V$9,HLOOKUP(S$12,#REF!,2,0),1)*IF($V$10,1+HLOOKUP(S$12,#REF!,3,0),1))</f>
        <v/>
      </c>
      <c r="T58" s="216" t="str">
        <f>IF(ISERROR(VLOOKUP($A$10,#REF!,251+MATCH(visor!T$12,#REF!,0),0)/IF($V$9,HLOOKUP(T$12,#REF!,2,0),1)*IF($V$10,1+HLOOKUP(T$12,#REF!,3,0),1)),"",VLOOKUP($A$10,#REF!,251+MATCH(visor!T$12,#REF!,0),0)/IF($V$9,HLOOKUP(T$12,#REF!,2,0),1)*IF($V$10,1+HLOOKUP(T$12,#REF!,3,0),1))</f>
        <v/>
      </c>
      <c r="U58" s="217" t="str">
        <f>IF(ISERROR(VLOOKUP($A$10,#REF!,251+MATCH(visor!U$12,#REF!,0),0)*IF(AND($W$88,HLOOKUP(U$12,#REF!,4,0)&lt;12),12/MONTH($A$4),1)/IF($V$9,HLOOKUP(U$12,#REF!,2,0),1)*IF($V$10,1+HLOOKUP(U$12,#REF!,3,0),1)),"",VLOOKUP($A$10,#REF!,251+MATCH(visor!U$12,#REF!,0),0)*IF(AND($W$88,HLOOKUP(U$12,#REF!,4,0)&lt;12),12/MONTH($A$4),1)/IF($V$9,HLOOKUP(U$12,#REF!,2,0),1)*IF($V$10,1+HLOOKUP(U$12,#REF!,3,0),1))</f>
        <v/>
      </c>
      <c r="V58" s="242"/>
    </row>
    <row r="59" spans="1:22" ht="12" hidden="1" customHeight="1" outlineLevel="1" thickBot="1" x14ac:dyDescent="0.25">
      <c r="A59" s="214" t="s">
        <v>41</v>
      </c>
      <c r="B59" s="215"/>
      <c r="C59" s="218" t="str">
        <f>IF(ISERROR(VLOOKUP($A$10,#REF!,MATCH(visor!C$12,#REF!,0),0)/IF($V$9,VLOOKUP(C$12,#REF!,2,0),1)*IF($V$10,1+VLOOKUP(C$12,#REF!,3,0),1)),"",VLOOKUP($A$10,#REF!,MATCH(visor!C$12,#REF!,0),0)/IF($V$9,VLOOKUP(C$12,#REF!,2,0),1)*IF($V$10,1+VLOOKUP(C$12,#REF!,3,0),1))</f>
        <v/>
      </c>
      <c r="D59" s="218" t="str">
        <f>IF(ISERROR(VLOOKUP($A$10,#REF!,MATCH(visor!D$12,#REF!,0),0)/IF($V$9,VLOOKUP(D$12,#REF!,2,0),1)*IF($V$10,1+VLOOKUP(D$12,#REF!,3,0),1)),"",VLOOKUP($A$10,#REF!,MATCH(visor!D$12,#REF!,0),0)/IF($V$9,VLOOKUP(D$12,#REF!,2,0),1)*IF($V$10,1+VLOOKUP(D$12,#REF!,3,0),1))</f>
        <v/>
      </c>
      <c r="E59" s="218" t="str">
        <f>IF(ISERROR(VLOOKUP($A$10,#REF!,MATCH(visor!E$12,#REF!,0),0)/IF($V$9,VLOOKUP(E$12,#REF!,2,0),1)*IF($V$10,1+VLOOKUP(E$12,#REF!,3,0),1)),"",VLOOKUP($A$10,#REF!,MATCH(visor!E$12,#REF!,0),0)/IF($V$9,VLOOKUP(E$12,#REF!,2,0),1)*IF($V$10,1+VLOOKUP(E$12,#REF!,3,0),1))</f>
        <v/>
      </c>
      <c r="F59" s="218" t="str">
        <f>IF(ISERROR(VLOOKUP($A$10,#REF!,MATCH(visor!F$12,#REF!,0),0)/IF($V$9,VLOOKUP(F$12,#REF!,2,0),1)*IF($V$10,1+VLOOKUP(F$12,#REF!,3,0),1)),"",VLOOKUP($A$10,#REF!,MATCH(visor!F$12,#REF!,0),0)/IF($V$9,VLOOKUP(F$12,#REF!,2,0),1)*IF($V$10,1+VLOOKUP(F$12,#REF!,3,0),1))</f>
        <v/>
      </c>
      <c r="G59" s="218" t="str">
        <f>IF(ISERROR(VLOOKUP($A$10,#REF!,MATCH(visor!G$12,#REF!,0),0)/IF($V$9,VLOOKUP(G$12,#REF!,2,0),1)*IF($V$10,1+VLOOKUP(G$12,#REF!,3,0),1)),"",VLOOKUP($A$10,#REF!,MATCH(visor!G$12,#REF!,0),0)/IF($V$9,VLOOKUP(G$12,#REF!,2,0),1)*IF($V$10,1+VLOOKUP(G$12,#REF!,3,0),1))</f>
        <v/>
      </c>
      <c r="H59" s="218" t="str">
        <f>IF(ISERROR(VLOOKUP($A$10,#REF!,MATCH(visor!H$12,#REF!,0),0)/IF($V$9,VLOOKUP(H$12,#REF!,2,0),1)*IF($V$10,1+VLOOKUP(H$12,#REF!,3,0),1)),"",VLOOKUP($A$10,#REF!,MATCH(visor!H$12,#REF!,0),0)/IF($V$9,VLOOKUP(H$12,#REF!,2,0),1)*IF($V$10,1+VLOOKUP(H$12,#REF!,3,0),1))</f>
        <v/>
      </c>
      <c r="I59" s="218" t="str">
        <f>IF(ISERROR(VLOOKUP($A$10,#REF!,MATCH(visor!I$12,#REF!,0),0)/IF($V$9,VLOOKUP(I$12,#REF!,2,0),1)*IF($V$10,1+VLOOKUP(I$12,#REF!,3,0),1)),"",VLOOKUP($A$10,#REF!,MATCH(visor!I$12,#REF!,0),0)/IF($V$9,VLOOKUP(I$12,#REF!,2,0),1)*IF($V$10,1+VLOOKUP(I$12,#REF!,3,0),1))</f>
        <v/>
      </c>
      <c r="J59" s="218" t="str">
        <f>IF(ISERROR(VLOOKUP($A$10,#REF!,MATCH(visor!J$12,#REF!,0),0)/IF($V$9,VLOOKUP(J$12,#REF!,2,0),1)*IF($V$10,1+VLOOKUP(J$12,#REF!,3,0),1)),"",VLOOKUP($A$10,#REF!,MATCH(visor!J$12,#REF!,0),0)/IF($V$9,VLOOKUP(J$12,#REF!,2,0),1)*IF($V$10,1+VLOOKUP(J$12,#REF!,3,0),1))</f>
        <v/>
      </c>
      <c r="K59" s="218" t="str">
        <f>IF(ISERROR(VLOOKUP($A$10,#REF!,MATCH(visor!K$12,#REF!,0),0)/IF($V$9,VLOOKUP(K$12,#REF!,2,0),1)*IF($V$10,1+VLOOKUP(K$12,#REF!,3,0),1)),"",VLOOKUP($A$10,#REF!,MATCH(visor!K$12,#REF!,0),0)/IF($V$9,VLOOKUP(K$12,#REF!,2,0),1)*IF($V$10,1+VLOOKUP(K$12,#REF!,3,0),1))</f>
        <v/>
      </c>
      <c r="L59" s="218" t="str">
        <f>IF(ISERROR(VLOOKUP($A$10,#REF!,MATCH(visor!L$12,#REF!,0),0)/IF($V$9,VLOOKUP(L$12,#REF!,2,0),1)*IF($V$10,1+VLOOKUP(L$12,#REF!,3,0),1)),"",VLOOKUP($A$10,#REF!,MATCH(visor!L$12,#REF!,0),0)/IF($V$9,VLOOKUP(L$12,#REF!,2,0),1)*IF($V$10,1+VLOOKUP(L$12,#REF!,3,0),1))</f>
        <v/>
      </c>
      <c r="M59" s="218" t="str">
        <f>IF(ISERROR(VLOOKUP($A$10,#REF!,MATCH(visor!M$12,#REF!,0),0)/IF($V$9,VLOOKUP(M$12,#REF!,2,0),1)*IF($V$10,1+VLOOKUP(M$12,#REF!,3,0),1)),"",VLOOKUP($A$10,#REF!,MATCH(visor!M$12,#REF!,0),0)/IF($V$9,VLOOKUP(M$12,#REF!,2,0),1)*IF($V$10,1+VLOOKUP(M$12,#REF!,3,0),1))</f>
        <v/>
      </c>
      <c r="N59" s="218" t="str">
        <f>IF(ISERROR(VLOOKUP($A$10,#REF!,MATCH(visor!N$12,#REF!,0),0)/IF($V$9,VLOOKUP(N$12,#REF!,2,0),1)*IF($V$10,1+VLOOKUP(N$12,#REF!,3,0),1)),"",VLOOKUP($A$10,#REF!,MATCH(visor!N$12,#REF!,0),0)/IF($V$9,VLOOKUP(N$12,#REF!,2,0),1)*IF($V$10,1+VLOOKUP(N$12,#REF!,3,0),1))</f>
        <v/>
      </c>
      <c r="O59" s="219" t="str">
        <f>IF(ISERROR(VLOOKUP($A$10,#REF!,MATCH(visor!O$12,#REF!,0),0)/IF($V$9,VLOOKUP(O$12,#REF!,2,0),1)*IF($V$10,1+VLOOKUP(O$12,#REF!,3,0),1)),"",VLOOKUP($A$10,#REF!,MATCH(visor!O$12,#REF!,0),0)/IF($V$9,VLOOKUP(O$12,#REF!,2,0),1)*IF($V$10,1+VLOOKUP(O$12,#REF!,3,0),1))</f>
        <v/>
      </c>
      <c r="P59" s="6"/>
      <c r="Q59" s="221" t="str">
        <f>IF(ISERROR(VLOOKUP($A$10,#REF!,251+MATCH(visor!Q$12,#REF!,0),0)/IF($V$9,HLOOKUP(Q$12,#REF!,2,0),1)*IF($V$10,1+HLOOKUP(Q$12,#REF!,3,0),1)),"",VLOOKUP($A$10,#REF!,251+MATCH(visor!Q$12,#REF!,0),0)/IF($V$9,HLOOKUP(Q$12,#REF!,2,0),1)*IF($V$10,1+HLOOKUP(Q$12,#REF!,3,0),1))</f>
        <v/>
      </c>
      <c r="R59" s="218" t="str">
        <f>IF(ISERROR(VLOOKUP($A$10,#REF!,251+MATCH(visor!R$12,#REF!,0),0)/IF($V$9,HLOOKUP(R$12,#REF!,2,0),1)*IF($V$10,1+HLOOKUP(R$12,#REF!,3,0),1)),"",VLOOKUP($A$10,#REF!,251+MATCH(visor!R$12,#REF!,0),0)/IF($V$9,HLOOKUP(R$12,#REF!,2,0),1)*IF($V$10,1+HLOOKUP(R$12,#REF!,3,0),1))</f>
        <v/>
      </c>
      <c r="S59" s="218" t="str">
        <f>IF(ISERROR(VLOOKUP($A$10,#REF!,251+MATCH(visor!S$12,#REF!,0),0)/IF($V$9,HLOOKUP(S$12,#REF!,2,0),1)*IF($V$10,1+HLOOKUP(S$12,#REF!,3,0),1)),"",VLOOKUP($A$10,#REF!,251+MATCH(visor!S$12,#REF!,0),0)/IF($V$9,HLOOKUP(S$12,#REF!,2,0),1)*IF($V$10,1+HLOOKUP(S$12,#REF!,3,0),1))</f>
        <v/>
      </c>
      <c r="T59" s="218" t="str">
        <f>IF(ISERROR(VLOOKUP($A$10,#REF!,251+MATCH(visor!T$12,#REF!,0),0)/IF($V$9,HLOOKUP(T$12,#REF!,2,0),1)*IF($V$10,1+HLOOKUP(T$12,#REF!,3,0),1)),"",VLOOKUP($A$10,#REF!,251+MATCH(visor!T$12,#REF!,0),0)/IF($V$9,HLOOKUP(T$12,#REF!,2,0),1)*IF($V$10,1+HLOOKUP(T$12,#REF!,3,0),1))</f>
        <v/>
      </c>
      <c r="U59" s="219" t="str">
        <f>IF(ISERROR(VLOOKUP($A$10,#REF!,251+MATCH(visor!U$12,#REF!,0),0)*IF(AND($W$88,HLOOKUP(U$12,#REF!,4,0)&lt;12),12/MONTH($A$4),1)/IF($V$9,HLOOKUP(U$12,#REF!,2,0),1)*IF($V$10,1+HLOOKUP(U$12,#REF!,3,0),1)),"",VLOOKUP($A$10,#REF!,251+MATCH(visor!U$12,#REF!,0),0)*IF(AND($W$88,HLOOKUP(U$12,#REF!,4,0)&lt;12),12/MONTH($A$4),1)/IF($V$9,HLOOKUP(U$12,#REF!,2,0),1)*IF($V$10,1+HLOOKUP(U$12,#REF!,3,0),1))</f>
        <v/>
      </c>
      <c r="V59" s="242"/>
    </row>
    <row r="60" spans="1:22" ht="12" hidden="1" customHeight="1" thickBot="1" x14ac:dyDescent="0.25">
      <c r="A60" s="208" t="s">
        <v>42</v>
      </c>
      <c r="B60" s="209"/>
      <c r="C60" s="210">
        <f>SUM(C58:C59)</f>
        <v>0</v>
      </c>
      <c r="D60" s="210">
        <f t="shared" ref="D60:O60" si="7">SUM(D58:D59)</f>
        <v>0</v>
      </c>
      <c r="E60" s="210">
        <f t="shared" si="7"/>
        <v>0</v>
      </c>
      <c r="F60" s="210">
        <f t="shared" si="7"/>
        <v>0</v>
      </c>
      <c r="G60" s="210">
        <f t="shared" si="7"/>
        <v>0</v>
      </c>
      <c r="H60" s="210">
        <f t="shared" si="7"/>
        <v>0</v>
      </c>
      <c r="I60" s="210">
        <f t="shared" si="7"/>
        <v>0</v>
      </c>
      <c r="J60" s="210">
        <f t="shared" si="7"/>
        <v>0</v>
      </c>
      <c r="K60" s="210">
        <f t="shared" si="7"/>
        <v>0</v>
      </c>
      <c r="L60" s="210">
        <f t="shared" si="7"/>
        <v>0</v>
      </c>
      <c r="M60" s="210">
        <f t="shared" si="7"/>
        <v>0</v>
      </c>
      <c r="N60" s="210">
        <f t="shared" si="7"/>
        <v>0</v>
      </c>
      <c r="O60" s="211">
        <f t="shared" si="7"/>
        <v>0</v>
      </c>
      <c r="P60" s="6"/>
      <c r="Q60" s="222">
        <f>SUM(Q58:Q59)</f>
        <v>0</v>
      </c>
      <c r="R60" s="223">
        <f>SUM(R58:R59)</f>
        <v>0</v>
      </c>
      <c r="S60" s="223">
        <f>SUM(S58:S59)</f>
        <v>0</v>
      </c>
      <c r="T60" s="223">
        <f>SUM(T58:T59)</f>
        <v>0</v>
      </c>
      <c r="U60" s="224">
        <f>SUM(U58:U59)</f>
        <v>0</v>
      </c>
      <c r="V60" s="242"/>
    </row>
    <row r="61" spans="1:22" ht="12" hidden="1" customHeight="1" outlineLevel="1" x14ac:dyDescent="0.2">
      <c r="A61" s="226">
        <f>IF($E$10="-",$C$4,$E$10)</f>
        <v>6005</v>
      </c>
      <c r="B61" s="227" t="str">
        <f>IFERROR(INDEX(Maestro!FcDetalle,MATCH(A61,Maestro!FcClave,0),5),"")</f>
        <v/>
      </c>
      <c r="C61" s="228" t="str">
        <f>IFERROR(INDEX(Prob.Pago!FcDetalle,MATCH(A61,Prob.Pago!FcClave,0),7+(4*0)),"")</f>
        <v/>
      </c>
      <c r="D61" s="228" t="str">
        <f>IFERROR(INDEX(Prob.Pago!FcDetalle,MATCH(A61,Prob.Pago!FcClave,0),7+(4*1)),"")</f>
        <v/>
      </c>
      <c r="E61" s="228" t="str">
        <f>IFERROR(INDEX(Prob.Pago!FcDetalle,MATCH(A61,Prob.Pago!FcClave,0),7+(4*2)),"")</f>
        <v/>
      </c>
      <c r="F61" s="228" t="str">
        <f>IFERROR(INDEX(Prob.Pago!FcDetalle,MATCH(A61,Prob.Pago!FcClave,0),7+(4*3)),"")</f>
        <v/>
      </c>
      <c r="G61" s="228" t="str">
        <f>IFERROR(INDEX(Prob.Pago!FcDetalle,MATCH(A61,Prob.Pago!FcClave,0),7+(4*4)),"")</f>
        <v/>
      </c>
      <c r="H61" s="228" t="str">
        <f>IFERROR(INDEX(Prob.Pago!FcDetalle,MATCH(A61,Prob.Pago!FcClave,0),7+(4*5)),"")</f>
        <v/>
      </c>
      <c r="I61" s="228" t="str">
        <f>IFERROR(INDEX(Prob.Pago!FcDetalle,MATCH(A61,Prob.Pago!FcClave,0),7+(4*6)),"")</f>
        <v/>
      </c>
      <c r="J61" s="228" t="str">
        <f>IFERROR(INDEX(Prob.Pago!FcDetalle,MATCH(A61,Prob.Pago!FcClave,0),7+(4*7)),"")</f>
        <v/>
      </c>
      <c r="K61" s="228" t="str">
        <f>IFERROR(INDEX(Prob.Pago!FcDetalle,MATCH(A61,Prob.Pago!FcClave,0),7+(4*8)),"")</f>
        <v/>
      </c>
      <c r="L61" s="228" t="str">
        <f>IFERROR(INDEX(Prob.Pago!FcDetalle,MATCH(A61,Prob.Pago!FcClave,0),7+(4*9)),"")</f>
        <v/>
      </c>
      <c r="M61" s="228" t="str">
        <f>IFERROR(INDEX(Prob.Pago!FcDetalle,MATCH(A61,Prob.Pago!FcClave,0),7+(4*10)),"")</f>
        <v/>
      </c>
      <c r="N61" s="228" t="str">
        <f>IFERROR(INDEX(Prob.Pago!FcDetalle,MATCH(A61,Prob.Pago!FcClave,0),7+(4*11)),"")</f>
        <v/>
      </c>
      <c r="O61" s="228" t="str">
        <f>IFERROR(INDEX(Prob.Pago!FcDetalle,MATCH(A61,Prob.Pago!FcClave,0),7+(4*12)),"")</f>
        <v/>
      </c>
      <c r="P61" s="6"/>
      <c r="V61" s="242"/>
    </row>
    <row r="62" spans="1:22" ht="12" hidden="1" customHeight="1" outlineLevel="1" x14ac:dyDescent="0.2">
      <c r="A62" s="229" t="str">
        <f>IF($F$10="-","",$F$10)</f>
        <v/>
      </c>
      <c r="B62" s="227" t="str">
        <f>IFERROR(INDEX(Maestro!FcDetalle,MATCH(A62,Maestro!FcClave,0),5),"")</f>
        <v/>
      </c>
      <c r="C62" s="228" t="str">
        <f>IFERROR(INDEX(Prob.Pago!FcDetalle,MATCH(A62,Prob.Pago!FcClave,0),7+(4*0)),"")</f>
        <v/>
      </c>
      <c r="D62" s="228" t="str">
        <f>IFERROR(INDEX(Prob.Pago!FcDetalle,MATCH(A62,Prob.Pago!FcClave,0),7+(4*1)),"")</f>
        <v/>
      </c>
      <c r="E62" s="228" t="str">
        <f>IFERROR(INDEX(Prob.Pago!FcDetalle,MATCH(A62,Prob.Pago!FcClave,0),7+(4*2)),"")</f>
        <v/>
      </c>
      <c r="F62" s="228" t="str">
        <f>IFERROR(INDEX(Prob.Pago!FcDetalle,MATCH(A62,Prob.Pago!FcClave,0),7+(4*3)),"")</f>
        <v/>
      </c>
      <c r="G62" s="228" t="str">
        <f>IFERROR(INDEX(Prob.Pago!FcDetalle,MATCH(A62,Prob.Pago!FcClave,0),7+(4*4)),"")</f>
        <v/>
      </c>
      <c r="H62" s="228" t="str">
        <f>IFERROR(INDEX(Prob.Pago!FcDetalle,MATCH(A62,Prob.Pago!FcClave,0),7+(4*5)),"")</f>
        <v/>
      </c>
      <c r="I62" s="228" t="str">
        <f>IFERROR(INDEX(Prob.Pago!FcDetalle,MATCH(A62,Prob.Pago!FcClave,0),7+(4*6)),"")</f>
        <v/>
      </c>
      <c r="J62" s="228" t="str">
        <f>IFERROR(INDEX(Prob.Pago!FcDetalle,MATCH(A62,Prob.Pago!FcClave,0),7+(4*7)),"")</f>
        <v/>
      </c>
      <c r="K62" s="228" t="str">
        <f>IFERROR(INDEX(Prob.Pago!FcDetalle,MATCH(A62,Prob.Pago!FcClave,0),7+(4*8)),"")</f>
        <v/>
      </c>
      <c r="L62" s="228" t="str">
        <f>IFERROR(INDEX(Prob.Pago!FcDetalle,MATCH(A62,Prob.Pago!FcClave,0),7+(4*9)),"")</f>
        <v/>
      </c>
      <c r="M62" s="228" t="str">
        <f>IFERROR(INDEX(Prob.Pago!FcDetalle,MATCH(A62,Prob.Pago!FcClave,0),7+(4*10)),"")</f>
        <v/>
      </c>
      <c r="N62" s="228" t="str">
        <f>IFERROR(INDEX(Prob.Pago!FcDetalle,MATCH(A62,Prob.Pago!FcClave,0),7+(4*11)),"")</f>
        <v/>
      </c>
      <c r="O62" s="228" t="str">
        <f>IF(ISERROR(VLOOKUP(A62,Venta!FcDocCredito,38,0)+VLOOKUP(A62,Venta!FcDocCredito,39,0)+VLOOKUP(A62,Venta!FcDocCredito,40,0))=TRUE,"",VLOOKUP(A62,Venta!FcDocCredito,38,0)+VLOOKUP(A62,Venta!FcDocCredito,39,0)+VLOOKUP(A62,Venta!FcDocCredito,40,0))</f>
        <v/>
      </c>
      <c r="P62" s="6"/>
      <c r="V62" s="242"/>
    </row>
    <row r="63" spans="1:22" ht="12" hidden="1" customHeight="1" outlineLevel="1" x14ac:dyDescent="0.2">
      <c r="A63" s="229" t="str">
        <f>IF($G$10="-","",$G$10)</f>
        <v/>
      </c>
      <c r="B63" s="227" t="str">
        <f>IFERROR(INDEX(Maestro!FcDetalle,MATCH(A63,Maestro!FcClave,0),5),"")</f>
        <v/>
      </c>
      <c r="C63" s="228" t="str">
        <f>IFERROR(INDEX(Prob.Pago!FcDetalle,MATCH(A63,Prob.Pago!FcClave,0),7+(4*0)),"")</f>
        <v/>
      </c>
      <c r="D63" s="228" t="str">
        <f>IFERROR(INDEX(Prob.Pago!FcDetalle,MATCH(A63,Prob.Pago!FcClave,0),7+(4*1)),"")</f>
        <v/>
      </c>
      <c r="E63" s="228" t="str">
        <f>IFERROR(INDEX(Prob.Pago!FcDetalle,MATCH(A63,Prob.Pago!FcClave,0),7+(4*2)),"")</f>
        <v/>
      </c>
      <c r="F63" s="228" t="str">
        <f>IFERROR(INDEX(Prob.Pago!FcDetalle,MATCH(A63,Prob.Pago!FcClave,0),7+(4*3)),"")</f>
        <v/>
      </c>
      <c r="G63" s="228" t="str">
        <f>IFERROR(INDEX(Prob.Pago!FcDetalle,MATCH(A63,Prob.Pago!FcClave,0),7+(4*4)),"")</f>
        <v/>
      </c>
      <c r="H63" s="228" t="str">
        <f>IFERROR(INDEX(Prob.Pago!FcDetalle,MATCH(A63,Prob.Pago!FcClave,0),7+(4*5)),"")</f>
        <v/>
      </c>
      <c r="I63" s="228" t="str">
        <f>IFERROR(INDEX(Prob.Pago!FcDetalle,MATCH(A63,Prob.Pago!FcClave,0),7+(4*6)),"")</f>
        <v/>
      </c>
      <c r="J63" s="228" t="str">
        <f>IFERROR(INDEX(Prob.Pago!FcDetalle,MATCH(A63,Prob.Pago!FcClave,0),7+(4*7)),"")</f>
        <v/>
      </c>
      <c r="K63" s="228" t="str">
        <f>IFERROR(INDEX(Prob.Pago!FcDetalle,MATCH(A63,Prob.Pago!FcClave,0),7+(4*8)),"")</f>
        <v/>
      </c>
      <c r="L63" s="228" t="str">
        <f>IFERROR(INDEX(Prob.Pago!FcDetalle,MATCH(A63,Prob.Pago!FcClave,0),7+(4*9)),"")</f>
        <v/>
      </c>
      <c r="M63" s="228" t="str">
        <f>IFERROR(INDEX(Prob.Pago!FcDetalle,MATCH(A63,Prob.Pago!FcClave,0),7+(4*10)),"")</f>
        <v/>
      </c>
      <c r="N63" s="228" t="str">
        <f>IFERROR(INDEX(Prob.Pago!FcDetalle,MATCH(A63,Prob.Pago!FcClave,0),7+(4*11)),"")</f>
        <v/>
      </c>
      <c r="O63" s="228" t="str">
        <f>IF(ISERROR(VLOOKUP(A63,Venta!FcDocCredito,38,0)+VLOOKUP(A63,Venta!FcDocCredito,39,0)+VLOOKUP(A63,Venta!FcDocCredito,40,0))=TRUE,"",VLOOKUP(A63,Venta!FcDocCredito,38,0)+VLOOKUP(A63,Venta!FcDocCredito,39,0)+VLOOKUP(A63,Venta!FcDocCredito,40,0))</f>
        <v/>
      </c>
      <c r="P63" s="6"/>
      <c r="V63" s="242"/>
    </row>
    <row r="64" spans="1:22" ht="12" hidden="1" customHeight="1" outlineLevel="1" x14ac:dyDescent="0.2">
      <c r="A64" s="229" t="str">
        <f>IF($H$10="-","",$H$10)</f>
        <v/>
      </c>
      <c r="B64" s="227" t="str">
        <f>IFERROR(INDEX(Maestro!FcDetalle,MATCH(A64,Maestro!FcClave,0),5),"")</f>
        <v/>
      </c>
      <c r="C64" s="228" t="str">
        <f>IFERROR(INDEX(Prob.Pago!FcDetalle,MATCH(A64,Prob.Pago!FcClave,0),7+(4*0)),"")</f>
        <v/>
      </c>
      <c r="D64" s="228" t="str">
        <f>IFERROR(INDEX(Prob.Pago!FcDetalle,MATCH(A64,Prob.Pago!FcClave,0),7+(4*1)),"")</f>
        <v/>
      </c>
      <c r="E64" s="228" t="str">
        <f>IFERROR(INDEX(Prob.Pago!FcDetalle,MATCH(A64,Prob.Pago!FcClave,0),7+(4*2)),"")</f>
        <v/>
      </c>
      <c r="F64" s="228" t="str">
        <f>IFERROR(INDEX(Prob.Pago!FcDetalle,MATCH(A64,Prob.Pago!FcClave,0),7+(4*3)),"")</f>
        <v/>
      </c>
      <c r="G64" s="228" t="str">
        <f>IFERROR(INDEX(Prob.Pago!FcDetalle,MATCH(A64,Prob.Pago!FcClave,0),7+(4*4)),"")</f>
        <v/>
      </c>
      <c r="H64" s="228" t="str">
        <f>IFERROR(INDEX(Prob.Pago!FcDetalle,MATCH(A64,Prob.Pago!FcClave,0),7+(4*5)),"")</f>
        <v/>
      </c>
      <c r="I64" s="228" t="str">
        <f>IFERROR(INDEX(Prob.Pago!FcDetalle,MATCH(A64,Prob.Pago!FcClave,0),7+(4*6)),"")</f>
        <v/>
      </c>
      <c r="J64" s="228" t="str">
        <f>IFERROR(INDEX(Prob.Pago!FcDetalle,MATCH(A64,Prob.Pago!FcClave,0),7+(4*7)),"")</f>
        <v/>
      </c>
      <c r="K64" s="228" t="str">
        <f>IFERROR(INDEX(Prob.Pago!FcDetalle,MATCH(A64,Prob.Pago!FcClave,0),7+(4*8)),"")</f>
        <v/>
      </c>
      <c r="L64" s="228" t="str">
        <f>IFERROR(INDEX(Prob.Pago!FcDetalle,MATCH(A64,Prob.Pago!FcClave,0),7+(4*9)),"")</f>
        <v/>
      </c>
      <c r="M64" s="228" t="str">
        <f>IFERROR(INDEX(Prob.Pago!FcDetalle,MATCH(A64,Prob.Pago!FcClave,0),7+(4*10)),"")</f>
        <v/>
      </c>
      <c r="N64" s="228" t="str">
        <f>IFERROR(INDEX(Prob.Pago!FcDetalle,MATCH(A64,Prob.Pago!FcClave,0),7+(4*11)),"")</f>
        <v/>
      </c>
      <c r="O64" s="228" t="str">
        <f>IF(ISERROR(VLOOKUP(A64,Venta!FcDocCredito,38,0)+VLOOKUP(A64,Venta!FcDocCredito,39,0)+VLOOKUP(A64,Venta!FcDocCredito,40,0))=TRUE,"",VLOOKUP(A64,Venta!FcDocCredito,38,0)+VLOOKUP(A64,Venta!FcDocCredito,39,0)+VLOOKUP(A64,Venta!FcDocCredito,40,0))</f>
        <v/>
      </c>
      <c r="P64" s="6"/>
      <c r="V64" s="242"/>
    </row>
    <row r="65" spans="1:22" ht="12" hidden="1" customHeight="1" outlineLevel="1" x14ac:dyDescent="0.2">
      <c r="A65" s="229" t="str">
        <f>IF($I$10="-","",$I$10)</f>
        <v/>
      </c>
      <c r="B65" s="227" t="str">
        <f>IFERROR(INDEX(Maestro!FcDetalle,MATCH(A65,Maestro!FcClave,0),5),"")</f>
        <v/>
      </c>
      <c r="C65" s="228" t="str">
        <f>IFERROR(INDEX(Prob.Pago!FcDetalle,MATCH(A65,Prob.Pago!FcClave,0),7+(4*0)),"")</f>
        <v/>
      </c>
      <c r="D65" s="228" t="str">
        <f>IFERROR(INDEX(Prob.Pago!FcDetalle,MATCH(A65,Prob.Pago!FcClave,0),7+(4*1)),"")</f>
        <v/>
      </c>
      <c r="E65" s="228" t="str">
        <f>IFERROR(INDEX(Prob.Pago!FcDetalle,MATCH(A65,Prob.Pago!FcClave,0),7+(4*2)),"")</f>
        <v/>
      </c>
      <c r="F65" s="228" t="str">
        <f>IFERROR(INDEX(Prob.Pago!FcDetalle,MATCH(A65,Prob.Pago!FcClave,0),7+(4*3)),"")</f>
        <v/>
      </c>
      <c r="G65" s="228" t="str">
        <f>IFERROR(INDEX(Prob.Pago!FcDetalle,MATCH(A65,Prob.Pago!FcClave,0),7+(4*4)),"")</f>
        <v/>
      </c>
      <c r="H65" s="228" t="str">
        <f>IFERROR(INDEX(Prob.Pago!FcDetalle,MATCH(A65,Prob.Pago!FcClave,0),7+(4*5)),"")</f>
        <v/>
      </c>
      <c r="I65" s="228" t="str">
        <f>IFERROR(INDEX(Prob.Pago!FcDetalle,MATCH(A65,Prob.Pago!FcClave,0),7+(4*6)),"")</f>
        <v/>
      </c>
      <c r="J65" s="228" t="str">
        <f>IFERROR(INDEX(Prob.Pago!FcDetalle,MATCH(A65,Prob.Pago!FcClave,0),7+(4*7)),"")</f>
        <v/>
      </c>
      <c r="K65" s="228" t="str">
        <f>IFERROR(INDEX(Prob.Pago!FcDetalle,MATCH(A65,Prob.Pago!FcClave,0),7+(4*8)),"")</f>
        <v/>
      </c>
      <c r="L65" s="228" t="str">
        <f>IFERROR(INDEX(Prob.Pago!FcDetalle,MATCH(A65,Prob.Pago!FcClave,0),7+(4*9)),"")</f>
        <v/>
      </c>
      <c r="M65" s="228" t="str">
        <f>IFERROR(INDEX(Prob.Pago!FcDetalle,MATCH(A65,Prob.Pago!FcClave,0),7+(4*10)),"")</f>
        <v/>
      </c>
      <c r="N65" s="228" t="str">
        <f>IFERROR(INDEX(Prob.Pago!FcDetalle,MATCH(A65,Prob.Pago!FcClave,0),7+(4*11)),"")</f>
        <v/>
      </c>
      <c r="O65" s="228" t="str">
        <f>IF(ISERROR(VLOOKUP(A65,Venta!FcDocCredito,38,0)+VLOOKUP(A65,Venta!FcDocCredito,39,0)+VLOOKUP(A65,Venta!FcDocCredito,40,0))=TRUE,"",VLOOKUP(A65,Venta!FcDocCredito,38,0)+VLOOKUP(A65,Venta!FcDocCredito,39,0)+VLOOKUP(A65,Venta!FcDocCredito,40,0))</f>
        <v/>
      </c>
      <c r="P65" s="6"/>
      <c r="V65" s="242"/>
    </row>
    <row r="66" spans="1:22" ht="12" hidden="1" customHeight="1" outlineLevel="1" x14ac:dyDescent="0.2">
      <c r="A66" s="229" t="str">
        <f>IF($J$10="-","",$J$10)</f>
        <v/>
      </c>
      <c r="B66" s="227" t="str">
        <f>IFERROR(INDEX(Maestro!FcDetalle,MATCH(A66,Maestro!FcClave,0),5),"")</f>
        <v/>
      </c>
      <c r="C66" s="228" t="str">
        <f>IFERROR(INDEX(Prob.Pago!FcDetalle,MATCH(A66,Prob.Pago!FcClave,0),7+(4*0)),"")</f>
        <v/>
      </c>
      <c r="D66" s="228" t="str">
        <f>IFERROR(INDEX(Prob.Pago!FcDetalle,MATCH(A66,Prob.Pago!FcClave,0),7+(4*1)),"")</f>
        <v/>
      </c>
      <c r="E66" s="228" t="str">
        <f>IFERROR(INDEX(Prob.Pago!FcDetalle,MATCH(A66,Prob.Pago!FcClave,0),7+(4*2)),"")</f>
        <v/>
      </c>
      <c r="F66" s="228" t="str">
        <f>IFERROR(INDEX(Prob.Pago!FcDetalle,MATCH(A66,Prob.Pago!FcClave,0),7+(4*3)),"")</f>
        <v/>
      </c>
      <c r="G66" s="228" t="str">
        <f>IFERROR(INDEX(Prob.Pago!FcDetalle,MATCH(A66,Prob.Pago!FcClave,0),7+(4*4)),"")</f>
        <v/>
      </c>
      <c r="H66" s="228" t="str">
        <f>IFERROR(INDEX(Prob.Pago!FcDetalle,MATCH(A66,Prob.Pago!FcClave,0),7+(4*5)),"")</f>
        <v/>
      </c>
      <c r="I66" s="228" t="str">
        <f>IFERROR(INDEX(Prob.Pago!FcDetalle,MATCH(A66,Prob.Pago!FcClave,0),7+(4*6)),"")</f>
        <v/>
      </c>
      <c r="J66" s="228" t="str">
        <f>IFERROR(INDEX(Prob.Pago!FcDetalle,MATCH(A66,Prob.Pago!FcClave,0),7+(4*7)),"")</f>
        <v/>
      </c>
      <c r="K66" s="228" t="str">
        <f>IFERROR(INDEX(Prob.Pago!FcDetalle,MATCH(A66,Prob.Pago!FcClave,0),7+(4*8)),"")</f>
        <v/>
      </c>
      <c r="L66" s="228" t="str">
        <f>IFERROR(INDEX(Prob.Pago!FcDetalle,MATCH(A66,Prob.Pago!FcClave,0),7+(4*9)),"")</f>
        <v/>
      </c>
      <c r="M66" s="228" t="str">
        <f>IFERROR(INDEX(Prob.Pago!FcDetalle,MATCH(A66,Prob.Pago!FcClave,0),7+(4*10)),"")</f>
        <v/>
      </c>
      <c r="N66" s="228" t="str">
        <f>IFERROR(INDEX(Prob.Pago!FcDetalle,MATCH(A66,Prob.Pago!FcClave,0),7+(4*11)),"")</f>
        <v/>
      </c>
      <c r="O66" s="228" t="str">
        <f>IF(ISERROR(VLOOKUP(A66,Venta!FcDocCredito,38,0)+VLOOKUP(A66,Venta!FcDocCredito,39,0)+VLOOKUP(A66,Venta!FcDocCredito,40,0))=TRUE,"",VLOOKUP(A66,Venta!FcDocCredito,38,0)+VLOOKUP(A66,Venta!FcDocCredito,39,0)+VLOOKUP(A66,Venta!FcDocCredito,40,0))</f>
        <v/>
      </c>
      <c r="P66" s="6"/>
      <c r="V66" s="242"/>
    </row>
    <row r="67" spans="1:22" ht="12" hidden="1" customHeight="1" outlineLevel="1" x14ac:dyDescent="0.2">
      <c r="A67" s="229" t="str">
        <f>IF($K$10="-","",$K$10)</f>
        <v/>
      </c>
      <c r="B67" s="227" t="str">
        <f>IFERROR(INDEX(Maestro!FcDetalle,MATCH(A67,Maestro!FcClave,0),5),"")</f>
        <v/>
      </c>
      <c r="C67" s="228" t="str">
        <f>IFERROR(INDEX(Prob.Pago!FcDetalle,MATCH(A67,Prob.Pago!FcClave,0),7+(4*0)),"")</f>
        <v/>
      </c>
      <c r="D67" s="228" t="str">
        <f>IFERROR(INDEX(Prob.Pago!FcDetalle,MATCH(A67,Prob.Pago!FcClave,0),7+(4*1)),"")</f>
        <v/>
      </c>
      <c r="E67" s="228" t="str">
        <f>IFERROR(INDEX(Prob.Pago!FcDetalle,MATCH(A67,Prob.Pago!FcClave,0),7+(4*2)),"")</f>
        <v/>
      </c>
      <c r="F67" s="228" t="str">
        <f>IFERROR(INDEX(Prob.Pago!FcDetalle,MATCH(A67,Prob.Pago!FcClave,0),7+(4*3)),"")</f>
        <v/>
      </c>
      <c r="G67" s="228" t="str">
        <f>IFERROR(INDEX(Prob.Pago!FcDetalle,MATCH(A67,Prob.Pago!FcClave,0),7+(4*4)),"")</f>
        <v/>
      </c>
      <c r="H67" s="228" t="str">
        <f>IFERROR(INDEX(Prob.Pago!FcDetalle,MATCH(A67,Prob.Pago!FcClave,0),7+(4*5)),"")</f>
        <v/>
      </c>
      <c r="I67" s="228" t="str">
        <f>IFERROR(INDEX(Prob.Pago!FcDetalle,MATCH(A67,Prob.Pago!FcClave,0),7+(4*6)),"")</f>
        <v/>
      </c>
      <c r="J67" s="228" t="str">
        <f>IFERROR(INDEX(Prob.Pago!FcDetalle,MATCH(A67,Prob.Pago!FcClave,0),7+(4*7)),"")</f>
        <v/>
      </c>
      <c r="K67" s="228" t="str">
        <f>IFERROR(INDEX(Prob.Pago!FcDetalle,MATCH(A67,Prob.Pago!FcClave,0),7+(4*8)),"")</f>
        <v/>
      </c>
      <c r="L67" s="228" t="str">
        <f>IFERROR(INDEX(Prob.Pago!FcDetalle,MATCH(A67,Prob.Pago!FcClave,0),7+(4*9)),"")</f>
        <v/>
      </c>
      <c r="M67" s="228" t="str">
        <f>IFERROR(INDEX(Prob.Pago!FcDetalle,MATCH(A67,Prob.Pago!FcClave,0),7+(4*10)),"")</f>
        <v/>
      </c>
      <c r="N67" s="228" t="str">
        <f>IFERROR(INDEX(Prob.Pago!FcDetalle,MATCH(A67,Prob.Pago!FcClave,0),7+(4*11)),"")</f>
        <v/>
      </c>
      <c r="O67" s="228" t="str">
        <f>IF(ISERROR(VLOOKUP(A67,Venta!FcDocCredito,38,0)+VLOOKUP(A67,Venta!FcDocCredito,39,0)+VLOOKUP(A67,Venta!FcDocCredito,40,0))=TRUE,"",VLOOKUP(A67,Venta!FcDocCredito,38,0)+VLOOKUP(A67,Venta!FcDocCredito,39,0)+VLOOKUP(A67,Venta!FcDocCredito,40,0))</f>
        <v/>
      </c>
      <c r="P67" s="6"/>
      <c r="V67" s="242"/>
    </row>
    <row r="68" spans="1:22" ht="12" hidden="1" customHeight="1" outlineLevel="1" x14ac:dyDescent="0.2">
      <c r="A68" s="229" t="str">
        <f>IF($I$9="-","",$I$9)</f>
        <v/>
      </c>
      <c r="B68" s="227" t="str">
        <f>IFERROR(INDEX(Maestro!FcDetalle,MATCH(A68,Maestro!FcClave,0),5),"")</f>
        <v/>
      </c>
      <c r="C68" s="228" t="str">
        <f>IFERROR(INDEX(Prob.Pago!FcDetalle,MATCH(A68,Prob.Pago!FcClave,0),7+(4*0)),"")</f>
        <v/>
      </c>
      <c r="D68" s="228" t="str">
        <f>IFERROR(INDEX(Prob.Pago!FcDetalle,MATCH(A68,Prob.Pago!FcClave,0),7+(4*1)),"")</f>
        <v/>
      </c>
      <c r="E68" s="228" t="str">
        <f>IFERROR(INDEX(Prob.Pago!FcDetalle,MATCH(A68,Prob.Pago!FcClave,0),7+(4*2)),"")</f>
        <v/>
      </c>
      <c r="F68" s="228" t="str">
        <f>IFERROR(INDEX(Prob.Pago!FcDetalle,MATCH(A68,Prob.Pago!FcClave,0),7+(4*3)),"")</f>
        <v/>
      </c>
      <c r="G68" s="228" t="str">
        <f>IFERROR(INDEX(Prob.Pago!FcDetalle,MATCH(A68,Prob.Pago!FcClave,0),7+(4*4)),"")</f>
        <v/>
      </c>
      <c r="H68" s="228" t="str">
        <f>IFERROR(INDEX(Prob.Pago!FcDetalle,MATCH(A68,Prob.Pago!FcClave,0),7+(4*5)),"")</f>
        <v/>
      </c>
      <c r="I68" s="228" t="str">
        <f>IFERROR(INDEX(Prob.Pago!FcDetalle,MATCH(A68,Prob.Pago!FcClave,0),7+(4*6)),"")</f>
        <v/>
      </c>
      <c r="J68" s="228" t="str">
        <f>IFERROR(INDEX(Prob.Pago!FcDetalle,MATCH(A68,Prob.Pago!FcClave,0),7+(4*7)),"")</f>
        <v/>
      </c>
      <c r="K68" s="228" t="str">
        <f>IFERROR(INDEX(Prob.Pago!FcDetalle,MATCH(A68,Prob.Pago!FcClave,0),7+(4*8)),"")</f>
        <v/>
      </c>
      <c r="L68" s="228" t="str">
        <f>IFERROR(INDEX(Prob.Pago!FcDetalle,MATCH(A68,Prob.Pago!FcClave,0),7+(4*9)),"")</f>
        <v/>
      </c>
      <c r="M68" s="228" t="str">
        <f>IFERROR(INDEX(Prob.Pago!FcDetalle,MATCH(A68,Prob.Pago!FcClave,0),7+(4*10)),"")</f>
        <v/>
      </c>
      <c r="N68" s="228" t="str">
        <f>IFERROR(INDEX(Prob.Pago!FcDetalle,MATCH(A68,Prob.Pago!FcClave,0),7+(4*11)),"")</f>
        <v/>
      </c>
      <c r="O68" s="228" t="str">
        <f>IF(ISERROR(VLOOKUP(A68,Venta!FcDocCredito,38,0)+VLOOKUP(A68,Venta!FcDocCredito,39,0)+VLOOKUP(A68,Venta!FcDocCredito,40,0))=TRUE,"",VLOOKUP(A68,Venta!FcDocCredito,38,0)+VLOOKUP(A68,Venta!FcDocCredito,39,0)+VLOOKUP(A68,Venta!FcDocCredito,40,0))</f>
        <v/>
      </c>
      <c r="P68" s="6"/>
      <c r="V68" s="242"/>
    </row>
    <row r="69" spans="1:22" ht="12" hidden="1" customHeight="1" outlineLevel="1" x14ac:dyDescent="0.2">
      <c r="A69" s="229" t="str">
        <f>IF($J$9="-","",$J$9)</f>
        <v/>
      </c>
      <c r="B69" s="227" t="str">
        <f>IFERROR(INDEX(Maestro!FcDetalle,MATCH(A69,Maestro!FcClave,0),5),"")</f>
        <v/>
      </c>
      <c r="C69" s="228" t="str">
        <f>IFERROR(INDEX(Prob.Pago!FcDetalle,MATCH(A69,Prob.Pago!FcClave,0),7+(4*0)),"")</f>
        <v/>
      </c>
      <c r="D69" s="228" t="str">
        <f>IFERROR(INDEX(Prob.Pago!FcDetalle,MATCH(A69,Prob.Pago!FcClave,0),7+(4*1)),"")</f>
        <v/>
      </c>
      <c r="E69" s="228" t="str">
        <f>IFERROR(INDEX(Prob.Pago!FcDetalle,MATCH(A69,Prob.Pago!FcClave,0),7+(4*2)),"")</f>
        <v/>
      </c>
      <c r="F69" s="228" t="str">
        <f>IFERROR(INDEX(Prob.Pago!FcDetalle,MATCH(A69,Prob.Pago!FcClave,0),7+(4*3)),"")</f>
        <v/>
      </c>
      <c r="G69" s="228" t="str">
        <f>IFERROR(INDEX(Prob.Pago!FcDetalle,MATCH(A69,Prob.Pago!FcClave,0),7+(4*4)),"")</f>
        <v/>
      </c>
      <c r="H69" s="228" t="str">
        <f>IFERROR(INDEX(Prob.Pago!FcDetalle,MATCH(A69,Prob.Pago!FcClave,0),7+(4*5)),"")</f>
        <v/>
      </c>
      <c r="I69" s="228" t="str">
        <f>IFERROR(INDEX(Prob.Pago!FcDetalle,MATCH(A69,Prob.Pago!FcClave,0),7+(4*6)),"")</f>
        <v/>
      </c>
      <c r="J69" s="228" t="str">
        <f>IFERROR(INDEX(Prob.Pago!FcDetalle,MATCH(A69,Prob.Pago!FcClave,0),7+(4*7)),"")</f>
        <v/>
      </c>
      <c r="K69" s="228" t="str">
        <f>IFERROR(INDEX(Prob.Pago!FcDetalle,MATCH(A69,Prob.Pago!FcClave,0),7+(4*8)),"")</f>
        <v/>
      </c>
      <c r="L69" s="228" t="str">
        <f>IFERROR(INDEX(Prob.Pago!FcDetalle,MATCH(A69,Prob.Pago!FcClave,0),7+(4*9)),"")</f>
        <v/>
      </c>
      <c r="M69" s="228" t="str">
        <f>IFERROR(INDEX(Prob.Pago!FcDetalle,MATCH(A69,Prob.Pago!FcClave,0),7+(4*10)),"")</f>
        <v/>
      </c>
      <c r="N69" s="228" t="str">
        <f>IFERROR(INDEX(Prob.Pago!FcDetalle,MATCH(A69,Prob.Pago!FcClave,0),7+(4*11)),"")</f>
        <v/>
      </c>
      <c r="O69" s="228" t="str">
        <f>IF(ISERROR(VLOOKUP(A69,Venta!FcDocCredito,38,0)+VLOOKUP(A69,Venta!FcDocCredito,39,0)+VLOOKUP(A69,Venta!FcDocCredito,40,0))=TRUE,"",VLOOKUP(A69,Venta!FcDocCredito,38,0)+VLOOKUP(A69,Venta!FcDocCredito,39,0)+VLOOKUP(A69,Venta!FcDocCredito,40,0))</f>
        <v/>
      </c>
      <c r="P69" s="6"/>
      <c r="V69" s="242"/>
    </row>
    <row r="70" spans="1:22" ht="12" hidden="1" customHeight="1" outlineLevel="1" thickBot="1" x14ac:dyDescent="0.25">
      <c r="A70" s="229" t="str">
        <f>IF($K$9="-","",$K$9)</f>
        <v/>
      </c>
      <c r="B70" s="227" t="str">
        <f>IFERROR(INDEX(Maestro!FcDetalle,MATCH(A70,Maestro!FcClave,0),5),"")</f>
        <v/>
      </c>
      <c r="C70" s="228" t="str">
        <f>IFERROR(INDEX(Prob.Pago!FcDetalle,MATCH(A70,Prob.Pago!FcClave,0),7+(4*0)),"")</f>
        <v/>
      </c>
      <c r="D70" s="228" t="str">
        <f>IFERROR(INDEX(Prob.Pago!FcDetalle,MATCH(A70,Prob.Pago!FcClave,0),7+(4*1)),"")</f>
        <v/>
      </c>
      <c r="E70" s="228" t="str">
        <f>IFERROR(INDEX(Prob.Pago!FcDetalle,MATCH(A70,Prob.Pago!FcClave,0),7+(4*2)),"")</f>
        <v/>
      </c>
      <c r="F70" s="228" t="str">
        <f>IFERROR(INDEX(Prob.Pago!FcDetalle,MATCH(A70,Prob.Pago!FcClave,0),7+(4*3)),"")</f>
        <v/>
      </c>
      <c r="G70" s="228" t="str">
        <f>IFERROR(INDEX(Prob.Pago!FcDetalle,MATCH(A70,Prob.Pago!FcClave,0),7+(4*4)),"")</f>
        <v/>
      </c>
      <c r="H70" s="228" t="str">
        <f>IFERROR(INDEX(Prob.Pago!FcDetalle,MATCH(A70,Prob.Pago!FcClave,0),7+(4*5)),"")</f>
        <v/>
      </c>
      <c r="I70" s="228" t="str">
        <f>IFERROR(INDEX(Prob.Pago!FcDetalle,MATCH(A70,Prob.Pago!FcClave,0),7+(4*6)),"")</f>
        <v/>
      </c>
      <c r="J70" s="228" t="str">
        <f>IFERROR(INDEX(Prob.Pago!FcDetalle,MATCH(A70,Prob.Pago!FcClave,0),7+(4*7)),"")</f>
        <v/>
      </c>
      <c r="K70" s="228" t="str">
        <f>IFERROR(INDEX(Prob.Pago!FcDetalle,MATCH(A70,Prob.Pago!FcClave,0),7+(4*8)),"")</f>
        <v/>
      </c>
      <c r="L70" s="228" t="str">
        <f>IFERROR(INDEX(Prob.Pago!FcDetalle,MATCH(A70,Prob.Pago!FcClave,0),7+(4*9)),"")</f>
        <v/>
      </c>
      <c r="M70" s="228" t="str">
        <f>IFERROR(INDEX(Prob.Pago!FcDetalle,MATCH(A70,Prob.Pago!FcClave,0),7+(4*10)),"")</f>
        <v/>
      </c>
      <c r="N70" s="228" t="str">
        <f>IFERROR(INDEX(Prob.Pago!FcDetalle,MATCH(A70,Prob.Pago!FcClave,0),7+(4*11)),"")</f>
        <v/>
      </c>
      <c r="O70" s="228" t="str">
        <f>IF(ISERROR(VLOOKUP(A70,Venta!FcDocCredito,38,0)+VLOOKUP(A70,Venta!FcDocCredito,39,0)+VLOOKUP(A70,Venta!FcDocCredito,40,0))=TRUE,"",VLOOKUP(A70,Venta!FcDocCredito,38,0)+VLOOKUP(A70,Venta!FcDocCredito,39,0)+VLOOKUP(A70,Venta!FcDocCredito,40,0))</f>
        <v/>
      </c>
      <c r="P70" s="6"/>
      <c r="V70" s="242"/>
    </row>
    <row r="71" spans="1:22" ht="12" customHeight="1" collapsed="1" thickBot="1" x14ac:dyDescent="0.25">
      <c r="A71" s="203" t="s">
        <v>39</v>
      </c>
      <c r="B71" s="204"/>
      <c r="C71" s="241">
        <f>SUM(C61:C70)</f>
        <v>0</v>
      </c>
      <c r="D71" s="241">
        <f t="shared" ref="D71:O71" si="8">SUM(D61:D70)</f>
        <v>0</v>
      </c>
      <c r="E71" s="241">
        <f t="shared" si="8"/>
        <v>0</v>
      </c>
      <c r="F71" s="241">
        <f t="shared" si="8"/>
        <v>0</v>
      </c>
      <c r="G71" s="241">
        <f t="shared" si="8"/>
        <v>0</v>
      </c>
      <c r="H71" s="241">
        <f t="shared" si="8"/>
        <v>0</v>
      </c>
      <c r="I71" s="241">
        <f t="shared" si="8"/>
        <v>0</v>
      </c>
      <c r="J71" s="241">
        <f t="shared" si="8"/>
        <v>0</v>
      </c>
      <c r="K71" s="241">
        <f t="shared" si="8"/>
        <v>0</v>
      </c>
      <c r="L71" s="241">
        <f t="shared" si="8"/>
        <v>0</v>
      </c>
      <c r="M71" s="241">
        <f t="shared" si="8"/>
        <v>0</v>
      </c>
      <c r="N71" s="241">
        <f t="shared" si="8"/>
        <v>0</v>
      </c>
      <c r="O71" s="241">
        <f t="shared" si="8"/>
        <v>0</v>
      </c>
      <c r="P71" s="6"/>
      <c r="V71" s="242"/>
    </row>
    <row r="72" spans="1:22" ht="12" customHeight="1" thickBot="1" x14ac:dyDescent="0.25">
      <c r="A72" s="198" t="s">
        <v>18</v>
      </c>
      <c r="B72" s="199"/>
      <c r="C72" s="200"/>
      <c r="D72" s="201" t="str">
        <f t="shared" ref="D72:O72" si="9">IF(AND(D23&lt;C23,D34&gt;C34,(D34-C34)&gt;0.25*(C23-D23)),"Alerta","")</f>
        <v/>
      </c>
      <c r="E72" s="201" t="str">
        <f t="shared" si="9"/>
        <v/>
      </c>
      <c r="F72" s="201" t="str">
        <f t="shared" si="9"/>
        <v/>
      </c>
      <c r="G72" s="201" t="str">
        <f t="shared" si="9"/>
        <v/>
      </c>
      <c r="H72" s="201" t="str">
        <f t="shared" si="9"/>
        <v/>
      </c>
      <c r="I72" s="201" t="str">
        <f t="shared" si="9"/>
        <v/>
      </c>
      <c r="J72" s="201" t="str">
        <f t="shared" si="9"/>
        <v/>
      </c>
      <c r="K72" s="201" t="str">
        <f t="shared" si="9"/>
        <v/>
      </c>
      <c r="L72" s="201" t="str">
        <f t="shared" si="9"/>
        <v/>
      </c>
      <c r="M72" s="201" t="str">
        <f t="shared" si="9"/>
        <v/>
      </c>
      <c r="N72" s="201" t="str">
        <f t="shared" si="9"/>
        <v/>
      </c>
      <c r="O72" s="202" t="str">
        <f t="shared" si="9"/>
        <v/>
      </c>
      <c r="P72" s="6"/>
      <c r="V72" s="242"/>
    </row>
    <row r="73" spans="1:22" ht="15" hidden="1" x14ac:dyDescent="0.2">
      <c r="A73" s="48" t="s">
        <v>21</v>
      </c>
      <c r="B73" s="83"/>
      <c r="C73" s="69">
        <f>IF(ISERROR(AVERAGE(C23:D23)),"",AVERAGE(C23:D23))</f>
        <v>0</v>
      </c>
      <c r="D73" s="69">
        <f t="shared" ref="D73:N73" si="10">IF(ISERROR(AVERAGE(C23:E23)),"",AVERAGE(C23:E23))</f>
        <v>0</v>
      </c>
      <c r="E73" s="69">
        <f t="shared" si="10"/>
        <v>0</v>
      </c>
      <c r="F73" s="69">
        <f t="shared" si="10"/>
        <v>0</v>
      </c>
      <c r="G73" s="69">
        <f t="shared" si="10"/>
        <v>0</v>
      </c>
      <c r="H73" s="69">
        <f t="shared" si="10"/>
        <v>0</v>
      </c>
      <c r="I73" s="69">
        <f t="shared" si="10"/>
        <v>0</v>
      </c>
      <c r="J73" s="69">
        <f t="shared" si="10"/>
        <v>0</v>
      </c>
      <c r="K73" s="69">
        <f t="shared" si="10"/>
        <v>0</v>
      </c>
      <c r="L73" s="69">
        <f t="shared" si="10"/>
        <v>0</v>
      </c>
      <c r="M73" s="69">
        <f t="shared" si="10"/>
        <v>0</v>
      </c>
      <c r="N73" s="69">
        <f t="shared" si="10"/>
        <v>0</v>
      </c>
      <c r="O73" s="70"/>
      <c r="P73" s="6"/>
    </row>
    <row r="74" spans="1:22" ht="15" hidden="1" x14ac:dyDescent="0.2">
      <c r="A74" s="49" t="s">
        <v>22</v>
      </c>
      <c r="B74" s="84"/>
      <c r="C74" s="71">
        <f>IF(ISERROR(AVERAGE(C34:D34)),"",AVERAGE(C34:D34))</f>
        <v>0</v>
      </c>
      <c r="D74" s="71">
        <f t="shared" ref="D74:N74" si="11">IF(ISERROR(AVERAGE(C34:E34)),"",AVERAGE(C34:E34))</f>
        <v>0</v>
      </c>
      <c r="E74" s="71">
        <f t="shared" si="11"/>
        <v>0</v>
      </c>
      <c r="F74" s="71">
        <f t="shared" si="11"/>
        <v>0</v>
      </c>
      <c r="G74" s="71">
        <f t="shared" si="11"/>
        <v>0</v>
      </c>
      <c r="H74" s="71">
        <f t="shared" si="11"/>
        <v>0</v>
      </c>
      <c r="I74" s="71">
        <f t="shared" si="11"/>
        <v>0</v>
      </c>
      <c r="J74" s="71">
        <f t="shared" si="11"/>
        <v>0</v>
      </c>
      <c r="K74" s="71">
        <f t="shared" si="11"/>
        <v>0</v>
      </c>
      <c r="L74" s="71">
        <f t="shared" si="11"/>
        <v>0</v>
      </c>
      <c r="M74" s="71">
        <f t="shared" si="11"/>
        <v>0</v>
      </c>
      <c r="N74" s="71">
        <f t="shared" si="11"/>
        <v>0</v>
      </c>
      <c r="O74" s="72"/>
      <c r="P74" s="6"/>
    </row>
    <row r="75" spans="1:22" ht="15" hidden="1" x14ac:dyDescent="0.2">
      <c r="A75" s="134" t="s">
        <v>43</v>
      </c>
      <c r="B75" s="135"/>
      <c r="C75" s="71">
        <f>IF(ISERROR(AVERAGE(C45:D45)),"",AVERAGE(C45:D45))</f>
        <v>0</v>
      </c>
      <c r="D75" s="71">
        <f t="shared" ref="D75:N75" si="12">IF(ISERROR(AVERAGE(C45:E45)),"",AVERAGE(C45:E45))</f>
        <v>0</v>
      </c>
      <c r="E75" s="71">
        <f t="shared" si="12"/>
        <v>0</v>
      </c>
      <c r="F75" s="71">
        <f t="shared" si="12"/>
        <v>0</v>
      </c>
      <c r="G75" s="71">
        <f t="shared" si="12"/>
        <v>0</v>
      </c>
      <c r="H75" s="71">
        <f t="shared" si="12"/>
        <v>0</v>
      </c>
      <c r="I75" s="71">
        <f t="shared" si="12"/>
        <v>0</v>
      </c>
      <c r="J75" s="71">
        <f t="shared" si="12"/>
        <v>0</v>
      </c>
      <c r="K75" s="71">
        <f t="shared" si="12"/>
        <v>0</v>
      </c>
      <c r="L75" s="71">
        <f t="shared" si="12"/>
        <v>0</v>
      </c>
      <c r="M75" s="71">
        <f t="shared" si="12"/>
        <v>0</v>
      </c>
      <c r="N75" s="71">
        <f t="shared" si="12"/>
        <v>0</v>
      </c>
      <c r="O75" s="136"/>
      <c r="P75" s="6"/>
    </row>
    <row r="76" spans="1:22" ht="15" hidden="1" x14ac:dyDescent="0.2">
      <c r="A76" s="134" t="s">
        <v>6</v>
      </c>
      <c r="B76" s="135"/>
      <c r="C76" s="71">
        <f>IF(ISERROR(AVERAGE(C56:D56)),"",AVERAGE(C56:D56))</f>
        <v>0</v>
      </c>
      <c r="D76" s="71">
        <f t="shared" ref="D76:N76" si="13">IF(ISERROR(AVERAGE(C56:E56)),"",AVERAGE(C56:E56))</f>
        <v>0</v>
      </c>
      <c r="E76" s="71">
        <f t="shared" si="13"/>
        <v>0</v>
      </c>
      <c r="F76" s="71">
        <f t="shared" si="13"/>
        <v>0</v>
      </c>
      <c r="G76" s="71">
        <f t="shared" si="13"/>
        <v>0</v>
      </c>
      <c r="H76" s="71">
        <f t="shared" si="13"/>
        <v>0</v>
      </c>
      <c r="I76" s="71">
        <f t="shared" si="13"/>
        <v>0</v>
      </c>
      <c r="J76" s="71">
        <f t="shared" si="13"/>
        <v>0</v>
      </c>
      <c r="K76" s="71">
        <f t="shared" si="13"/>
        <v>0</v>
      </c>
      <c r="L76" s="71">
        <f t="shared" si="13"/>
        <v>0</v>
      </c>
      <c r="M76" s="71">
        <f t="shared" si="13"/>
        <v>0</v>
      </c>
      <c r="N76" s="71">
        <f t="shared" si="13"/>
        <v>0</v>
      </c>
      <c r="O76" s="136"/>
      <c r="P76" s="6"/>
    </row>
    <row r="77" spans="1:22" ht="15.75" hidden="1" thickBot="1" x14ac:dyDescent="0.25">
      <c r="A77" s="50" t="s">
        <v>23</v>
      </c>
      <c r="B77" s="85"/>
      <c r="C77" s="73">
        <f>IF(ISERROR(AVERAGE(C57:D57)),"",AVERAGE(C57:D57))</f>
        <v>0</v>
      </c>
      <c r="D77" s="73">
        <f t="shared" ref="D77:N77" si="14">IF(ISERROR(AVERAGE(C57:E57)),"",AVERAGE(C57:E57))</f>
        <v>0</v>
      </c>
      <c r="E77" s="73">
        <f t="shared" si="14"/>
        <v>0</v>
      </c>
      <c r="F77" s="73">
        <f t="shared" si="14"/>
        <v>0</v>
      </c>
      <c r="G77" s="73">
        <f t="shared" si="14"/>
        <v>0</v>
      </c>
      <c r="H77" s="73">
        <f t="shared" si="14"/>
        <v>0</v>
      </c>
      <c r="I77" s="73">
        <f t="shared" si="14"/>
        <v>0</v>
      </c>
      <c r="J77" s="73">
        <f t="shared" si="14"/>
        <v>0</v>
      </c>
      <c r="K77" s="73">
        <f t="shared" si="14"/>
        <v>0</v>
      </c>
      <c r="L77" s="73">
        <f t="shared" si="14"/>
        <v>0</v>
      </c>
      <c r="M77" s="73">
        <f t="shared" si="14"/>
        <v>0</v>
      </c>
      <c r="N77" s="73">
        <f t="shared" si="14"/>
        <v>0</v>
      </c>
      <c r="O77" s="74"/>
      <c r="P77" s="6"/>
    </row>
    <row r="78" spans="1:22" ht="9.75" customHeight="1" x14ac:dyDescent="0.2">
      <c r="A78" s="7"/>
      <c r="B78" s="7"/>
      <c r="C78" s="7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137"/>
      <c r="R78" s="138"/>
    </row>
    <row r="79" spans="1:22" x14ac:dyDescent="0.2">
      <c r="A79" s="7"/>
      <c r="B79" s="7"/>
      <c r="C79" s="41"/>
      <c r="D79" s="42" t="s">
        <v>9</v>
      </c>
      <c r="E79" s="7"/>
      <c r="F79" s="7"/>
      <c r="G79" s="7"/>
      <c r="H79" s="7"/>
      <c r="I79" s="15"/>
      <c r="L79" s="41"/>
      <c r="M79" s="7"/>
      <c r="N79" s="7"/>
      <c r="O79" s="7"/>
      <c r="P79" s="7"/>
      <c r="Q79" s="138"/>
      <c r="R79" s="138"/>
    </row>
    <row r="80" spans="1:22" ht="12.75" customHeight="1" x14ac:dyDescent="0.2">
      <c r="A80" s="7"/>
      <c r="B80" s="7"/>
      <c r="C80" s="40" t="s">
        <v>21</v>
      </c>
      <c r="D80" s="11">
        <f>SUM(D23:O23)</f>
        <v>0</v>
      </c>
      <c r="E80" s="7"/>
      <c r="F80" s="7"/>
      <c r="G80" s="7"/>
      <c r="H80" s="7"/>
      <c r="I80" s="15"/>
      <c r="L80" s="40"/>
      <c r="M80" s="7"/>
      <c r="N80" s="7"/>
      <c r="O80" s="7"/>
      <c r="P80" s="9"/>
      <c r="Q80" s="129">
        <v>1</v>
      </c>
      <c r="R80" s="129"/>
      <c r="S80" s="129"/>
      <c r="T80" s="129"/>
    </row>
    <row r="81" spans="1:23" ht="12.75" customHeight="1" x14ac:dyDescent="0.2">
      <c r="A81" s="7"/>
      <c r="B81" s="7"/>
      <c r="C81" s="40" t="s">
        <v>22</v>
      </c>
      <c r="D81" s="11">
        <f>SUM(D34:O34)</f>
        <v>0</v>
      </c>
      <c r="E81" s="7"/>
      <c r="F81" s="7"/>
      <c r="G81" s="7"/>
      <c r="H81" s="7"/>
      <c r="I81" s="15"/>
      <c r="L81" s="40"/>
      <c r="M81" s="7"/>
      <c r="N81" s="7"/>
      <c r="O81" s="7"/>
      <c r="P81" s="9"/>
      <c r="Q81" s="129"/>
      <c r="R81" s="129"/>
      <c r="S81" s="129"/>
      <c r="T81" s="129"/>
    </row>
    <row r="82" spans="1:23" ht="12.75" customHeight="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9"/>
      <c r="Q82" s="129"/>
      <c r="R82" s="102"/>
      <c r="S82" s="102"/>
      <c r="T82" s="129"/>
      <c r="V82" s="251">
        <v>1</v>
      </c>
    </row>
    <row r="83" spans="1:23" ht="12.75" customHeight="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9"/>
      <c r="Q83" s="100" t="b">
        <v>1</v>
      </c>
      <c r="R83" s="102"/>
      <c r="S83" s="102"/>
      <c r="T83" s="129"/>
      <c r="V83" s="251" t="b">
        <v>1</v>
      </c>
    </row>
    <row r="84" spans="1:23" ht="12.75" customHeight="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9"/>
      <c r="Q84" s="100" t="b">
        <v>1</v>
      </c>
      <c r="R84" s="102"/>
      <c r="S84" s="102"/>
      <c r="T84" s="129"/>
      <c r="V84" s="251" t="b">
        <v>1</v>
      </c>
    </row>
    <row r="85" spans="1:23" ht="12.75" customHeight="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9"/>
      <c r="Q85" s="100" t="b">
        <v>0</v>
      </c>
      <c r="R85" s="102"/>
      <c r="S85" s="102"/>
      <c r="T85" s="129"/>
      <c r="V85" s="251" t="b">
        <v>1</v>
      </c>
    </row>
    <row r="86" spans="1:23" ht="12.75" customHeight="1" x14ac:dyDescent="0.2">
      <c r="A86" s="7"/>
      <c r="B86" s="7"/>
      <c r="C86" s="7"/>
      <c r="D86" s="7"/>
      <c r="E86" s="7"/>
      <c r="F86" s="7"/>
      <c r="G86" s="7"/>
      <c r="H86" s="7"/>
      <c r="I86" s="7"/>
      <c r="J86" s="39"/>
      <c r="K86" s="7"/>
      <c r="L86" s="7"/>
      <c r="M86" s="7"/>
      <c r="N86" s="7"/>
      <c r="O86" s="7"/>
      <c r="P86" s="9"/>
      <c r="Q86" s="101" t="b">
        <v>0</v>
      </c>
      <c r="R86" s="102"/>
      <c r="S86" s="102"/>
      <c r="T86" s="129"/>
      <c r="V86" s="251" t="b">
        <v>0</v>
      </c>
    </row>
    <row r="87" spans="1:23" ht="12.75" customHeight="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9"/>
      <c r="Q87" s="129"/>
      <c r="R87" s="102"/>
      <c r="S87" s="102"/>
      <c r="T87" s="129"/>
      <c r="V87" s="252" t="b">
        <v>0</v>
      </c>
    </row>
    <row r="88" spans="1:23" ht="12.75" customHeight="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9"/>
      <c r="Q88" s="101" t="b">
        <v>1</v>
      </c>
      <c r="R88" s="102"/>
      <c r="S88" s="102"/>
      <c r="T88" s="129"/>
      <c r="V88" s="252" t="b">
        <v>0</v>
      </c>
      <c r="W88" s="183" t="b">
        <v>0</v>
      </c>
    </row>
    <row r="89" spans="1:23" ht="12.75" customHeight="1" thickBot="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9"/>
      <c r="Q89" s="323" t="s">
        <v>7</v>
      </c>
      <c r="R89" s="323"/>
      <c r="S89" s="323"/>
      <c r="T89" s="323"/>
      <c r="U89" s="323"/>
    </row>
    <row r="90" spans="1:23" ht="12.75" customHeight="1" thickBot="1" x14ac:dyDescent="0.25">
      <c r="A90" s="12" t="s">
        <v>24</v>
      </c>
      <c r="B90" s="13" t="s">
        <v>31</v>
      </c>
      <c r="C90" s="13">
        <f t="shared" ref="C90:N90" si="15">DATE(IF(MONTH(D90)=1,YEAR(D90)-1,YEAR(D90)),IF(MONTH(D90)=1,12,MONTH(D90)-1),1)</f>
        <v>41548</v>
      </c>
      <c r="D90" s="13">
        <f t="shared" si="15"/>
        <v>41579</v>
      </c>
      <c r="E90" s="13">
        <f t="shared" si="15"/>
        <v>41609</v>
      </c>
      <c r="F90" s="13">
        <f t="shared" si="15"/>
        <v>41640</v>
      </c>
      <c r="G90" s="13">
        <f t="shared" si="15"/>
        <v>41671</v>
      </c>
      <c r="H90" s="13">
        <f t="shared" si="15"/>
        <v>41699</v>
      </c>
      <c r="I90" s="13">
        <f t="shared" si="15"/>
        <v>41730</v>
      </c>
      <c r="J90" s="13">
        <f t="shared" si="15"/>
        <v>41760</v>
      </c>
      <c r="K90" s="13">
        <f t="shared" si="15"/>
        <v>41791</v>
      </c>
      <c r="L90" s="13">
        <f t="shared" si="15"/>
        <v>41821</v>
      </c>
      <c r="M90" s="13">
        <f t="shared" si="15"/>
        <v>41852</v>
      </c>
      <c r="N90" s="13">
        <f t="shared" si="15"/>
        <v>41883</v>
      </c>
      <c r="O90" s="14">
        <f>DATE(YEAR(FcFecha),MONTH(FcFecha),1)</f>
        <v>41913</v>
      </c>
      <c r="P90" s="9"/>
      <c r="Q90" s="139">
        <f>R90-1</f>
        <v>2010</v>
      </c>
      <c r="R90" s="140">
        <f>S90-1</f>
        <v>2011</v>
      </c>
      <c r="S90" s="140">
        <f>T90-1</f>
        <v>2012</v>
      </c>
      <c r="T90" s="140">
        <f>U90-1</f>
        <v>2013</v>
      </c>
      <c r="U90" s="141">
        <f>YEAR($A$4)</f>
        <v>2014</v>
      </c>
    </row>
    <row r="91" spans="1:23" s="7" customFormat="1" ht="12.75" hidden="1" customHeight="1" outlineLevel="1" x14ac:dyDescent="0.2">
      <c r="A91" s="43">
        <f>IF($E$10="-",$C$4,$E$10)</f>
        <v>6005</v>
      </c>
      <c r="B91" s="98" t="str">
        <f>IFERROR(INDEX(Maestro!FcDetalle,MATCH(A91,Maestro!FcClave,0),5),"")</f>
        <v/>
      </c>
      <c r="C91" s="111" t="str">
        <f>IFERROR(INDEX(Venta!FcDetalle,MATCH(CONCATENATE(A91,"LYS"),Venta!FcClave,0),FcInicioCantMes+0),"")</f>
        <v/>
      </c>
      <c r="D91" s="111" t="str">
        <f>IFERROR(INDEX(Venta!FcDetalle,MATCH(CONCATENATE(A91,"LYS"),Venta!FcClave,0),FcInicioCantMes+1),"")</f>
        <v/>
      </c>
      <c r="E91" s="111" t="str">
        <f>IFERROR(INDEX(Venta!FcDetalle,MATCH(CONCATENATE(A91,"LYS"),Venta!FcClave,0),FcInicioCantMes+2),"")</f>
        <v/>
      </c>
      <c r="F91" s="111" t="str">
        <f>IFERROR(INDEX(Venta!FcDetalle,MATCH(CONCATENATE(A91,"LYS"),Venta!FcClave,0),FcInicioCantMes+3),"")</f>
        <v/>
      </c>
      <c r="G91" s="111" t="str">
        <f>IFERROR(INDEX(Venta!FcDetalle,MATCH(CONCATENATE(A91,"LYS"),Venta!FcClave,0),FcInicioCantMes+4),"")</f>
        <v/>
      </c>
      <c r="H91" s="111" t="str">
        <f>IFERROR(INDEX(Venta!FcDetalle,MATCH(CONCATENATE(A91,"LYS"),Venta!FcClave,0),FcInicioCantMes+5),"")</f>
        <v/>
      </c>
      <c r="I91" s="111" t="str">
        <f>IFERROR(INDEX(Venta!FcDetalle,MATCH(CONCATENATE(A91,"LYS"),Venta!FcClave,0),FcInicioCantMes+6),"")</f>
        <v/>
      </c>
      <c r="J91" s="111" t="str">
        <f>IFERROR(INDEX(Venta!FcDetalle,MATCH(CONCATENATE(A91,"LYS"),Venta!FcClave,0),FcInicioCantMes+7),"")</f>
        <v/>
      </c>
      <c r="K91" s="111" t="str">
        <f>IFERROR(INDEX(Venta!FcDetalle,MATCH(CONCATENATE(A91,"LYS"),Venta!FcClave,0),FcInicioCantMes+8),"")</f>
        <v/>
      </c>
      <c r="L91" s="111" t="str">
        <f>IFERROR(INDEX(Venta!FcDetalle,MATCH(CONCATENATE(A91,"LYS"),Venta!FcClave,0),FcInicioCantMes+9),"")</f>
        <v/>
      </c>
      <c r="M91" s="111" t="str">
        <f>IFERROR(INDEX(Venta!FcDetalle,MATCH(CONCATENATE(A91,"LYS"),Venta!FcClave,0),FcInicioCantMes+10),"")</f>
        <v/>
      </c>
      <c r="N91" s="111" t="str">
        <f>IFERROR(INDEX(Venta!FcDetalle,MATCH(CONCATENATE(A91,"LYS"),Venta!FcClave,0),FcInicioCantMes+11),"")</f>
        <v/>
      </c>
      <c r="O91" s="112" t="str">
        <f>IFERROR(INDEX(Venta!FcDetalle,MATCH(CONCATENATE(A91,"LYS"),Venta!FcClave,0),FcInicioCantMes+12),"")</f>
        <v/>
      </c>
      <c r="P91" s="9"/>
      <c r="Q91" s="146" t="str">
        <f>IFERROR(INDEX(Venta!FcDetalle,MATCH(CONCATENATE(A91,"LYS"),Venta!FcClave,0),FcInicioCantAnual+0),"")</f>
        <v/>
      </c>
      <c r="R91" s="147" t="str">
        <f>IFERROR(INDEX(Venta!FcDetalle,MATCH(CONCATENATE(A91,"LYS"),Venta!FcClave,0),FcInicioCantAnual+1),"")</f>
        <v/>
      </c>
      <c r="S91" s="147" t="str">
        <f>IFERROR(INDEX(Venta!FcDetalle,MATCH(CONCATENATE(A91,"LYS"),Venta!FcClave,0),FcInicioCantAnual+2),"")</f>
        <v/>
      </c>
      <c r="T91" s="147" t="str">
        <f>IFERROR(INDEX(Venta!FcDetalle,MATCH(CONCATENATE(A91,"LYS"),Venta!FcClave,0),FcInicioCantAnual+3),"")</f>
        <v/>
      </c>
      <c r="U91" s="148" t="str">
        <f>IFERROR(IF(FcCheckProy=FALSE,INDEX(Venta!FcDetalle,MATCH(CONCATENATE(A91,"LYS"),Venta!FcClave,0),FcInicioCantAnual+4),INDEX(Venta!FcDetalle,MATCH(CONCATENATE(A91,"LYS"),Venta!FcClave,0),FcInicioCantAnual+5)),"")</f>
        <v/>
      </c>
    </row>
    <row r="92" spans="1:23" ht="12.75" hidden="1" customHeight="1" outlineLevel="1" x14ac:dyDescent="0.2">
      <c r="A92" s="43" t="str">
        <f>IF($F$10="-","",$F$10)</f>
        <v/>
      </c>
      <c r="B92" s="98" t="str">
        <f>IFERROR(INDEX(Maestro!FcDetalle,MATCH(A92,Maestro!FcClave,0),5),"")</f>
        <v/>
      </c>
      <c r="C92" s="111" t="str">
        <f>IFERROR(INDEX(Venta!FcDetalle,MATCH(CONCATENATE(A92,"LYS"),Venta!FcClave,0),FcInicioCantMes+0),"")</f>
        <v/>
      </c>
      <c r="D92" s="111" t="str">
        <f>IFERROR(INDEX(Venta!FcDetalle,MATCH(CONCATENATE(A92,"LYS"),Venta!FcClave,0),FcInicioCantMes+1),"")</f>
        <v/>
      </c>
      <c r="E92" s="111" t="str">
        <f>IFERROR(INDEX(Venta!FcDetalle,MATCH(CONCATENATE(A92,"LYS"),Venta!FcClave,0),FcInicioCantMes+2),"")</f>
        <v/>
      </c>
      <c r="F92" s="111" t="str">
        <f>IFERROR(INDEX(Venta!FcDetalle,MATCH(CONCATENATE(A92,"LYS"),Venta!FcClave,0),FcInicioCantMes+3),"")</f>
        <v/>
      </c>
      <c r="G92" s="111" t="str">
        <f>IFERROR(INDEX(Venta!FcDetalle,MATCH(CONCATENATE(A92,"LYS"),Venta!FcClave,0),FcInicioCantMes+4),"")</f>
        <v/>
      </c>
      <c r="H92" s="111" t="str">
        <f>IFERROR(INDEX(Venta!FcDetalle,MATCH(CONCATENATE(A92,"LYS"),Venta!FcClave,0),FcInicioCantMes+5),"")</f>
        <v/>
      </c>
      <c r="I92" s="111" t="str">
        <f>IFERROR(INDEX(Venta!FcDetalle,MATCH(CONCATENATE(A92,"LYS"),Venta!FcClave,0),FcInicioCantMes+6),"")</f>
        <v/>
      </c>
      <c r="J92" s="111" t="str">
        <f>IFERROR(INDEX(Venta!FcDetalle,MATCH(CONCATENATE(A92,"LYS"),Venta!FcClave,0),FcInicioCantMes+7),"")</f>
        <v/>
      </c>
      <c r="K92" s="111" t="str">
        <f>IFERROR(INDEX(Venta!FcDetalle,MATCH(CONCATENATE(A92,"LYS"),Venta!FcClave,0),FcInicioCantMes+8),"")</f>
        <v/>
      </c>
      <c r="L92" s="111" t="str">
        <f>IFERROR(INDEX(Venta!FcDetalle,MATCH(CONCATENATE(A92,"LYS"),Venta!FcClave,0),FcInicioCantMes+9),"")</f>
        <v/>
      </c>
      <c r="M92" s="111" t="str">
        <f>IFERROR(INDEX(Venta!FcDetalle,MATCH(CONCATENATE(A92,"LYS"),Venta!FcClave,0),FcInicioCantMes+10),"")</f>
        <v/>
      </c>
      <c r="N92" s="111" t="str">
        <f>IFERROR(INDEX(Venta!FcDetalle,MATCH(CONCATENATE(A92,"LYS"),Venta!FcClave,0),FcInicioCantMes+11),"")</f>
        <v/>
      </c>
      <c r="O92" s="112" t="str">
        <f>IFERROR(INDEX(Venta!FcDetalle,MATCH(CONCATENATE(A92,"LYS"),Venta!FcClave,0),FcInicioCantMes+12),"")</f>
        <v/>
      </c>
      <c r="P92" s="9"/>
      <c r="Q92" s="142" t="str">
        <f>IFERROR(INDEX(Venta!FcDetalle,MATCH(CONCATENATE(A92,"LYS"),Venta!FcClave,0),FcInicioCantAnual+0),"")</f>
        <v/>
      </c>
      <c r="R92" s="63" t="str">
        <f>IFERROR(INDEX(Venta!FcDetalle,MATCH(CONCATENATE(A92,"LYS"),Venta!FcClave,0),FcInicioCantAnual+1),"")</f>
        <v/>
      </c>
      <c r="S92" s="63" t="str">
        <f>IFERROR(INDEX(Venta!FcDetalle,MATCH(CONCATENATE(A92,"LYS"),Venta!FcClave,0),FcInicioCantAnual+2),"")</f>
        <v/>
      </c>
      <c r="T92" s="63" t="str">
        <f>IFERROR(INDEX(Venta!FcDetalle,MATCH(CONCATENATE(A92,"LYS"),Venta!FcClave,0),FcInicioCantAnual+3),"")</f>
        <v/>
      </c>
      <c r="U92" s="64" t="str">
        <f>IFERROR(IF(FcCheckProy=FALSE,INDEX(Venta!FcDetalle,MATCH(CONCATENATE(A92,"LYS"),Venta!FcClave,0),FcInicioCantAnual+4),INDEX(Venta!FcDetalle,MATCH(CONCATENATE(A92,"LYS"),Venta!FcClave,0),FcInicioCantAnual+5)),"")</f>
        <v/>
      </c>
    </row>
    <row r="93" spans="1:23" ht="15" hidden="1" customHeight="1" outlineLevel="1" x14ac:dyDescent="0.2">
      <c r="A93" s="43" t="str">
        <f>IF($G$10="-","",$G$10)</f>
        <v/>
      </c>
      <c r="B93" s="98" t="str">
        <f>IFERROR(INDEX(Maestro!FcDetalle,MATCH(A93,Maestro!FcClave,0),5),"")</f>
        <v/>
      </c>
      <c r="C93" s="111" t="str">
        <f>IFERROR(INDEX(Venta!FcDetalle,MATCH(CONCATENATE(A93,"LYS"),Venta!FcClave,0),FcInicioCantMes+0),"")</f>
        <v/>
      </c>
      <c r="D93" s="111" t="str">
        <f>IFERROR(INDEX(Venta!FcDetalle,MATCH(CONCATENATE(A93,"LYS"),Venta!FcClave,0),FcInicioCantMes+1),"")</f>
        <v/>
      </c>
      <c r="E93" s="111" t="str">
        <f>IFERROR(INDEX(Venta!FcDetalle,MATCH(CONCATENATE(A93,"LYS"),Venta!FcClave,0),FcInicioCantMes+2),"")</f>
        <v/>
      </c>
      <c r="F93" s="111" t="str">
        <f>IFERROR(INDEX(Venta!FcDetalle,MATCH(CONCATENATE(A93,"LYS"),Venta!FcClave,0),FcInicioCantMes+3),"")</f>
        <v/>
      </c>
      <c r="G93" s="111" t="str">
        <f>IFERROR(INDEX(Venta!FcDetalle,MATCH(CONCATENATE(A93,"LYS"),Venta!FcClave,0),FcInicioCantMes+4),"")</f>
        <v/>
      </c>
      <c r="H93" s="111" t="str">
        <f>IFERROR(INDEX(Venta!FcDetalle,MATCH(CONCATENATE(A93,"LYS"),Venta!FcClave,0),FcInicioCantMes+5),"")</f>
        <v/>
      </c>
      <c r="I93" s="111" t="str">
        <f>IFERROR(INDEX(Venta!FcDetalle,MATCH(CONCATENATE(A93,"LYS"),Venta!FcClave,0),FcInicioCantMes+6),"")</f>
        <v/>
      </c>
      <c r="J93" s="111" t="str">
        <f>IFERROR(INDEX(Venta!FcDetalle,MATCH(CONCATENATE(A93,"LYS"),Venta!FcClave,0),FcInicioCantMes+7),"")</f>
        <v/>
      </c>
      <c r="K93" s="111" t="str">
        <f>IFERROR(INDEX(Venta!FcDetalle,MATCH(CONCATENATE(A93,"LYS"),Venta!FcClave,0),FcInicioCantMes+8),"")</f>
        <v/>
      </c>
      <c r="L93" s="111" t="str">
        <f>IFERROR(INDEX(Venta!FcDetalle,MATCH(CONCATENATE(A93,"LYS"),Venta!FcClave,0),FcInicioCantMes+9),"")</f>
        <v/>
      </c>
      <c r="M93" s="111" t="str">
        <f>IFERROR(INDEX(Venta!FcDetalle,MATCH(CONCATENATE(A93,"LYS"),Venta!FcClave,0),FcInicioCantMes+10),"")</f>
        <v/>
      </c>
      <c r="N93" s="111" t="str">
        <f>IFERROR(INDEX(Venta!FcDetalle,MATCH(CONCATENATE(A93,"LYS"),Venta!FcClave,0),FcInicioCantMes+11),"")</f>
        <v/>
      </c>
      <c r="O93" s="112" t="str">
        <f>IFERROR(INDEX(Venta!FcDetalle,MATCH(CONCATENATE(A93,"LYS"),Venta!FcClave,0),FcInicioCantMes+12),"")</f>
        <v/>
      </c>
      <c r="Q93" s="142" t="str">
        <f>IFERROR(INDEX(Venta!FcDetalle,MATCH(CONCATENATE(A93,"LYS"),Venta!FcClave,0),FcInicioCantAnual+0),"")</f>
        <v/>
      </c>
      <c r="R93" s="63" t="str">
        <f>IFERROR(INDEX(Venta!FcDetalle,MATCH(CONCATENATE(A93,"LYS"),Venta!FcClave,0),FcInicioCantAnual+1),"")</f>
        <v/>
      </c>
      <c r="S93" s="63" t="str">
        <f>IFERROR(INDEX(Venta!FcDetalle,MATCH(CONCATENATE(A93,"LYS"),Venta!FcClave,0),FcInicioCantAnual+2),"")</f>
        <v/>
      </c>
      <c r="T93" s="63" t="str">
        <f>IFERROR(INDEX(Venta!FcDetalle,MATCH(CONCATENATE(A93,"LYS"),Venta!FcClave,0),FcInicioCantAnual+3),"")</f>
        <v/>
      </c>
      <c r="U93" s="64" t="str">
        <f>IFERROR(IF(FcCheckProy=FALSE,INDEX(Venta!FcDetalle,MATCH(CONCATENATE(A93,"LYS"),Venta!FcClave,0),FcInicioCantAnual+4),INDEX(Venta!FcDetalle,MATCH(CONCATENATE(A93,"LYS"),Venta!FcClave,0),FcInicioCantAnual+5)),"")</f>
        <v/>
      </c>
    </row>
    <row r="94" spans="1:23" hidden="1" outlineLevel="1" x14ac:dyDescent="0.2">
      <c r="A94" s="43" t="str">
        <f>IF($H$10="-","",$H$10)</f>
        <v/>
      </c>
      <c r="B94" s="98" t="str">
        <f>IFERROR(INDEX(Maestro!FcDetalle,MATCH(A94,Maestro!FcClave,0),5),"")</f>
        <v/>
      </c>
      <c r="C94" s="111" t="str">
        <f>IFERROR(INDEX(Venta!FcDetalle,MATCH(CONCATENATE(A94,"LYS"),Venta!FcClave,0),FcInicioCantMes+0),"")</f>
        <v/>
      </c>
      <c r="D94" s="111" t="str">
        <f>IFERROR(INDEX(Venta!FcDetalle,MATCH(CONCATENATE(A94,"LYS"),Venta!FcClave,0),FcInicioCantMes+1),"")</f>
        <v/>
      </c>
      <c r="E94" s="111" t="str">
        <f>IFERROR(INDEX(Venta!FcDetalle,MATCH(CONCATENATE(A94,"LYS"),Venta!FcClave,0),FcInicioCantMes+2),"")</f>
        <v/>
      </c>
      <c r="F94" s="111" t="str">
        <f>IFERROR(INDEX(Venta!FcDetalle,MATCH(CONCATENATE(A94,"LYS"),Venta!FcClave,0),FcInicioCantMes+3),"")</f>
        <v/>
      </c>
      <c r="G94" s="111" t="str">
        <f>IFERROR(INDEX(Venta!FcDetalle,MATCH(CONCATENATE(A94,"LYS"),Venta!FcClave,0),FcInicioCantMes+4),"")</f>
        <v/>
      </c>
      <c r="H94" s="111" t="str">
        <f>IFERROR(INDEX(Venta!FcDetalle,MATCH(CONCATENATE(A94,"LYS"),Venta!FcClave,0),FcInicioCantMes+5),"")</f>
        <v/>
      </c>
      <c r="I94" s="111" t="str">
        <f>IFERROR(INDEX(Venta!FcDetalle,MATCH(CONCATENATE(A94,"LYS"),Venta!FcClave,0),FcInicioCantMes+6),"")</f>
        <v/>
      </c>
      <c r="J94" s="111" t="str">
        <f>IFERROR(INDEX(Venta!FcDetalle,MATCH(CONCATENATE(A94,"LYS"),Venta!FcClave,0),FcInicioCantMes+7),"")</f>
        <v/>
      </c>
      <c r="K94" s="111" t="str">
        <f>IFERROR(INDEX(Venta!FcDetalle,MATCH(CONCATENATE(A94,"LYS"),Venta!FcClave,0),FcInicioCantMes+8),"")</f>
        <v/>
      </c>
      <c r="L94" s="111" t="str">
        <f>IFERROR(INDEX(Venta!FcDetalle,MATCH(CONCATENATE(A94,"LYS"),Venta!FcClave,0),FcInicioCantMes+9),"")</f>
        <v/>
      </c>
      <c r="M94" s="111" t="str">
        <f>IFERROR(INDEX(Venta!FcDetalle,MATCH(CONCATENATE(A94,"LYS"),Venta!FcClave,0),FcInicioCantMes+10),"")</f>
        <v/>
      </c>
      <c r="N94" s="111" t="str">
        <f>IFERROR(INDEX(Venta!FcDetalle,MATCH(CONCATENATE(A94,"LYS"),Venta!FcClave,0),FcInicioCantMes+11),"")</f>
        <v/>
      </c>
      <c r="O94" s="112" t="str">
        <f>IFERROR(INDEX(Venta!FcDetalle,MATCH(CONCATENATE(A94,"LYS"),Venta!FcClave,0),FcInicioCantMes+12),"")</f>
        <v/>
      </c>
      <c r="Q94" s="142" t="str">
        <f>IFERROR(INDEX(Venta!FcDetalle,MATCH(CONCATENATE(A94,"LYS"),Venta!FcClave,0),FcInicioCantAnual+0),"")</f>
        <v/>
      </c>
      <c r="R94" s="63" t="str">
        <f>IFERROR(INDEX(Venta!FcDetalle,MATCH(CONCATENATE(A94,"LYS"),Venta!FcClave,0),FcInicioCantAnual+1),"")</f>
        <v/>
      </c>
      <c r="S94" s="63" t="str">
        <f>IFERROR(INDEX(Venta!FcDetalle,MATCH(CONCATENATE(A94,"LYS"),Venta!FcClave,0),FcInicioCantAnual+2),"")</f>
        <v/>
      </c>
      <c r="T94" s="63" t="str">
        <f>IFERROR(INDEX(Venta!FcDetalle,MATCH(CONCATENATE(A94,"LYS"),Venta!FcClave,0),FcInicioCantAnual+3),"")</f>
        <v/>
      </c>
      <c r="U94" s="64" t="str">
        <f>IFERROR(IF(FcCheckProy=FALSE,INDEX(Venta!FcDetalle,MATCH(CONCATENATE(A94,"LYS"),Venta!FcClave,0),FcInicioCantAnual+4),INDEX(Venta!FcDetalle,MATCH(CONCATENATE(A94,"LYS"),Venta!FcClave,0),FcInicioCantAnual+5)),"")</f>
        <v/>
      </c>
    </row>
    <row r="95" spans="1:23" hidden="1" outlineLevel="1" x14ac:dyDescent="0.2">
      <c r="A95" s="43" t="str">
        <f>IF($I$10="-","",$I$10)</f>
        <v/>
      </c>
      <c r="B95" s="98" t="str">
        <f>IFERROR(INDEX(Maestro!FcDetalle,MATCH(A95,Maestro!FcClave,0),5),"")</f>
        <v/>
      </c>
      <c r="C95" s="111" t="str">
        <f>IFERROR(INDEX(Venta!FcDetalle,MATCH(CONCATENATE(A95,"LYS"),Venta!FcClave,0),FcInicioCantMes+0),"")</f>
        <v/>
      </c>
      <c r="D95" s="111" t="str">
        <f>IFERROR(INDEX(Venta!FcDetalle,MATCH(CONCATENATE(A95,"LYS"),Venta!FcClave,0),FcInicioCantMes+1),"")</f>
        <v/>
      </c>
      <c r="E95" s="111" t="str">
        <f>IFERROR(INDEX(Venta!FcDetalle,MATCH(CONCATENATE(A95,"LYS"),Venta!FcClave,0),FcInicioCantMes+2),"")</f>
        <v/>
      </c>
      <c r="F95" s="111" t="str">
        <f>IFERROR(INDEX(Venta!FcDetalle,MATCH(CONCATENATE(A95,"LYS"),Venta!FcClave,0),FcInicioCantMes+3),"")</f>
        <v/>
      </c>
      <c r="G95" s="111" t="str">
        <f>IFERROR(INDEX(Venta!FcDetalle,MATCH(CONCATENATE(A95,"LYS"),Venta!FcClave,0),FcInicioCantMes+4),"")</f>
        <v/>
      </c>
      <c r="H95" s="111" t="str">
        <f>IFERROR(INDEX(Venta!FcDetalle,MATCH(CONCATENATE(A95,"LYS"),Venta!FcClave,0),FcInicioCantMes+5),"")</f>
        <v/>
      </c>
      <c r="I95" s="111" t="str">
        <f>IFERROR(INDEX(Venta!FcDetalle,MATCH(CONCATENATE(A95,"LYS"),Venta!FcClave,0),FcInicioCantMes+6),"")</f>
        <v/>
      </c>
      <c r="J95" s="111" t="str">
        <f>IFERROR(INDEX(Venta!FcDetalle,MATCH(CONCATENATE(A95,"LYS"),Venta!FcClave,0),FcInicioCantMes+7),"")</f>
        <v/>
      </c>
      <c r="K95" s="111" t="str">
        <f>IFERROR(INDEX(Venta!FcDetalle,MATCH(CONCATENATE(A95,"LYS"),Venta!FcClave,0),FcInicioCantMes+8),"")</f>
        <v/>
      </c>
      <c r="L95" s="111" t="str">
        <f>IFERROR(INDEX(Venta!FcDetalle,MATCH(CONCATENATE(A95,"LYS"),Venta!FcClave,0),FcInicioCantMes+9),"")</f>
        <v/>
      </c>
      <c r="M95" s="111" t="str">
        <f>IFERROR(INDEX(Venta!FcDetalle,MATCH(CONCATENATE(A95,"LYS"),Venta!FcClave,0),FcInicioCantMes+10),"")</f>
        <v/>
      </c>
      <c r="N95" s="111" t="str">
        <f>IFERROR(INDEX(Venta!FcDetalle,MATCH(CONCATENATE(A95,"LYS"),Venta!FcClave,0),FcInicioCantMes+11),"")</f>
        <v/>
      </c>
      <c r="O95" s="112" t="str">
        <f>IFERROR(INDEX(Venta!FcDetalle,MATCH(CONCATENATE(A95,"LYS"),Venta!FcClave,0),FcInicioCantMes+12),"")</f>
        <v/>
      </c>
      <c r="Q95" s="142" t="str">
        <f>IFERROR(INDEX(Venta!FcDetalle,MATCH(CONCATENATE(A95,"LYS"),Venta!FcClave,0),FcInicioCantAnual+0),"")</f>
        <v/>
      </c>
      <c r="R95" s="63" t="str">
        <f>IFERROR(INDEX(Venta!FcDetalle,MATCH(CONCATENATE(A95,"LYS"),Venta!FcClave,0),FcInicioCantAnual+1),"")</f>
        <v/>
      </c>
      <c r="S95" s="63" t="str">
        <f>IFERROR(INDEX(Venta!FcDetalle,MATCH(CONCATENATE(A95,"LYS"),Venta!FcClave,0),FcInicioCantAnual+2),"")</f>
        <v/>
      </c>
      <c r="T95" s="63" t="str">
        <f>IFERROR(INDEX(Venta!FcDetalle,MATCH(CONCATENATE(A95,"LYS"),Venta!FcClave,0),FcInicioCantAnual+3),"")</f>
        <v/>
      </c>
      <c r="U95" s="64" t="str">
        <f>IFERROR(IF(FcCheckProy=FALSE,INDEX(Venta!FcDetalle,MATCH(CONCATENATE(A95,"LYS"),Venta!FcClave,0),FcInicioCantAnual+4),INDEX(Venta!FcDetalle,MATCH(CONCATENATE(A95,"LYS"),Venta!FcClave,0),FcInicioCantAnual+5)),"")</f>
        <v/>
      </c>
    </row>
    <row r="96" spans="1:23" hidden="1" outlineLevel="1" x14ac:dyDescent="0.2">
      <c r="A96" s="43" t="str">
        <f>IF($J$10="-","",$J$10)</f>
        <v/>
      </c>
      <c r="B96" s="98" t="str">
        <f>IFERROR(INDEX(Maestro!FcDetalle,MATCH(A96,Maestro!FcClave,0),5),"")</f>
        <v/>
      </c>
      <c r="C96" s="111" t="str">
        <f>IFERROR(INDEX(Venta!FcDetalle,MATCH(CONCATENATE(A96,"LYS"),Venta!FcClave,0),FcInicioCantMes+0),"")</f>
        <v/>
      </c>
      <c r="D96" s="111" t="str">
        <f>IFERROR(INDEX(Venta!FcDetalle,MATCH(CONCATENATE(A96,"LYS"),Venta!FcClave,0),FcInicioCantMes+1),"")</f>
        <v/>
      </c>
      <c r="E96" s="111" t="str">
        <f>IFERROR(INDEX(Venta!FcDetalle,MATCH(CONCATENATE(A96,"LYS"),Venta!FcClave,0),FcInicioCantMes+2),"")</f>
        <v/>
      </c>
      <c r="F96" s="111" t="str">
        <f>IFERROR(INDEX(Venta!FcDetalle,MATCH(CONCATENATE(A96,"LYS"),Venta!FcClave,0),FcInicioCantMes+3),"")</f>
        <v/>
      </c>
      <c r="G96" s="111" t="str">
        <f>IFERROR(INDEX(Venta!FcDetalle,MATCH(CONCATENATE(A96,"LYS"),Venta!FcClave,0),FcInicioCantMes+4),"")</f>
        <v/>
      </c>
      <c r="H96" s="111" t="str">
        <f>IFERROR(INDEX(Venta!FcDetalle,MATCH(CONCATENATE(A96,"LYS"),Venta!FcClave,0),FcInicioCantMes+5),"")</f>
        <v/>
      </c>
      <c r="I96" s="111" t="str">
        <f>IFERROR(INDEX(Venta!FcDetalle,MATCH(CONCATENATE(A96,"LYS"),Venta!FcClave,0),FcInicioCantMes+6),"")</f>
        <v/>
      </c>
      <c r="J96" s="111" t="str">
        <f>IFERROR(INDEX(Venta!FcDetalle,MATCH(CONCATENATE(A96,"LYS"),Venta!FcClave,0),FcInicioCantMes+7),"")</f>
        <v/>
      </c>
      <c r="K96" s="111" t="str">
        <f>IFERROR(INDEX(Venta!FcDetalle,MATCH(CONCATENATE(A96,"LYS"),Venta!FcClave,0),FcInicioCantMes+8),"")</f>
        <v/>
      </c>
      <c r="L96" s="111" t="str">
        <f>IFERROR(INDEX(Venta!FcDetalle,MATCH(CONCATENATE(A96,"LYS"),Venta!FcClave,0),FcInicioCantMes+9),"")</f>
        <v/>
      </c>
      <c r="M96" s="111" t="str">
        <f>IFERROR(INDEX(Venta!FcDetalle,MATCH(CONCATENATE(A96,"LYS"),Venta!FcClave,0),FcInicioCantMes+10),"")</f>
        <v/>
      </c>
      <c r="N96" s="111" t="str">
        <f>IFERROR(INDEX(Venta!FcDetalle,MATCH(CONCATENATE(A96,"LYS"),Venta!FcClave,0),FcInicioCantMes+11),"")</f>
        <v/>
      </c>
      <c r="O96" s="112" t="str">
        <f>IFERROR(INDEX(Venta!FcDetalle,MATCH(CONCATENATE(A96,"LYS"),Venta!FcClave,0),FcInicioCantMes+12),"")</f>
        <v/>
      </c>
      <c r="Q96" s="142" t="str">
        <f>IFERROR(INDEX(Venta!FcDetalle,MATCH(CONCATENATE(A96,"LYS"),Venta!FcClave,0),FcInicioCantAnual+0),"")</f>
        <v/>
      </c>
      <c r="R96" s="63" t="str">
        <f>IFERROR(INDEX(Venta!FcDetalle,MATCH(CONCATENATE(A96,"LYS"),Venta!FcClave,0),FcInicioCantAnual+1),"")</f>
        <v/>
      </c>
      <c r="S96" s="63" t="str">
        <f>IFERROR(INDEX(Venta!FcDetalle,MATCH(CONCATENATE(A96,"LYS"),Venta!FcClave,0),FcInicioCantAnual+2),"")</f>
        <v/>
      </c>
      <c r="T96" s="63" t="str">
        <f>IFERROR(INDEX(Venta!FcDetalle,MATCH(CONCATENATE(A96,"LYS"),Venta!FcClave,0),FcInicioCantAnual+3),"")</f>
        <v/>
      </c>
      <c r="U96" s="64" t="str">
        <f>IFERROR(IF(FcCheckProy=FALSE,INDEX(Venta!FcDetalle,MATCH(CONCATENATE(A96,"LYS"),Venta!FcClave,0),FcInicioCantAnual+4),INDEX(Venta!FcDetalle,MATCH(CONCATENATE(A96,"LYS"),Venta!FcClave,0),FcInicioCantAnual+5)),"")</f>
        <v/>
      </c>
    </row>
    <row r="97" spans="1:21" hidden="1" outlineLevel="1" x14ac:dyDescent="0.2">
      <c r="A97" s="43" t="str">
        <f>IF($K$10="-","",$K$10)</f>
        <v/>
      </c>
      <c r="B97" s="98" t="str">
        <f>IFERROR(INDEX(Maestro!FcDetalle,MATCH(A97,Maestro!FcClave,0),5),"")</f>
        <v/>
      </c>
      <c r="C97" s="111" t="str">
        <f>IFERROR(INDEX(Venta!FcDetalle,MATCH(CONCATENATE(A97,"LYS"),Venta!FcClave,0),FcInicioCantMes+0),"")</f>
        <v/>
      </c>
      <c r="D97" s="111" t="str">
        <f>IFERROR(INDEX(Venta!FcDetalle,MATCH(CONCATENATE(A97,"LYS"),Venta!FcClave,0),FcInicioCantMes+1),"")</f>
        <v/>
      </c>
      <c r="E97" s="111" t="str">
        <f>IFERROR(INDEX(Venta!FcDetalle,MATCH(CONCATENATE(A97,"LYS"),Venta!FcClave,0),FcInicioCantMes+2),"")</f>
        <v/>
      </c>
      <c r="F97" s="111" t="str">
        <f>IFERROR(INDEX(Venta!FcDetalle,MATCH(CONCATENATE(A97,"LYS"),Venta!FcClave,0),FcInicioCantMes+3),"")</f>
        <v/>
      </c>
      <c r="G97" s="111" t="str">
        <f>IFERROR(INDEX(Venta!FcDetalle,MATCH(CONCATENATE(A97,"LYS"),Venta!FcClave,0),FcInicioCantMes+4),"")</f>
        <v/>
      </c>
      <c r="H97" s="111" t="str">
        <f>IFERROR(INDEX(Venta!FcDetalle,MATCH(CONCATENATE(A97,"LYS"),Venta!FcClave,0),FcInicioCantMes+5),"")</f>
        <v/>
      </c>
      <c r="I97" s="111" t="str">
        <f>IFERROR(INDEX(Venta!FcDetalle,MATCH(CONCATENATE(A97,"LYS"),Venta!FcClave,0),FcInicioCantMes+6),"")</f>
        <v/>
      </c>
      <c r="J97" s="111" t="str">
        <f>IFERROR(INDEX(Venta!FcDetalle,MATCH(CONCATENATE(A97,"LYS"),Venta!FcClave,0),FcInicioCantMes+7),"")</f>
        <v/>
      </c>
      <c r="K97" s="111" t="str">
        <f>IFERROR(INDEX(Venta!FcDetalle,MATCH(CONCATENATE(A97,"LYS"),Venta!FcClave,0),FcInicioCantMes+8),"")</f>
        <v/>
      </c>
      <c r="L97" s="111" t="str">
        <f>IFERROR(INDEX(Venta!FcDetalle,MATCH(CONCATENATE(A97,"LYS"),Venta!FcClave,0),FcInicioCantMes+9),"")</f>
        <v/>
      </c>
      <c r="M97" s="111" t="str">
        <f>IFERROR(INDEX(Venta!FcDetalle,MATCH(CONCATENATE(A97,"LYS"),Venta!FcClave,0),FcInicioCantMes+10),"")</f>
        <v/>
      </c>
      <c r="N97" s="111" t="str">
        <f>IFERROR(INDEX(Venta!FcDetalle,MATCH(CONCATENATE(A97,"LYS"),Venta!FcClave,0),FcInicioCantMes+11),"")</f>
        <v/>
      </c>
      <c r="O97" s="112" t="str">
        <f>IFERROR(INDEX(Venta!FcDetalle,MATCH(CONCATENATE(A97,"LYS"),Venta!FcClave,0),FcInicioCantMes+12),"")</f>
        <v/>
      </c>
      <c r="Q97" s="142" t="str">
        <f>IFERROR(INDEX(Venta!FcDetalle,MATCH(CONCATENATE(A97,"LYS"),Venta!FcClave,0),FcInicioCantAnual+0),"")</f>
        <v/>
      </c>
      <c r="R97" s="63" t="str">
        <f>IFERROR(INDEX(Venta!FcDetalle,MATCH(CONCATENATE(A97,"LYS"),Venta!FcClave,0),FcInicioCantAnual+1),"")</f>
        <v/>
      </c>
      <c r="S97" s="63" t="str">
        <f>IFERROR(INDEX(Venta!FcDetalle,MATCH(CONCATENATE(A97,"LYS"),Venta!FcClave,0),FcInicioCantAnual+2),"")</f>
        <v/>
      </c>
      <c r="T97" s="63" t="str">
        <f>IFERROR(INDEX(Venta!FcDetalle,MATCH(CONCATENATE(A97,"LYS"),Venta!FcClave,0),FcInicioCantAnual+3),"")</f>
        <v/>
      </c>
      <c r="U97" s="64" t="str">
        <f>IFERROR(IF(FcCheckProy=FALSE,INDEX(Venta!FcDetalle,MATCH(CONCATENATE(A97,"LYS"),Venta!FcClave,0),FcInicioCantAnual+4),INDEX(Venta!FcDetalle,MATCH(CONCATENATE(A97,"LYS"),Venta!FcClave,0),FcInicioCantAnual+5)),"")</f>
        <v/>
      </c>
    </row>
    <row r="98" spans="1:21" hidden="1" outlineLevel="1" x14ac:dyDescent="0.2">
      <c r="A98" s="43" t="str">
        <f>IF($I$9="-","",$I$9)</f>
        <v/>
      </c>
      <c r="B98" s="98" t="str">
        <f>IFERROR(INDEX(Maestro!FcDetalle,MATCH(A98,Maestro!FcClave,0),5),"")</f>
        <v/>
      </c>
      <c r="C98" s="111" t="str">
        <f>IFERROR(INDEX(Venta!FcDetalle,MATCH(CONCATENATE(A98,"LYS"),Venta!FcClave,0),FcInicioCantMes+0),"")</f>
        <v/>
      </c>
      <c r="D98" s="111" t="str">
        <f>IFERROR(INDEX(Venta!FcDetalle,MATCH(CONCATENATE(A98,"LYS"),Venta!FcClave,0),FcInicioCantMes+1),"")</f>
        <v/>
      </c>
      <c r="E98" s="111" t="str">
        <f>IFERROR(INDEX(Venta!FcDetalle,MATCH(CONCATENATE(A98,"LYS"),Venta!FcClave,0),FcInicioCantMes+2),"")</f>
        <v/>
      </c>
      <c r="F98" s="111" t="str">
        <f>IFERROR(INDEX(Venta!FcDetalle,MATCH(CONCATENATE(A98,"LYS"),Venta!FcClave,0),FcInicioCantMes+3),"")</f>
        <v/>
      </c>
      <c r="G98" s="111" t="str">
        <f>IFERROR(INDEX(Venta!FcDetalle,MATCH(CONCATENATE(A98,"LYS"),Venta!FcClave,0),FcInicioCantMes+4),"")</f>
        <v/>
      </c>
      <c r="H98" s="111" t="str">
        <f>IFERROR(INDEX(Venta!FcDetalle,MATCH(CONCATENATE(A98,"LYS"),Venta!FcClave,0),FcInicioCantMes+5),"")</f>
        <v/>
      </c>
      <c r="I98" s="111" t="str">
        <f>IFERROR(INDEX(Venta!FcDetalle,MATCH(CONCATENATE(A98,"LYS"),Venta!FcClave,0),FcInicioCantMes+6),"")</f>
        <v/>
      </c>
      <c r="J98" s="111" t="str">
        <f>IFERROR(INDEX(Venta!FcDetalle,MATCH(CONCATENATE(A98,"LYS"),Venta!FcClave,0),FcInicioCantMes+7),"")</f>
        <v/>
      </c>
      <c r="K98" s="111" t="str">
        <f>IFERROR(INDEX(Venta!FcDetalle,MATCH(CONCATENATE(A98,"LYS"),Venta!FcClave,0),FcInicioCantMes+8),"")</f>
        <v/>
      </c>
      <c r="L98" s="111" t="str">
        <f>IFERROR(INDEX(Venta!FcDetalle,MATCH(CONCATENATE(A98,"LYS"),Venta!FcClave,0),FcInicioCantMes+9),"")</f>
        <v/>
      </c>
      <c r="M98" s="111" t="str">
        <f>IFERROR(INDEX(Venta!FcDetalle,MATCH(CONCATENATE(A98,"LYS"),Venta!FcClave,0),FcInicioCantMes+10),"")</f>
        <v/>
      </c>
      <c r="N98" s="111" t="str">
        <f>IFERROR(INDEX(Venta!FcDetalle,MATCH(CONCATENATE(A98,"LYS"),Venta!FcClave,0),FcInicioCantMes+11),"")</f>
        <v/>
      </c>
      <c r="O98" s="112" t="str">
        <f>IFERROR(INDEX(Venta!FcDetalle,MATCH(CONCATENATE(A98,"LYS"),Venta!FcClave,0),FcInicioCantMes+12),"")</f>
        <v/>
      </c>
      <c r="Q98" s="142" t="str">
        <f>IFERROR(INDEX(Venta!FcDetalle,MATCH(CONCATENATE(A98,"LYS"),Venta!FcClave,0),FcInicioCantAnual+0),"")</f>
        <v/>
      </c>
      <c r="R98" s="63" t="str">
        <f>IFERROR(INDEX(Venta!FcDetalle,MATCH(CONCATENATE(A98,"LYS"),Venta!FcClave,0),FcInicioCantAnual+1),"")</f>
        <v/>
      </c>
      <c r="S98" s="63" t="str">
        <f>IFERROR(INDEX(Venta!FcDetalle,MATCH(CONCATENATE(A98,"LYS"),Venta!FcClave,0),FcInicioCantAnual+2),"")</f>
        <v/>
      </c>
      <c r="T98" s="63" t="str">
        <f>IFERROR(INDEX(Venta!FcDetalle,MATCH(CONCATENATE(A98,"LYS"),Venta!FcClave,0),FcInicioCantAnual+3),"")</f>
        <v/>
      </c>
      <c r="U98" s="64" t="str">
        <f>IFERROR(IF(FcCheckProy=FALSE,INDEX(Venta!FcDetalle,MATCH(CONCATENATE(A98,"LYS"),Venta!FcClave,0),FcInicioCantAnual+4),INDEX(Venta!FcDetalle,MATCH(CONCATENATE(A98,"LYS"),Venta!FcClave,0),FcInicioCantAnual+5)),"")</f>
        <v/>
      </c>
    </row>
    <row r="99" spans="1:21" hidden="1" outlineLevel="1" x14ac:dyDescent="0.2">
      <c r="A99" s="43" t="str">
        <f>IF($J$9="-","",$J$9)</f>
        <v/>
      </c>
      <c r="B99" s="98" t="str">
        <f>IFERROR(INDEX(Maestro!FcDetalle,MATCH(A99,Maestro!FcClave,0),5),"")</f>
        <v/>
      </c>
      <c r="C99" s="111" t="str">
        <f>IFERROR(INDEX(Venta!FcDetalle,MATCH(CONCATENATE(A99,"LYS"),Venta!FcClave,0),FcInicioCantMes+0),"")</f>
        <v/>
      </c>
      <c r="D99" s="111" t="str">
        <f>IFERROR(INDEX(Venta!FcDetalle,MATCH(CONCATENATE(A99,"LYS"),Venta!FcClave,0),FcInicioCantMes+1),"")</f>
        <v/>
      </c>
      <c r="E99" s="111" t="str">
        <f>IFERROR(INDEX(Venta!FcDetalle,MATCH(CONCATENATE(A99,"LYS"),Venta!FcClave,0),FcInicioCantMes+2),"")</f>
        <v/>
      </c>
      <c r="F99" s="111" t="str">
        <f>IFERROR(INDEX(Venta!FcDetalle,MATCH(CONCATENATE(A99,"LYS"),Venta!FcClave,0),FcInicioCantMes+3),"")</f>
        <v/>
      </c>
      <c r="G99" s="111" t="str">
        <f>IFERROR(INDEX(Venta!FcDetalle,MATCH(CONCATENATE(A99,"LYS"),Venta!FcClave,0),FcInicioCantMes+4),"")</f>
        <v/>
      </c>
      <c r="H99" s="111" t="str">
        <f>IFERROR(INDEX(Venta!FcDetalle,MATCH(CONCATENATE(A99,"LYS"),Venta!FcClave,0),FcInicioCantMes+5),"")</f>
        <v/>
      </c>
      <c r="I99" s="111" t="str">
        <f>IFERROR(INDEX(Venta!FcDetalle,MATCH(CONCATENATE(A99,"LYS"),Venta!FcClave,0),FcInicioCantMes+6),"")</f>
        <v/>
      </c>
      <c r="J99" s="111" t="str">
        <f>IFERROR(INDEX(Venta!FcDetalle,MATCH(CONCATENATE(A99,"LYS"),Venta!FcClave,0),FcInicioCantMes+7),"")</f>
        <v/>
      </c>
      <c r="K99" s="111" t="str">
        <f>IFERROR(INDEX(Venta!FcDetalle,MATCH(CONCATENATE(A99,"LYS"),Venta!FcClave,0),FcInicioCantMes+8),"")</f>
        <v/>
      </c>
      <c r="L99" s="111" t="str">
        <f>IFERROR(INDEX(Venta!FcDetalle,MATCH(CONCATENATE(A99,"LYS"),Venta!FcClave,0),FcInicioCantMes+9),"")</f>
        <v/>
      </c>
      <c r="M99" s="111" t="str">
        <f>IFERROR(INDEX(Venta!FcDetalle,MATCH(CONCATENATE(A99,"LYS"),Venta!FcClave,0),FcInicioCantMes+10),"")</f>
        <v/>
      </c>
      <c r="N99" s="111" t="str">
        <f>IFERROR(INDEX(Venta!FcDetalle,MATCH(CONCATENATE(A99,"LYS"),Venta!FcClave,0),FcInicioCantMes+11),"")</f>
        <v/>
      </c>
      <c r="O99" s="112" t="str">
        <f>IFERROR(INDEX(Venta!FcDetalle,MATCH(CONCATENATE(A99,"LYS"),Venta!FcClave,0),FcInicioCantMes+12),"")</f>
        <v/>
      </c>
      <c r="Q99" s="142" t="str">
        <f>IFERROR(INDEX(Venta!FcDetalle,MATCH(CONCATENATE(A99,"LYS"),Venta!FcClave,0),FcInicioCantAnual+0),"")</f>
        <v/>
      </c>
      <c r="R99" s="63" t="str">
        <f>IFERROR(INDEX(Venta!FcDetalle,MATCH(CONCATENATE(A99,"LYS"),Venta!FcClave,0),FcInicioCantAnual+1),"")</f>
        <v/>
      </c>
      <c r="S99" s="63" t="str">
        <f>IFERROR(INDEX(Venta!FcDetalle,MATCH(CONCATENATE(A99,"LYS"),Venta!FcClave,0),FcInicioCantAnual+2),"")</f>
        <v/>
      </c>
      <c r="T99" s="63" t="str">
        <f>IFERROR(INDEX(Venta!FcDetalle,MATCH(CONCATENATE(A99,"LYS"),Venta!FcClave,0),FcInicioCantAnual+3),"")</f>
        <v/>
      </c>
      <c r="U99" s="64" t="str">
        <f>IFERROR(IF(FcCheckProy=FALSE,INDEX(Venta!FcDetalle,MATCH(CONCATENATE(A99,"LYS"),Venta!FcClave,0),FcInicioCantAnual+4),INDEX(Venta!FcDetalle,MATCH(CONCATENATE(A99,"LYS"),Venta!FcClave,0),FcInicioCantAnual+5)),"")</f>
        <v/>
      </c>
    </row>
    <row r="100" spans="1:21" ht="13.5" hidden="1" outlineLevel="1" thickBot="1" x14ac:dyDescent="0.25">
      <c r="A100" s="97" t="str">
        <f>IF($K$9="-","",$K$9)</f>
        <v/>
      </c>
      <c r="B100" s="98" t="str">
        <f>IFERROR(INDEX(Maestro!FcDetalle,MATCH(A100,Maestro!FcClave,0),5),"")</f>
        <v/>
      </c>
      <c r="C100" s="111" t="str">
        <f>IFERROR(INDEX(Venta!FcDetalle,MATCH(CONCATENATE(A100,"LYS"),Venta!FcClave,0),FcInicioCantMes+0),"")</f>
        <v/>
      </c>
      <c r="D100" s="111" t="str">
        <f>IFERROR(INDEX(Venta!FcDetalle,MATCH(CONCATENATE(A100,"LYS"),Venta!FcClave,0),FcInicioCantMes+1),"")</f>
        <v/>
      </c>
      <c r="E100" s="111" t="str">
        <f>IFERROR(INDEX(Venta!FcDetalle,MATCH(CONCATENATE(A100,"LYS"),Venta!FcClave,0),FcInicioCantMes+2),"")</f>
        <v/>
      </c>
      <c r="F100" s="111" t="str">
        <f>IFERROR(INDEX(Venta!FcDetalle,MATCH(CONCATENATE(A100,"LYS"),Venta!FcClave,0),FcInicioCantMes+3),"")</f>
        <v/>
      </c>
      <c r="G100" s="111" t="str">
        <f>IFERROR(INDEX(Venta!FcDetalle,MATCH(CONCATENATE(A100,"LYS"),Venta!FcClave,0),FcInicioCantMes+4),"")</f>
        <v/>
      </c>
      <c r="H100" s="111" t="str">
        <f>IFERROR(INDEX(Venta!FcDetalle,MATCH(CONCATENATE(A100,"LYS"),Venta!FcClave,0),FcInicioCantMes+5),"")</f>
        <v/>
      </c>
      <c r="I100" s="111" t="str">
        <f>IFERROR(INDEX(Venta!FcDetalle,MATCH(CONCATENATE(A100,"LYS"),Venta!FcClave,0),FcInicioCantMes+6),"")</f>
        <v/>
      </c>
      <c r="J100" s="111" t="str">
        <f>IFERROR(INDEX(Venta!FcDetalle,MATCH(CONCATENATE(A100,"LYS"),Venta!FcClave,0),FcInicioCantMes+7),"")</f>
        <v/>
      </c>
      <c r="K100" s="111" t="str">
        <f>IFERROR(INDEX(Venta!FcDetalle,MATCH(CONCATENATE(A100,"LYS"),Venta!FcClave,0),FcInicioCantMes+8),"")</f>
        <v/>
      </c>
      <c r="L100" s="111" t="str">
        <f>IFERROR(INDEX(Venta!FcDetalle,MATCH(CONCATENATE(A100,"LYS"),Venta!FcClave,0),FcInicioCantMes+9),"")</f>
        <v/>
      </c>
      <c r="M100" s="111" t="str">
        <f>IFERROR(INDEX(Venta!FcDetalle,MATCH(CONCATENATE(A100,"LYS"),Venta!FcClave,0),FcInicioCantMes+10),"")</f>
        <v/>
      </c>
      <c r="N100" s="111" t="str">
        <f>IFERROR(INDEX(Venta!FcDetalle,MATCH(CONCATENATE(A100,"LYS"),Venta!FcClave,0),FcInicioCantMes+11),"")</f>
        <v/>
      </c>
      <c r="O100" s="112" t="str">
        <f>IFERROR(INDEX(Venta!FcDetalle,MATCH(CONCATENATE(A100,"LYS"),Venta!FcClave,0),FcInicioCantMes+12),"")</f>
        <v/>
      </c>
      <c r="Q100" s="142" t="str">
        <f>IFERROR(INDEX(Venta!FcDetalle,MATCH(CONCATENATE(A100,"LYS"),Venta!FcClave,0),FcInicioCantAnual+0),"")</f>
        <v/>
      </c>
      <c r="R100" s="63" t="str">
        <f>IFERROR(INDEX(Venta!FcDetalle,MATCH(CONCATENATE(A100,"LYS"),Venta!FcClave,0),FcInicioCantAnual+1),"")</f>
        <v/>
      </c>
      <c r="S100" s="63" t="str">
        <f>IFERROR(INDEX(Venta!FcDetalle,MATCH(CONCATENATE(A100,"LYS"),Venta!FcClave,0),FcInicioCantAnual+2),"")</f>
        <v/>
      </c>
      <c r="T100" s="63" t="str">
        <f>IFERROR(INDEX(Venta!FcDetalle,MATCH(CONCATENATE(A100,"LYS"),Venta!FcClave,0),FcInicioCantAnual+3),"")</f>
        <v/>
      </c>
      <c r="U100" s="64" t="str">
        <f>IFERROR(IF(FcCheckProy=FALSE,INDEX(Venta!FcDetalle,MATCH(CONCATENATE(A100,"LYS"),Venta!FcClave,0),FcInicioCantAnual+4),INDEX(Venta!FcDetalle,MATCH(CONCATENATE(A100,"LYS"),Venta!FcClave,0),FcInicioCantAnual+5)),"")</f>
        <v/>
      </c>
    </row>
    <row r="101" spans="1:21" ht="13.5" collapsed="1" thickBot="1" x14ac:dyDescent="0.25">
      <c r="A101" s="113" t="s">
        <v>21</v>
      </c>
      <c r="B101" s="114"/>
      <c r="C101" s="115">
        <f t="shared" ref="C101:O101" si="16">SUM(C91:C100)</f>
        <v>0</v>
      </c>
      <c r="D101" s="115">
        <f t="shared" si="16"/>
        <v>0</v>
      </c>
      <c r="E101" s="115">
        <f t="shared" si="16"/>
        <v>0</v>
      </c>
      <c r="F101" s="115">
        <f t="shared" si="16"/>
        <v>0</v>
      </c>
      <c r="G101" s="115">
        <f t="shared" si="16"/>
        <v>0</v>
      </c>
      <c r="H101" s="115">
        <f t="shared" si="16"/>
        <v>0</v>
      </c>
      <c r="I101" s="115">
        <f t="shared" si="16"/>
        <v>0</v>
      </c>
      <c r="J101" s="115">
        <f t="shared" si="16"/>
        <v>0</v>
      </c>
      <c r="K101" s="115">
        <f t="shared" si="16"/>
        <v>0</v>
      </c>
      <c r="L101" s="115">
        <f t="shared" si="16"/>
        <v>0</v>
      </c>
      <c r="M101" s="115">
        <f t="shared" si="16"/>
        <v>0</v>
      </c>
      <c r="N101" s="115">
        <f t="shared" si="16"/>
        <v>0</v>
      </c>
      <c r="O101" s="116">
        <f t="shared" si="16"/>
        <v>0</v>
      </c>
      <c r="Q101" s="143">
        <f>SUM(Q91:Q100)</f>
        <v>0</v>
      </c>
      <c r="R101" s="144">
        <f>SUM(R91:R100)</f>
        <v>0</v>
      </c>
      <c r="S101" s="144">
        <f>SUM(S91:S100)</f>
        <v>0</v>
      </c>
      <c r="T101" s="144">
        <f>SUM(T91:T100)</f>
        <v>0</v>
      </c>
      <c r="U101" s="145">
        <f>SUM(U91:U100)</f>
        <v>0</v>
      </c>
    </row>
    <row r="102" spans="1:21" hidden="1" outlineLevel="1" x14ac:dyDescent="0.2">
      <c r="A102" s="43">
        <f>IF($E$10="-",$C$4,$E$10)</f>
        <v>6005</v>
      </c>
      <c r="B102" s="98" t="str">
        <f>IFERROR(INDEX(Maestro!FcDetalle,MATCH(A102,Maestro!FcClave,0),5),"")</f>
        <v/>
      </c>
      <c r="C102" s="111" t="str">
        <f>IFERROR(INDEX(Venta!FcDetalle,MATCH(CONCATENATE(A102,"HPE"),Venta!FcClave,0),FcInicioCantMes+0),"")</f>
        <v/>
      </c>
      <c r="D102" s="111" t="str">
        <f>IFERROR(INDEX(Venta!FcDetalle,MATCH(CONCATENATE(A102,"HPE"),Venta!FcClave,0),FcInicioCantMes+1),"")</f>
        <v/>
      </c>
      <c r="E102" s="111" t="str">
        <f>IFERROR(INDEX(Venta!FcDetalle,MATCH(CONCATENATE(A102,"HPE"),Venta!FcClave,0),FcInicioCantMes+2),"")</f>
        <v/>
      </c>
      <c r="F102" s="111" t="str">
        <f>IFERROR(INDEX(Venta!FcDetalle,MATCH(CONCATENATE(A102,"HPE"),Venta!FcClave,0),FcInicioCantMes+3),"")</f>
        <v/>
      </c>
      <c r="G102" s="111" t="str">
        <f>IFERROR(INDEX(Venta!FcDetalle,MATCH(CONCATENATE(A102,"HPE"),Venta!FcClave,0),FcInicioCantMes+4),"")</f>
        <v/>
      </c>
      <c r="H102" s="111" t="str">
        <f>IFERROR(INDEX(Venta!FcDetalle,MATCH(CONCATENATE(A102,"HPE"),Venta!FcClave,0),FcInicioCantMes+5),"")</f>
        <v/>
      </c>
      <c r="I102" s="111" t="str">
        <f>IFERROR(INDEX(Venta!FcDetalle,MATCH(CONCATENATE(A102,"HPE"),Venta!FcClave,0),FcInicioCantMes+6),"")</f>
        <v/>
      </c>
      <c r="J102" s="111" t="str">
        <f>IFERROR(INDEX(Venta!FcDetalle,MATCH(CONCATENATE(A102,"HPE"),Venta!FcClave,0),FcInicioCantMes+7),"")</f>
        <v/>
      </c>
      <c r="K102" s="111" t="str">
        <f>IFERROR(INDEX(Venta!FcDetalle,MATCH(CONCATENATE(A102,"HPE"),Venta!FcClave,0),FcInicioCantMes+8),"")</f>
        <v/>
      </c>
      <c r="L102" s="111" t="str">
        <f>IFERROR(INDEX(Venta!FcDetalle,MATCH(CONCATENATE(A102,"HPE"),Venta!FcClave,0),FcInicioCantMes+9),"")</f>
        <v/>
      </c>
      <c r="M102" s="111" t="str">
        <f>IFERROR(INDEX(Venta!FcDetalle,MATCH(CONCATENATE(A102,"HPE"),Venta!FcClave,0),FcInicioCantMes+10),"")</f>
        <v/>
      </c>
      <c r="N102" s="111" t="str">
        <f>IFERROR(INDEX(Venta!FcDetalle,MATCH(CONCATENATE(A102,"HPE"),Venta!FcClave,0),FcInicioCantMes+11),"")</f>
        <v/>
      </c>
      <c r="O102" s="112" t="str">
        <f>IFERROR(INDEX(Venta!FcDetalle,MATCH(CONCATENATE(A102,"HPE"),Venta!FcClave,0),FcInicioCantMes+12),"")</f>
        <v/>
      </c>
      <c r="P102" s="9"/>
      <c r="Q102" s="146" t="str">
        <f>IFERROR(INDEX(Venta!FcDetalle,MATCH(CONCATENATE(A102,"HPE"),Venta!FcClave,0),FcInicioCantAnual+0),"")</f>
        <v/>
      </c>
      <c r="R102" s="147" t="str">
        <f>IFERROR(INDEX(Venta!FcDetalle,MATCH(CONCATENATE(A102,"HPE"),Venta!FcClave,0),FcInicioCantAnual+1),"")</f>
        <v/>
      </c>
      <c r="S102" s="147" t="str">
        <f>IFERROR(INDEX(Venta!FcDetalle,MATCH(CONCATENATE(A102,"HPE"),Venta!FcClave,0),FcInicioCantAnual+2),"")</f>
        <v/>
      </c>
      <c r="T102" s="147" t="str">
        <f>IFERROR(INDEX(Venta!FcDetalle,MATCH(CONCATENATE(A102,"HPE"),Venta!FcClave,0),FcInicioCantAnual+3),"")</f>
        <v/>
      </c>
      <c r="U102" s="148" t="str">
        <f>IFERROR(IF(FcCheckProy=FALSE,INDEX(Venta!FcDetalle,MATCH(CONCATENATE(A102,"HPE"),Venta!FcClave,0),FcInicioCantAnual+4),INDEX(Venta!FcDetalle,MATCH(CONCATENATE(A102,"HPE"),Venta!FcClave,0),FcInicioCantAnual+5)),"")</f>
        <v/>
      </c>
    </row>
    <row r="103" spans="1:21" hidden="1" outlineLevel="1" x14ac:dyDescent="0.2">
      <c r="A103" s="43" t="str">
        <f>IF($F$10="-","",$F$10)</f>
        <v/>
      </c>
      <c r="B103" s="98" t="str">
        <f>IFERROR(INDEX(Maestro!FcDetalle,MATCH(A103,Maestro!FcClave,0),5),"")</f>
        <v/>
      </c>
      <c r="C103" s="111" t="str">
        <f>IFERROR(INDEX(Venta!FcDetalle,MATCH(CONCATENATE(A103,"HPE"),Venta!FcClave,0),FcInicioCantMes+0),"")</f>
        <v/>
      </c>
      <c r="D103" s="111" t="str">
        <f>IFERROR(INDEX(Venta!FcDetalle,MATCH(CONCATENATE(A103,"HPE"),Venta!FcClave,0),FcInicioCantMes+1),"")</f>
        <v/>
      </c>
      <c r="E103" s="111" t="str">
        <f>IFERROR(INDEX(Venta!FcDetalle,MATCH(CONCATENATE(A103,"HPE"),Venta!FcClave,0),FcInicioCantMes+2),"")</f>
        <v/>
      </c>
      <c r="F103" s="111" t="str">
        <f>IFERROR(INDEX(Venta!FcDetalle,MATCH(CONCATENATE(A103,"HPE"),Venta!FcClave,0),FcInicioCantMes+3),"")</f>
        <v/>
      </c>
      <c r="G103" s="111" t="str">
        <f>IFERROR(INDEX(Venta!FcDetalle,MATCH(CONCATENATE(A103,"HPE"),Venta!FcClave,0),FcInicioCantMes+4),"")</f>
        <v/>
      </c>
      <c r="H103" s="111" t="str">
        <f>IFERROR(INDEX(Venta!FcDetalle,MATCH(CONCATENATE(A103,"HPE"),Venta!FcClave,0),FcInicioCantMes+5),"")</f>
        <v/>
      </c>
      <c r="I103" s="111" t="str">
        <f>IFERROR(INDEX(Venta!FcDetalle,MATCH(CONCATENATE(A103,"HPE"),Venta!FcClave,0),FcInicioCantMes+6),"")</f>
        <v/>
      </c>
      <c r="J103" s="111" t="str">
        <f>IFERROR(INDEX(Venta!FcDetalle,MATCH(CONCATENATE(A103,"HPE"),Venta!FcClave,0),FcInicioCantMes+7),"")</f>
        <v/>
      </c>
      <c r="K103" s="111" t="str">
        <f>IFERROR(INDEX(Venta!FcDetalle,MATCH(CONCATENATE(A103,"HPE"),Venta!FcClave,0),FcInicioCantMes+8),"")</f>
        <v/>
      </c>
      <c r="L103" s="111" t="str">
        <f>IFERROR(INDEX(Venta!FcDetalle,MATCH(CONCATENATE(A103,"HPE"),Venta!FcClave,0),FcInicioCantMes+9),"")</f>
        <v/>
      </c>
      <c r="M103" s="111" t="str">
        <f>IFERROR(INDEX(Venta!FcDetalle,MATCH(CONCATENATE(A103,"HPE"),Venta!FcClave,0),FcInicioCantMes+10),"")</f>
        <v/>
      </c>
      <c r="N103" s="111" t="str">
        <f>IFERROR(INDEX(Venta!FcDetalle,MATCH(CONCATENATE(A103,"HPE"),Venta!FcClave,0),FcInicioCantMes+11),"")</f>
        <v/>
      </c>
      <c r="O103" s="112" t="str">
        <f>IFERROR(INDEX(Venta!FcDetalle,MATCH(CONCATENATE(A103,"HPE"),Venta!FcClave,0),FcInicioCantMes+12),"")</f>
        <v/>
      </c>
      <c r="Q103" s="142" t="str">
        <f>IFERROR(INDEX(Venta!FcDetalle,MATCH(CONCATENATE(A103,"HPE"),Venta!FcClave,0),FcInicioCantAnual+0),"")</f>
        <v/>
      </c>
      <c r="R103" s="63" t="str">
        <f>IFERROR(INDEX(Venta!FcDetalle,MATCH(CONCATENATE(A103,"HPE"),Venta!FcClave,0),FcInicioCantAnual+1),"")</f>
        <v/>
      </c>
      <c r="S103" s="63" t="str">
        <f>IFERROR(INDEX(Venta!FcDetalle,MATCH(CONCATENATE(A103,"HPE"),Venta!FcClave,0),FcInicioCantAnual+2),"")</f>
        <v/>
      </c>
      <c r="T103" s="63" t="str">
        <f>IFERROR(INDEX(Venta!FcDetalle,MATCH(CONCATENATE(A103,"HPE"),Venta!FcClave,0),FcInicioCantAnual+3),"")</f>
        <v/>
      </c>
      <c r="U103" s="64" t="str">
        <f>IFERROR(IF(FcCheckProy=FALSE,INDEX(Venta!FcDetalle,MATCH(CONCATENATE(A103,"HPE"),Venta!FcClave,0),FcInicioCantAnual+4),INDEX(Venta!FcDetalle,MATCH(CONCATENATE(A103,"HPE"),Venta!FcClave,0),FcInicioCantAnual+5)),"")</f>
        <v/>
      </c>
    </row>
    <row r="104" spans="1:21" hidden="1" outlineLevel="1" x14ac:dyDescent="0.2">
      <c r="A104" s="43" t="str">
        <f>IF($G$10="-","",$G$10)</f>
        <v/>
      </c>
      <c r="B104" s="98" t="str">
        <f>IFERROR(INDEX(Maestro!FcDetalle,MATCH(A104,Maestro!FcClave,0),5),"")</f>
        <v/>
      </c>
      <c r="C104" s="111" t="str">
        <f>IFERROR(INDEX(Venta!FcDetalle,MATCH(CONCATENATE(A104,"HPE"),Venta!FcClave,0),FcInicioCantMes+0),"")</f>
        <v/>
      </c>
      <c r="D104" s="111" t="str">
        <f>IFERROR(INDEX(Venta!FcDetalle,MATCH(CONCATENATE(A104,"HPE"),Venta!FcClave,0),FcInicioCantMes+1),"")</f>
        <v/>
      </c>
      <c r="E104" s="111" t="str">
        <f>IFERROR(INDEX(Venta!FcDetalle,MATCH(CONCATENATE(A104,"HPE"),Venta!FcClave,0),FcInicioCantMes+2),"")</f>
        <v/>
      </c>
      <c r="F104" s="111" t="str">
        <f>IFERROR(INDEX(Venta!FcDetalle,MATCH(CONCATENATE(A104,"HPE"),Venta!FcClave,0),FcInicioCantMes+3),"")</f>
        <v/>
      </c>
      <c r="G104" s="111" t="str">
        <f>IFERROR(INDEX(Venta!FcDetalle,MATCH(CONCATENATE(A104,"HPE"),Venta!FcClave,0),FcInicioCantMes+4),"")</f>
        <v/>
      </c>
      <c r="H104" s="111" t="str">
        <f>IFERROR(INDEX(Venta!FcDetalle,MATCH(CONCATENATE(A104,"HPE"),Venta!FcClave,0),FcInicioCantMes+5),"")</f>
        <v/>
      </c>
      <c r="I104" s="111" t="str">
        <f>IFERROR(INDEX(Venta!FcDetalle,MATCH(CONCATENATE(A104,"HPE"),Venta!FcClave,0),FcInicioCantMes+6),"")</f>
        <v/>
      </c>
      <c r="J104" s="111" t="str">
        <f>IFERROR(INDEX(Venta!FcDetalle,MATCH(CONCATENATE(A104,"HPE"),Venta!FcClave,0),FcInicioCantMes+7),"")</f>
        <v/>
      </c>
      <c r="K104" s="111" t="str">
        <f>IFERROR(INDEX(Venta!FcDetalle,MATCH(CONCATENATE(A104,"HPE"),Venta!FcClave,0),FcInicioCantMes+8),"")</f>
        <v/>
      </c>
      <c r="L104" s="111" t="str">
        <f>IFERROR(INDEX(Venta!FcDetalle,MATCH(CONCATENATE(A104,"HPE"),Venta!FcClave,0),FcInicioCantMes+9),"")</f>
        <v/>
      </c>
      <c r="M104" s="111" t="str">
        <f>IFERROR(INDEX(Venta!FcDetalle,MATCH(CONCATENATE(A104,"HPE"),Venta!FcClave,0),FcInicioCantMes+10),"")</f>
        <v/>
      </c>
      <c r="N104" s="111" t="str">
        <f>IFERROR(INDEX(Venta!FcDetalle,MATCH(CONCATENATE(A104,"HPE"),Venta!FcClave,0),FcInicioCantMes+11),"")</f>
        <v/>
      </c>
      <c r="O104" s="112" t="str">
        <f>IFERROR(INDEX(Venta!FcDetalle,MATCH(CONCATENATE(A104,"HPE"),Venta!FcClave,0),FcInicioCantMes+12),"")</f>
        <v/>
      </c>
      <c r="Q104" s="142" t="str">
        <f>IFERROR(INDEX(Venta!FcDetalle,MATCH(CONCATENATE(A104,"HPE"),Venta!FcClave,0),FcInicioCantAnual+0),"")</f>
        <v/>
      </c>
      <c r="R104" s="63" t="str">
        <f>IFERROR(INDEX(Venta!FcDetalle,MATCH(CONCATENATE(A104,"HPE"),Venta!FcClave,0),FcInicioCantAnual+1),"")</f>
        <v/>
      </c>
      <c r="S104" s="63" t="str">
        <f>IFERROR(INDEX(Venta!FcDetalle,MATCH(CONCATENATE(A104,"HPE"),Venta!FcClave,0),FcInicioCantAnual+2),"")</f>
        <v/>
      </c>
      <c r="T104" s="63" t="str">
        <f>IFERROR(INDEX(Venta!FcDetalle,MATCH(CONCATENATE(A104,"HPE"),Venta!FcClave,0),FcInicioCantAnual+3),"")</f>
        <v/>
      </c>
      <c r="U104" s="64" t="str">
        <f>IFERROR(IF(FcCheckProy=FALSE,INDEX(Venta!FcDetalle,MATCH(CONCATENATE(A104,"HPE"),Venta!FcClave,0),FcInicioCantAnual+4),INDEX(Venta!FcDetalle,MATCH(CONCATENATE(A104,"HPE"),Venta!FcClave,0),FcInicioCantAnual+5)),"")</f>
        <v/>
      </c>
    </row>
    <row r="105" spans="1:21" hidden="1" outlineLevel="1" x14ac:dyDescent="0.2">
      <c r="A105" s="43" t="str">
        <f>IF($H$10="-","",$H$10)</f>
        <v/>
      </c>
      <c r="B105" s="98" t="str">
        <f>IFERROR(INDEX(Maestro!FcDetalle,MATCH(A105,Maestro!FcClave,0),5),"")</f>
        <v/>
      </c>
      <c r="C105" s="111" t="str">
        <f>IFERROR(INDEX(Venta!FcDetalle,MATCH(CONCATENATE(A105,"HPE"),Venta!FcClave,0),FcInicioCantMes+0),"")</f>
        <v/>
      </c>
      <c r="D105" s="111" t="str">
        <f>IFERROR(INDEX(Venta!FcDetalle,MATCH(CONCATENATE(A105,"HPE"),Venta!FcClave,0),FcInicioCantMes+1),"")</f>
        <v/>
      </c>
      <c r="E105" s="111" t="str">
        <f>IFERROR(INDEX(Venta!FcDetalle,MATCH(CONCATENATE(A105,"HPE"),Venta!FcClave,0),FcInicioCantMes+2),"")</f>
        <v/>
      </c>
      <c r="F105" s="111" t="str">
        <f>IFERROR(INDEX(Venta!FcDetalle,MATCH(CONCATENATE(A105,"HPE"),Venta!FcClave,0),FcInicioCantMes+3),"")</f>
        <v/>
      </c>
      <c r="G105" s="111" t="str">
        <f>IFERROR(INDEX(Venta!FcDetalle,MATCH(CONCATENATE(A105,"HPE"),Venta!FcClave,0),FcInicioCantMes+4),"")</f>
        <v/>
      </c>
      <c r="H105" s="111" t="str">
        <f>IFERROR(INDEX(Venta!FcDetalle,MATCH(CONCATENATE(A105,"HPE"),Venta!FcClave,0),FcInicioCantMes+5),"")</f>
        <v/>
      </c>
      <c r="I105" s="111" t="str">
        <f>IFERROR(INDEX(Venta!FcDetalle,MATCH(CONCATENATE(A105,"HPE"),Venta!FcClave,0),FcInicioCantMes+6),"")</f>
        <v/>
      </c>
      <c r="J105" s="111" t="str">
        <f>IFERROR(INDEX(Venta!FcDetalle,MATCH(CONCATENATE(A105,"HPE"),Venta!FcClave,0),FcInicioCantMes+7),"")</f>
        <v/>
      </c>
      <c r="K105" s="111" t="str">
        <f>IFERROR(INDEX(Venta!FcDetalle,MATCH(CONCATENATE(A105,"HPE"),Venta!FcClave,0),FcInicioCantMes+8),"")</f>
        <v/>
      </c>
      <c r="L105" s="111" t="str">
        <f>IFERROR(INDEX(Venta!FcDetalle,MATCH(CONCATENATE(A105,"HPE"),Venta!FcClave,0),FcInicioCantMes+9),"")</f>
        <v/>
      </c>
      <c r="M105" s="111" t="str">
        <f>IFERROR(INDEX(Venta!FcDetalle,MATCH(CONCATENATE(A105,"HPE"),Venta!FcClave,0),FcInicioCantMes+10),"")</f>
        <v/>
      </c>
      <c r="N105" s="111" t="str">
        <f>IFERROR(INDEX(Venta!FcDetalle,MATCH(CONCATENATE(A105,"HPE"),Venta!FcClave,0),FcInicioCantMes+11),"")</f>
        <v/>
      </c>
      <c r="O105" s="112" t="str">
        <f>IFERROR(INDEX(Venta!FcDetalle,MATCH(CONCATENATE(A105,"HPE"),Venta!FcClave,0),FcInicioCantMes+12),"")</f>
        <v/>
      </c>
      <c r="Q105" s="142" t="str">
        <f>IFERROR(INDEX(Venta!FcDetalle,MATCH(CONCATENATE(A105,"HPE"),Venta!FcClave,0),FcInicioCantAnual+0),"")</f>
        <v/>
      </c>
      <c r="R105" s="63" t="str">
        <f>IFERROR(INDEX(Venta!FcDetalle,MATCH(CONCATENATE(A105,"HPE"),Venta!FcClave,0),FcInicioCantAnual+1),"")</f>
        <v/>
      </c>
      <c r="S105" s="63" t="str">
        <f>IFERROR(INDEX(Venta!FcDetalle,MATCH(CONCATENATE(A105,"HPE"),Venta!FcClave,0),FcInicioCantAnual+2),"")</f>
        <v/>
      </c>
      <c r="T105" s="63" t="str">
        <f>IFERROR(INDEX(Venta!FcDetalle,MATCH(CONCATENATE(A105,"HPE"),Venta!FcClave,0),FcInicioCantAnual+3),"")</f>
        <v/>
      </c>
      <c r="U105" s="64" t="str">
        <f>IFERROR(IF(FcCheckProy=FALSE,INDEX(Venta!FcDetalle,MATCH(CONCATENATE(A105,"HPE"),Venta!FcClave,0),FcInicioCantAnual+4),INDEX(Venta!FcDetalle,MATCH(CONCATENATE(A105,"HPE"),Venta!FcClave,0),FcInicioCantAnual+5)),"")</f>
        <v/>
      </c>
    </row>
    <row r="106" spans="1:21" hidden="1" outlineLevel="1" x14ac:dyDescent="0.2">
      <c r="A106" s="43" t="str">
        <f>IF($I$10="-","",$I$10)</f>
        <v/>
      </c>
      <c r="B106" s="98" t="str">
        <f>IFERROR(INDEX(Maestro!FcDetalle,MATCH(A106,Maestro!FcClave,0),5),"")</f>
        <v/>
      </c>
      <c r="C106" s="111" t="str">
        <f>IFERROR(INDEX(Venta!FcDetalle,MATCH(CONCATENATE(A106,"HPE"),Venta!FcClave,0),FcInicioCantMes+0),"")</f>
        <v/>
      </c>
      <c r="D106" s="111" t="str">
        <f>IFERROR(INDEX(Venta!FcDetalle,MATCH(CONCATENATE(A106,"HPE"),Venta!FcClave,0),FcInicioCantMes+1),"")</f>
        <v/>
      </c>
      <c r="E106" s="111" t="str">
        <f>IFERROR(INDEX(Venta!FcDetalle,MATCH(CONCATENATE(A106,"HPE"),Venta!FcClave,0),FcInicioCantMes+2),"")</f>
        <v/>
      </c>
      <c r="F106" s="111" t="str">
        <f>IFERROR(INDEX(Venta!FcDetalle,MATCH(CONCATENATE(A106,"HPE"),Venta!FcClave,0),FcInicioCantMes+3),"")</f>
        <v/>
      </c>
      <c r="G106" s="111" t="str">
        <f>IFERROR(INDEX(Venta!FcDetalle,MATCH(CONCATENATE(A106,"HPE"),Venta!FcClave,0),FcInicioCantMes+4),"")</f>
        <v/>
      </c>
      <c r="H106" s="111" t="str">
        <f>IFERROR(INDEX(Venta!FcDetalle,MATCH(CONCATENATE(A106,"HPE"),Venta!FcClave,0),FcInicioCantMes+5),"")</f>
        <v/>
      </c>
      <c r="I106" s="111" t="str">
        <f>IFERROR(INDEX(Venta!FcDetalle,MATCH(CONCATENATE(A106,"HPE"),Venta!FcClave,0),FcInicioCantMes+6),"")</f>
        <v/>
      </c>
      <c r="J106" s="111" t="str">
        <f>IFERROR(INDEX(Venta!FcDetalle,MATCH(CONCATENATE(A106,"HPE"),Venta!FcClave,0),FcInicioCantMes+7),"")</f>
        <v/>
      </c>
      <c r="K106" s="111" t="str">
        <f>IFERROR(INDEX(Venta!FcDetalle,MATCH(CONCATENATE(A106,"HPE"),Venta!FcClave,0),FcInicioCantMes+8),"")</f>
        <v/>
      </c>
      <c r="L106" s="111" t="str">
        <f>IFERROR(INDEX(Venta!FcDetalle,MATCH(CONCATENATE(A106,"HPE"),Venta!FcClave,0),FcInicioCantMes+9),"")</f>
        <v/>
      </c>
      <c r="M106" s="111" t="str">
        <f>IFERROR(INDEX(Venta!FcDetalle,MATCH(CONCATENATE(A106,"HPE"),Venta!FcClave,0),FcInicioCantMes+10),"")</f>
        <v/>
      </c>
      <c r="N106" s="111" t="str">
        <f>IFERROR(INDEX(Venta!FcDetalle,MATCH(CONCATENATE(A106,"HPE"),Venta!FcClave,0),FcInicioCantMes+11),"")</f>
        <v/>
      </c>
      <c r="O106" s="112" t="str">
        <f>IFERROR(INDEX(Venta!FcDetalle,MATCH(CONCATENATE(A106,"HPE"),Venta!FcClave,0),FcInicioCantMes+12),"")</f>
        <v/>
      </c>
      <c r="Q106" s="142" t="str">
        <f>IFERROR(INDEX(Venta!FcDetalle,MATCH(CONCATENATE(A106,"HPE"),Venta!FcClave,0),FcInicioCantAnual+0),"")</f>
        <v/>
      </c>
      <c r="R106" s="63" t="str">
        <f>IFERROR(INDEX(Venta!FcDetalle,MATCH(CONCATENATE(A106,"HPE"),Venta!FcClave,0),FcInicioCantAnual+1),"")</f>
        <v/>
      </c>
      <c r="S106" s="63" t="str">
        <f>IFERROR(INDEX(Venta!FcDetalle,MATCH(CONCATENATE(A106,"HPE"),Venta!FcClave,0),FcInicioCantAnual+2),"")</f>
        <v/>
      </c>
      <c r="T106" s="63" t="str">
        <f>IFERROR(INDEX(Venta!FcDetalle,MATCH(CONCATENATE(A106,"HPE"),Venta!FcClave,0),FcInicioCantAnual+3),"")</f>
        <v/>
      </c>
      <c r="U106" s="64" t="str">
        <f>IFERROR(IF(FcCheckProy=FALSE,INDEX(Venta!FcDetalle,MATCH(CONCATENATE(A106,"HPE"),Venta!FcClave,0),FcInicioCantAnual+4),INDEX(Venta!FcDetalle,MATCH(CONCATENATE(A106,"HPE"),Venta!FcClave,0),FcInicioCantAnual+5)),"")</f>
        <v/>
      </c>
    </row>
    <row r="107" spans="1:21" hidden="1" outlineLevel="1" x14ac:dyDescent="0.2">
      <c r="A107" s="43" t="str">
        <f>IF($J$10="-","",$J$10)</f>
        <v/>
      </c>
      <c r="B107" s="98" t="str">
        <f>IFERROR(INDEX(Maestro!FcDetalle,MATCH(A107,Maestro!FcClave,0),5),"")</f>
        <v/>
      </c>
      <c r="C107" s="111" t="str">
        <f>IFERROR(INDEX(Venta!FcDetalle,MATCH(CONCATENATE(A107,"HPE"),Venta!FcClave,0),FcInicioCantMes+0),"")</f>
        <v/>
      </c>
      <c r="D107" s="111" t="str">
        <f>IFERROR(INDEX(Venta!FcDetalle,MATCH(CONCATENATE(A107,"HPE"),Venta!FcClave,0),FcInicioCantMes+1),"")</f>
        <v/>
      </c>
      <c r="E107" s="111" t="str">
        <f>IFERROR(INDEX(Venta!FcDetalle,MATCH(CONCATENATE(A107,"HPE"),Venta!FcClave,0),FcInicioCantMes+2),"")</f>
        <v/>
      </c>
      <c r="F107" s="111" t="str">
        <f>IFERROR(INDEX(Venta!FcDetalle,MATCH(CONCATENATE(A107,"HPE"),Venta!FcClave,0),FcInicioCantMes+3),"")</f>
        <v/>
      </c>
      <c r="G107" s="111" t="str">
        <f>IFERROR(INDEX(Venta!FcDetalle,MATCH(CONCATENATE(A107,"HPE"),Venta!FcClave,0),FcInicioCantMes+4),"")</f>
        <v/>
      </c>
      <c r="H107" s="111" t="str">
        <f>IFERROR(INDEX(Venta!FcDetalle,MATCH(CONCATENATE(A107,"HPE"),Venta!FcClave,0),FcInicioCantMes+5),"")</f>
        <v/>
      </c>
      <c r="I107" s="111" t="str">
        <f>IFERROR(INDEX(Venta!FcDetalle,MATCH(CONCATENATE(A107,"HPE"),Venta!FcClave,0),FcInicioCantMes+6),"")</f>
        <v/>
      </c>
      <c r="J107" s="111" t="str">
        <f>IFERROR(INDEX(Venta!FcDetalle,MATCH(CONCATENATE(A107,"HPE"),Venta!FcClave,0),FcInicioCantMes+7),"")</f>
        <v/>
      </c>
      <c r="K107" s="111" t="str">
        <f>IFERROR(INDEX(Venta!FcDetalle,MATCH(CONCATENATE(A107,"HPE"),Venta!FcClave,0),FcInicioCantMes+8),"")</f>
        <v/>
      </c>
      <c r="L107" s="111" t="str">
        <f>IFERROR(INDEX(Venta!FcDetalle,MATCH(CONCATENATE(A107,"HPE"),Venta!FcClave,0),FcInicioCantMes+9),"")</f>
        <v/>
      </c>
      <c r="M107" s="111" t="str">
        <f>IFERROR(INDEX(Venta!FcDetalle,MATCH(CONCATENATE(A107,"HPE"),Venta!FcClave,0),FcInicioCantMes+10),"")</f>
        <v/>
      </c>
      <c r="N107" s="111" t="str">
        <f>IFERROR(INDEX(Venta!FcDetalle,MATCH(CONCATENATE(A107,"HPE"),Venta!FcClave,0),FcInicioCantMes+11),"")</f>
        <v/>
      </c>
      <c r="O107" s="112" t="str">
        <f>IFERROR(INDEX(Venta!FcDetalle,MATCH(CONCATENATE(A107,"HPE"),Venta!FcClave,0),FcInicioCantMes+12),"")</f>
        <v/>
      </c>
      <c r="Q107" s="142" t="str">
        <f>IFERROR(INDEX(Venta!FcDetalle,MATCH(CONCATENATE(A107,"HPE"),Venta!FcClave,0),FcInicioCantAnual+0),"")</f>
        <v/>
      </c>
      <c r="R107" s="63" t="str">
        <f>IFERROR(INDEX(Venta!FcDetalle,MATCH(CONCATENATE(A107,"HPE"),Venta!FcClave,0),FcInicioCantAnual+1),"")</f>
        <v/>
      </c>
      <c r="S107" s="63" t="str">
        <f>IFERROR(INDEX(Venta!FcDetalle,MATCH(CONCATENATE(A107,"HPE"),Venta!FcClave,0),FcInicioCantAnual+2),"")</f>
        <v/>
      </c>
      <c r="T107" s="63" t="str">
        <f>IFERROR(INDEX(Venta!FcDetalle,MATCH(CONCATENATE(A107,"HPE"),Venta!FcClave,0),FcInicioCantAnual+3),"")</f>
        <v/>
      </c>
      <c r="U107" s="64" t="str">
        <f>IFERROR(IF(FcCheckProy=FALSE,INDEX(Venta!FcDetalle,MATCH(CONCATENATE(A107,"HPE"),Venta!FcClave,0),FcInicioCantAnual+4),INDEX(Venta!FcDetalle,MATCH(CONCATENATE(A107,"HPE"),Venta!FcClave,0),FcInicioCantAnual+5)),"")</f>
        <v/>
      </c>
    </row>
    <row r="108" spans="1:21" hidden="1" outlineLevel="1" x14ac:dyDescent="0.2">
      <c r="A108" s="43" t="str">
        <f>IF($K$10="-","",$K$10)</f>
        <v/>
      </c>
      <c r="B108" s="98" t="str">
        <f>IFERROR(INDEX(Maestro!FcDetalle,MATCH(A108,Maestro!FcClave,0),5),"")</f>
        <v/>
      </c>
      <c r="C108" s="111" t="str">
        <f>IFERROR(INDEX(Venta!FcDetalle,MATCH(CONCATENATE(A108,"HPE"),Venta!FcClave,0),FcInicioCantMes+0),"")</f>
        <v/>
      </c>
      <c r="D108" s="111" t="str">
        <f>IFERROR(INDEX(Venta!FcDetalle,MATCH(CONCATENATE(A108,"HPE"),Venta!FcClave,0),FcInicioCantMes+1),"")</f>
        <v/>
      </c>
      <c r="E108" s="111" t="str">
        <f>IFERROR(INDEX(Venta!FcDetalle,MATCH(CONCATENATE(A108,"HPE"),Venta!FcClave,0),FcInicioCantMes+2),"")</f>
        <v/>
      </c>
      <c r="F108" s="111" t="str">
        <f>IFERROR(INDEX(Venta!FcDetalle,MATCH(CONCATENATE(A108,"HPE"),Venta!FcClave,0),FcInicioCantMes+3),"")</f>
        <v/>
      </c>
      <c r="G108" s="111" t="str">
        <f>IFERROR(INDEX(Venta!FcDetalle,MATCH(CONCATENATE(A108,"HPE"),Venta!FcClave,0),FcInicioCantMes+4),"")</f>
        <v/>
      </c>
      <c r="H108" s="111" t="str">
        <f>IFERROR(INDEX(Venta!FcDetalle,MATCH(CONCATENATE(A108,"HPE"),Venta!FcClave,0),FcInicioCantMes+5),"")</f>
        <v/>
      </c>
      <c r="I108" s="111" t="str">
        <f>IFERROR(INDEX(Venta!FcDetalle,MATCH(CONCATENATE(A108,"HPE"),Venta!FcClave,0),FcInicioCantMes+6),"")</f>
        <v/>
      </c>
      <c r="J108" s="111" t="str">
        <f>IFERROR(INDEX(Venta!FcDetalle,MATCH(CONCATENATE(A108,"HPE"),Venta!FcClave,0),FcInicioCantMes+7),"")</f>
        <v/>
      </c>
      <c r="K108" s="111" t="str">
        <f>IFERROR(INDEX(Venta!FcDetalle,MATCH(CONCATENATE(A108,"HPE"),Venta!FcClave,0),FcInicioCantMes+8),"")</f>
        <v/>
      </c>
      <c r="L108" s="111" t="str">
        <f>IFERROR(INDEX(Venta!FcDetalle,MATCH(CONCATENATE(A108,"HPE"),Venta!FcClave,0),FcInicioCantMes+9),"")</f>
        <v/>
      </c>
      <c r="M108" s="111" t="str">
        <f>IFERROR(INDEX(Venta!FcDetalle,MATCH(CONCATENATE(A108,"HPE"),Venta!FcClave,0),FcInicioCantMes+10),"")</f>
        <v/>
      </c>
      <c r="N108" s="111" t="str">
        <f>IFERROR(INDEX(Venta!FcDetalle,MATCH(CONCATENATE(A108,"HPE"),Venta!FcClave,0),FcInicioCantMes+11),"")</f>
        <v/>
      </c>
      <c r="O108" s="112" t="str">
        <f>IFERROR(INDEX(Venta!FcDetalle,MATCH(CONCATENATE(A108,"HPE"),Venta!FcClave,0),FcInicioCantMes+12),"")</f>
        <v/>
      </c>
      <c r="Q108" s="142" t="str">
        <f>IFERROR(INDEX(Venta!FcDetalle,MATCH(CONCATENATE(A108,"HPE"),Venta!FcClave,0),FcInicioCantAnual+0),"")</f>
        <v/>
      </c>
      <c r="R108" s="63" t="str">
        <f>IFERROR(INDEX(Venta!FcDetalle,MATCH(CONCATENATE(A108,"HPE"),Venta!FcClave,0),FcInicioCantAnual+1),"")</f>
        <v/>
      </c>
      <c r="S108" s="63" t="str">
        <f>IFERROR(INDEX(Venta!FcDetalle,MATCH(CONCATENATE(A108,"HPE"),Venta!FcClave,0),FcInicioCantAnual+2),"")</f>
        <v/>
      </c>
      <c r="T108" s="63" t="str">
        <f>IFERROR(INDEX(Venta!FcDetalle,MATCH(CONCATENATE(A108,"HPE"),Venta!FcClave,0),FcInicioCantAnual+3),"")</f>
        <v/>
      </c>
      <c r="U108" s="64" t="str">
        <f>IFERROR(IF(FcCheckProy=FALSE,INDEX(Venta!FcDetalle,MATCH(CONCATENATE(A108,"HPE"),Venta!FcClave,0),FcInicioCantAnual+4),INDEX(Venta!FcDetalle,MATCH(CONCATENATE(A108,"HPE"),Venta!FcClave,0),FcInicioCantAnual+5)),"")</f>
        <v/>
      </c>
    </row>
    <row r="109" spans="1:21" hidden="1" outlineLevel="1" x14ac:dyDescent="0.2">
      <c r="A109" s="43" t="str">
        <f>IF($I$9="-","",$I$9)</f>
        <v/>
      </c>
      <c r="B109" s="98" t="str">
        <f>IFERROR(INDEX(Maestro!FcDetalle,MATCH(A109,Maestro!FcClave,0),5),"")</f>
        <v/>
      </c>
      <c r="C109" s="111" t="str">
        <f>IFERROR(INDEX(Venta!FcDetalle,MATCH(CONCATENATE(A109,"HPE"),Venta!FcClave,0),FcInicioCantMes+0),"")</f>
        <v/>
      </c>
      <c r="D109" s="111" t="str">
        <f>IFERROR(INDEX(Venta!FcDetalle,MATCH(CONCATENATE(A109,"HPE"),Venta!FcClave,0),FcInicioCantMes+1),"")</f>
        <v/>
      </c>
      <c r="E109" s="111" t="str">
        <f>IFERROR(INDEX(Venta!FcDetalle,MATCH(CONCATENATE(A109,"HPE"),Venta!FcClave,0),FcInicioCantMes+2),"")</f>
        <v/>
      </c>
      <c r="F109" s="111" t="str">
        <f>IFERROR(INDEX(Venta!FcDetalle,MATCH(CONCATENATE(A109,"HPE"),Venta!FcClave,0),FcInicioCantMes+3),"")</f>
        <v/>
      </c>
      <c r="G109" s="111" t="str">
        <f>IFERROR(INDEX(Venta!FcDetalle,MATCH(CONCATENATE(A109,"HPE"),Venta!FcClave,0),FcInicioCantMes+4),"")</f>
        <v/>
      </c>
      <c r="H109" s="111" t="str">
        <f>IFERROR(INDEX(Venta!FcDetalle,MATCH(CONCATENATE(A109,"HPE"),Venta!FcClave,0),FcInicioCantMes+5),"")</f>
        <v/>
      </c>
      <c r="I109" s="111" t="str">
        <f>IFERROR(INDEX(Venta!FcDetalle,MATCH(CONCATENATE(A109,"HPE"),Venta!FcClave,0),FcInicioCantMes+6),"")</f>
        <v/>
      </c>
      <c r="J109" s="111" t="str">
        <f>IFERROR(INDEX(Venta!FcDetalle,MATCH(CONCATENATE(A109,"HPE"),Venta!FcClave,0),FcInicioCantMes+7),"")</f>
        <v/>
      </c>
      <c r="K109" s="111" t="str">
        <f>IFERROR(INDEX(Venta!FcDetalle,MATCH(CONCATENATE(A109,"HPE"),Venta!FcClave,0),FcInicioCantMes+8),"")</f>
        <v/>
      </c>
      <c r="L109" s="111" t="str">
        <f>IFERROR(INDEX(Venta!FcDetalle,MATCH(CONCATENATE(A109,"HPE"),Venta!FcClave,0),FcInicioCantMes+9),"")</f>
        <v/>
      </c>
      <c r="M109" s="111" t="str">
        <f>IFERROR(INDEX(Venta!FcDetalle,MATCH(CONCATENATE(A109,"HPE"),Venta!FcClave,0),FcInicioCantMes+10),"")</f>
        <v/>
      </c>
      <c r="N109" s="111" t="str">
        <f>IFERROR(INDEX(Venta!FcDetalle,MATCH(CONCATENATE(A109,"HPE"),Venta!FcClave,0),FcInicioCantMes+11),"")</f>
        <v/>
      </c>
      <c r="O109" s="112" t="str">
        <f>IFERROR(INDEX(Venta!FcDetalle,MATCH(CONCATENATE(A109,"HPE"),Venta!FcClave,0),FcInicioCantMes+12),"")</f>
        <v/>
      </c>
      <c r="Q109" s="142" t="str">
        <f>IFERROR(INDEX(Venta!FcDetalle,MATCH(CONCATENATE(A109,"HPE"),Venta!FcClave,0),FcInicioCantAnual+0),"")</f>
        <v/>
      </c>
      <c r="R109" s="63" t="str">
        <f>IFERROR(INDEX(Venta!FcDetalle,MATCH(CONCATENATE(A109,"HPE"),Venta!FcClave,0),FcInicioCantAnual+1),"")</f>
        <v/>
      </c>
      <c r="S109" s="63" t="str">
        <f>IFERROR(INDEX(Venta!FcDetalle,MATCH(CONCATENATE(A109,"HPE"),Venta!FcClave,0),FcInicioCantAnual+2),"")</f>
        <v/>
      </c>
      <c r="T109" s="63" t="str">
        <f>IFERROR(INDEX(Venta!FcDetalle,MATCH(CONCATENATE(A109,"HPE"),Venta!FcClave,0),FcInicioCantAnual+3),"")</f>
        <v/>
      </c>
      <c r="U109" s="64" t="str">
        <f>IFERROR(IF(FcCheckProy=FALSE,INDEX(Venta!FcDetalle,MATCH(CONCATENATE(A109,"HPE"),Venta!FcClave,0),FcInicioCantAnual+4),INDEX(Venta!FcDetalle,MATCH(CONCATENATE(A109,"HPE"),Venta!FcClave,0),FcInicioCantAnual+5)),"")</f>
        <v/>
      </c>
    </row>
    <row r="110" spans="1:21" hidden="1" outlineLevel="1" x14ac:dyDescent="0.2">
      <c r="A110" s="43" t="str">
        <f>IF($J$9="-","",$J$9)</f>
        <v/>
      </c>
      <c r="B110" s="98" t="str">
        <f>IFERROR(INDEX(Maestro!FcDetalle,MATCH(A110,Maestro!FcClave,0),5),"")</f>
        <v/>
      </c>
      <c r="C110" s="111" t="str">
        <f>IFERROR(INDEX(Venta!FcDetalle,MATCH(CONCATENATE(A110,"HPE"),Venta!FcClave,0),FcInicioCantMes+0),"")</f>
        <v/>
      </c>
      <c r="D110" s="111" t="str">
        <f>IFERROR(INDEX(Venta!FcDetalle,MATCH(CONCATENATE(A110,"HPE"),Venta!FcClave,0),FcInicioCantMes+1),"")</f>
        <v/>
      </c>
      <c r="E110" s="111" t="str">
        <f>IFERROR(INDEX(Venta!FcDetalle,MATCH(CONCATENATE(A110,"HPE"),Venta!FcClave,0),FcInicioCantMes+2),"")</f>
        <v/>
      </c>
      <c r="F110" s="111" t="str">
        <f>IFERROR(INDEX(Venta!FcDetalle,MATCH(CONCATENATE(A110,"HPE"),Venta!FcClave,0),FcInicioCantMes+3),"")</f>
        <v/>
      </c>
      <c r="G110" s="111" t="str">
        <f>IFERROR(INDEX(Venta!FcDetalle,MATCH(CONCATENATE(A110,"HPE"),Venta!FcClave,0),FcInicioCantMes+4),"")</f>
        <v/>
      </c>
      <c r="H110" s="111" t="str">
        <f>IFERROR(INDEX(Venta!FcDetalle,MATCH(CONCATENATE(A110,"HPE"),Venta!FcClave,0),FcInicioCantMes+5),"")</f>
        <v/>
      </c>
      <c r="I110" s="111" t="str">
        <f>IFERROR(INDEX(Venta!FcDetalle,MATCH(CONCATENATE(A110,"HPE"),Venta!FcClave,0),FcInicioCantMes+6),"")</f>
        <v/>
      </c>
      <c r="J110" s="111" t="str">
        <f>IFERROR(INDEX(Venta!FcDetalle,MATCH(CONCATENATE(A110,"HPE"),Venta!FcClave,0),FcInicioCantMes+7),"")</f>
        <v/>
      </c>
      <c r="K110" s="111" t="str">
        <f>IFERROR(INDEX(Venta!FcDetalle,MATCH(CONCATENATE(A110,"HPE"),Venta!FcClave,0),FcInicioCantMes+8),"")</f>
        <v/>
      </c>
      <c r="L110" s="111" t="str">
        <f>IFERROR(INDEX(Venta!FcDetalle,MATCH(CONCATENATE(A110,"HPE"),Venta!FcClave,0),FcInicioCantMes+9),"")</f>
        <v/>
      </c>
      <c r="M110" s="111" t="str">
        <f>IFERROR(INDEX(Venta!FcDetalle,MATCH(CONCATENATE(A110,"HPE"),Venta!FcClave,0),FcInicioCantMes+10),"")</f>
        <v/>
      </c>
      <c r="N110" s="111" t="str">
        <f>IFERROR(INDEX(Venta!FcDetalle,MATCH(CONCATENATE(A110,"HPE"),Venta!FcClave,0),FcInicioCantMes+11),"")</f>
        <v/>
      </c>
      <c r="O110" s="112" t="str">
        <f>IFERROR(INDEX(Venta!FcDetalle,MATCH(CONCATENATE(A110,"HPE"),Venta!FcClave,0),FcInicioCantMes+12),"")</f>
        <v/>
      </c>
      <c r="Q110" s="142" t="str">
        <f>IFERROR(INDEX(Venta!FcDetalle,MATCH(CONCATENATE(A110,"HPE"),Venta!FcClave,0),FcInicioCantAnual+0),"")</f>
        <v/>
      </c>
      <c r="R110" s="63" t="str">
        <f>IFERROR(INDEX(Venta!FcDetalle,MATCH(CONCATENATE(A110,"HPE"),Venta!FcClave,0),FcInicioCantAnual+1),"")</f>
        <v/>
      </c>
      <c r="S110" s="63" t="str">
        <f>IFERROR(INDEX(Venta!FcDetalle,MATCH(CONCATENATE(A110,"HPE"),Venta!FcClave,0),FcInicioCantAnual+2),"")</f>
        <v/>
      </c>
      <c r="T110" s="63" t="str">
        <f>IFERROR(INDEX(Venta!FcDetalle,MATCH(CONCATENATE(A110,"HPE"),Venta!FcClave,0),FcInicioCantAnual+3),"")</f>
        <v/>
      </c>
      <c r="U110" s="64" t="str">
        <f>IFERROR(IF(FcCheckProy=FALSE,INDEX(Venta!FcDetalle,MATCH(CONCATENATE(A110,"HPE"),Venta!FcClave,0),FcInicioCantAnual+4),INDEX(Venta!FcDetalle,MATCH(CONCATENATE(A110,"HPE"),Venta!FcClave,0),FcInicioCantAnual+5)),"")</f>
        <v/>
      </c>
    </row>
    <row r="111" spans="1:21" hidden="1" outlineLevel="1" x14ac:dyDescent="0.2">
      <c r="A111" s="97" t="str">
        <f>IF($K$9="-","",$K$9)</f>
        <v/>
      </c>
      <c r="B111" s="98" t="str">
        <f>IFERROR(INDEX(Maestro!FcDetalle,MATCH(A111,Maestro!FcClave,0),5),"")</f>
        <v/>
      </c>
      <c r="C111" s="111" t="str">
        <f>IFERROR(INDEX(Venta!FcDetalle,MATCH(CONCATENATE(A111,"HPE"),Venta!FcClave,0),FcInicioCantMes+0),"")</f>
        <v/>
      </c>
      <c r="D111" s="111" t="str">
        <f>IFERROR(INDEX(Venta!FcDetalle,MATCH(CONCATENATE(A111,"HPE"),Venta!FcClave,0),FcInicioCantMes+1),"")</f>
        <v/>
      </c>
      <c r="E111" s="111" t="str">
        <f>IFERROR(INDEX(Venta!FcDetalle,MATCH(CONCATENATE(A111,"HPE"),Venta!FcClave,0),FcInicioCantMes+2),"")</f>
        <v/>
      </c>
      <c r="F111" s="111" t="str">
        <f>IFERROR(INDEX(Venta!FcDetalle,MATCH(CONCATENATE(A111,"HPE"),Venta!FcClave,0),FcInicioCantMes+3),"")</f>
        <v/>
      </c>
      <c r="G111" s="111" t="str">
        <f>IFERROR(INDEX(Venta!FcDetalle,MATCH(CONCATENATE(A111,"HPE"),Venta!FcClave,0),FcInicioCantMes+4),"")</f>
        <v/>
      </c>
      <c r="H111" s="111" t="str">
        <f>IFERROR(INDEX(Venta!FcDetalle,MATCH(CONCATENATE(A111,"HPE"),Venta!FcClave,0),FcInicioCantMes+5),"")</f>
        <v/>
      </c>
      <c r="I111" s="111" t="str">
        <f>IFERROR(INDEX(Venta!FcDetalle,MATCH(CONCATENATE(A111,"HPE"),Venta!FcClave,0),FcInicioCantMes+6),"")</f>
        <v/>
      </c>
      <c r="J111" s="111" t="str">
        <f>IFERROR(INDEX(Venta!FcDetalle,MATCH(CONCATENATE(A111,"HPE"),Venta!FcClave,0),FcInicioCantMes+7),"")</f>
        <v/>
      </c>
      <c r="K111" s="111" t="str">
        <f>IFERROR(INDEX(Venta!FcDetalle,MATCH(CONCATENATE(A111,"HPE"),Venta!FcClave,0),FcInicioCantMes+8),"")</f>
        <v/>
      </c>
      <c r="L111" s="111" t="str">
        <f>IFERROR(INDEX(Venta!FcDetalle,MATCH(CONCATENATE(A111,"HPE"),Venta!FcClave,0),FcInicioCantMes+9),"")</f>
        <v/>
      </c>
      <c r="M111" s="111" t="str">
        <f>IFERROR(INDEX(Venta!FcDetalle,MATCH(CONCATENATE(A111,"HPE"),Venta!FcClave,0),FcInicioCantMes+10),"")</f>
        <v/>
      </c>
      <c r="N111" s="111" t="str">
        <f>IFERROR(INDEX(Venta!FcDetalle,MATCH(CONCATENATE(A111,"HPE"),Venta!FcClave,0),FcInicioCantMes+11),"")</f>
        <v/>
      </c>
      <c r="O111" s="112" t="str">
        <f>IFERROR(INDEX(Venta!FcDetalle,MATCH(CONCATENATE(A111,"HPE"),Venta!FcClave,0),FcInicioCantMes+12),"")</f>
        <v/>
      </c>
      <c r="Q111" s="142" t="str">
        <f>IFERROR(INDEX(Venta!FcDetalle,MATCH(CONCATENATE(A111,"HPE"),Venta!FcClave,0),FcInicioCantAnual+0),"")</f>
        <v/>
      </c>
      <c r="R111" s="63" t="str">
        <f>IFERROR(INDEX(Venta!FcDetalle,MATCH(CONCATENATE(A111,"HPE"),Venta!FcClave,0),FcInicioCantAnual+1),"")</f>
        <v/>
      </c>
      <c r="S111" s="63" t="str">
        <f>IFERROR(INDEX(Venta!FcDetalle,MATCH(CONCATENATE(A111,"HPE"),Venta!FcClave,0),FcInicioCantAnual+2),"")</f>
        <v/>
      </c>
      <c r="T111" s="63" t="str">
        <f>IFERROR(INDEX(Venta!FcDetalle,MATCH(CONCATENATE(A111,"HPE"),Venta!FcClave,0),FcInicioCantAnual+3),"")</f>
        <v/>
      </c>
      <c r="U111" s="64" t="str">
        <f>IFERROR(IF(FcCheckProy=FALSE,INDEX(Venta!FcDetalle,MATCH(CONCATENATE(A111,"HPE"),Venta!FcClave,0),FcInicioCantAnual+4),INDEX(Venta!FcDetalle,MATCH(CONCATENATE(A111,"HPE"),Venta!FcClave,0),FcInicioCantAnual+5)),"")</f>
        <v/>
      </c>
    </row>
    <row r="112" spans="1:21" ht="13.5" collapsed="1" thickBot="1" x14ac:dyDescent="0.25">
      <c r="A112" s="44" t="s">
        <v>22</v>
      </c>
      <c r="B112" s="80"/>
      <c r="C112" s="65">
        <f t="shared" ref="C112:O112" si="17">SUM(C102:C111)</f>
        <v>0</v>
      </c>
      <c r="D112" s="65">
        <f t="shared" si="17"/>
        <v>0</v>
      </c>
      <c r="E112" s="65">
        <f t="shared" si="17"/>
        <v>0</v>
      </c>
      <c r="F112" s="65">
        <f t="shared" si="17"/>
        <v>0</v>
      </c>
      <c r="G112" s="65">
        <f t="shared" si="17"/>
        <v>0</v>
      </c>
      <c r="H112" s="65">
        <f t="shared" si="17"/>
        <v>0</v>
      </c>
      <c r="I112" s="65">
        <f t="shared" si="17"/>
        <v>0</v>
      </c>
      <c r="J112" s="65">
        <f t="shared" si="17"/>
        <v>0</v>
      </c>
      <c r="K112" s="65">
        <f t="shared" si="17"/>
        <v>0</v>
      </c>
      <c r="L112" s="65">
        <f t="shared" si="17"/>
        <v>0</v>
      </c>
      <c r="M112" s="65">
        <f t="shared" si="17"/>
        <v>0</v>
      </c>
      <c r="N112" s="65">
        <f t="shared" si="17"/>
        <v>0</v>
      </c>
      <c r="O112" s="66">
        <f t="shared" si="17"/>
        <v>0</v>
      </c>
      <c r="Q112" s="149">
        <f>SUM(Q102:Q111)</f>
        <v>0</v>
      </c>
      <c r="R112" s="150">
        <f>SUM(R102:R111)</f>
        <v>0</v>
      </c>
      <c r="S112" s="150">
        <f>SUM(S102:S111)</f>
        <v>0</v>
      </c>
      <c r="T112" s="150">
        <f>SUM(T102:T111)</f>
        <v>0</v>
      </c>
      <c r="U112" s="66">
        <f>SUM(U102:U111)</f>
        <v>0</v>
      </c>
    </row>
    <row r="113" spans="1:21" hidden="1" outlineLevel="1" x14ac:dyDescent="0.2">
      <c r="A113" s="43">
        <f>IF($E$10="-",$C$4,$E$10)</f>
        <v>6005</v>
      </c>
      <c r="B113" s="98" t="str">
        <f>IFERROR(INDEX(Maestro!FcDetalle,MATCH(A113,Maestro!FcClave,0),5),"")</f>
        <v/>
      </c>
      <c r="C113" s="111" t="str">
        <f>IFERROR(INDEX(Venta!FcDetalle,MATCH(CONCATENATE(A113,"GT"),Venta!FcClave,0),FcInicioCantMes+0),"")</f>
        <v/>
      </c>
      <c r="D113" s="111" t="str">
        <f>IFERROR(INDEX(Venta!FcDetalle,MATCH(CONCATENATE(A113,"GT"),Venta!FcClave,0),FcInicioCantMes+1),"")</f>
        <v/>
      </c>
      <c r="E113" s="111" t="str">
        <f>IFERROR(INDEX(Venta!FcDetalle,MATCH(CONCATENATE(A113,"GT"),Venta!FcClave,0),FcInicioCantMes+2),"")</f>
        <v/>
      </c>
      <c r="F113" s="111" t="str">
        <f>IFERROR(INDEX(Venta!FcDetalle,MATCH(CONCATENATE(A113,"GT"),Venta!FcClave,0),FcInicioCantMes+3),"")</f>
        <v/>
      </c>
      <c r="G113" s="111" t="str">
        <f>IFERROR(INDEX(Venta!FcDetalle,MATCH(CONCATENATE(A113,"GT"),Venta!FcClave,0),FcInicioCantMes+4),"")</f>
        <v/>
      </c>
      <c r="H113" s="111" t="str">
        <f>IFERROR(INDEX(Venta!FcDetalle,MATCH(CONCATENATE(A113,"GT"),Venta!FcClave,0),FcInicioCantMes+5),"")</f>
        <v/>
      </c>
      <c r="I113" s="111" t="str">
        <f>IFERROR(INDEX(Venta!FcDetalle,MATCH(CONCATENATE(A113,"GT"),Venta!FcClave,0),FcInicioCantMes+6),"")</f>
        <v/>
      </c>
      <c r="J113" s="111" t="str">
        <f>IFERROR(INDEX(Venta!FcDetalle,MATCH(CONCATENATE(A113,"GT"),Venta!FcClave,0),FcInicioCantMes+7),"")</f>
        <v/>
      </c>
      <c r="K113" s="111" t="str">
        <f>IFERROR(INDEX(Venta!FcDetalle,MATCH(CONCATENATE(A113,"GT"),Venta!FcClave,0),FcInicioCantMes+8),"")</f>
        <v/>
      </c>
      <c r="L113" s="111" t="str">
        <f>IFERROR(INDEX(Venta!FcDetalle,MATCH(CONCATENATE(A113,"GT"),Venta!FcClave,0),FcInicioCantMes+9),"")</f>
        <v/>
      </c>
      <c r="M113" s="111" t="str">
        <f>IFERROR(INDEX(Venta!FcDetalle,MATCH(CONCATENATE(A113,"GT"),Venta!FcClave,0),FcInicioCantMes+10),"")</f>
        <v/>
      </c>
      <c r="N113" s="111" t="str">
        <f>IFERROR(INDEX(Venta!FcDetalle,MATCH(CONCATENATE(A113,"GT"),Venta!FcClave,0),FcInicioCantMes+11),"")</f>
        <v/>
      </c>
      <c r="O113" s="112" t="str">
        <f>IFERROR(INDEX(Venta!FcDetalle,MATCH(CONCATENATE(A113,"GT"),Venta!FcClave,0),FcInicioCantMes+12),"")</f>
        <v/>
      </c>
      <c r="P113" s="9"/>
      <c r="Q113" s="146" t="str">
        <f>IFERROR(INDEX(Venta!FcDetalle,MATCH(CONCATENATE(A113,"GT"),Venta!FcClave,0),FcInicioCantAnual+0),"")</f>
        <v/>
      </c>
      <c r="R113" s="147" t="str">
        <f>IFERROR(INDEX(Venta!FcDetalle,MATCH(CONCATENATE(A113,"GT"),Venta!FcClave,0),FcInicioCantAnual+1),"")</f>
        <v/>
      </c>
      <c r="S113" s="147" t="str">
        <f>IFERROR(INDEX(Venta!FcDetalle,MATCH(CONCATENATE(A113,"GT"),Venta!FcClave,0),FcInicioCantAnual+2),"")</f>
        <v/>
      </c>
      <c r="T113" s="147" t="str">
        <f>IFERROR(INDEX(Venta!FcDetalle,MATCH(CONCATENATE(A113,"GT"),Venta!FcClave,0),FcInicioCantAnual+3),"")</f>
        <v/>
      </c>
      <c r="U113" s="148" t="str">
        <f>IFERROR(IF(FcCheckProy=FALSE,INDEX(Venta!FcDetalle,MATCH(CONCATENATE(A113,"GT"),Venta!FcClave,0),FcInicioCantAnual+4),INDEX(Venta!FcDetalle,MATCH(CONCATENATE(A113,"GT"),Venta!FcClave,0),FcInicioCantAnual+5)),"")</f>
        <v/>
      </c>
    </row>
    <row r="114" spans="1:21" hidden="1" outlineLevel="1" x14ac:dyDescent="0.2">
      <c r="A114" s="43" t="str">
        <f>IF($F$10="-","",$F$10)</f>
        <v/>
      </c>
      <c r="B114" s="98" t="str">
        <f>IFERROR(INDEX(Maestro!FcDetalle,MATCH(A114,Maestro!FcClave,0),5),"")</f>
        <v/>
      </c>
      <c r="C114" s="111" t="str">
        <f>IFERROR(INDEX(Venta!FcDetalle,MATCH(CONCATENATE(A114,"GT"),Venta!FcClave,0),FcInicioCantMes+0),"")</f>
        <v/>
      </c>
      <c r="D114" s="111" t="str">
        <f>IFERROR(INDEX(Venta!FcDetalle,MATCH(CONCATENATE(A114,"GT"),Venta!FcClave,0),FcInicioCantMes+1),"")</f>
        <v/>
      </c>
      <c r="E114" s="111" t="str">
        <f>IFERROR(INDEX(Venta!FcDetalle,MATCH(CONCATENATE(A114,"GT"),Venta!FcClave,0),FcInicioCantMes+2),"")</f>
        <v/>
      </c>
      <c r="F114" s="111" t="str">
        <f>IFERROR(INDEX(Venta!FcDetalle,MATCH(CONCATENATE(A114,"GT"),Venta!FcClave,0),FcInicioCantMes+3),"")</f>
        <v/>
      </c>
      <c r="G114" s="111" t="str">
        <f>IFERROR(INDEX(Venta!FcDetalle,MATCH(CONCATENATE(A114,"GT"),Venta!FcClave,0),FcInicioCantMes+4),"")</f>
        <v/>
      </c>
      <c r="H114" s="111" t="str">
        <f>IFERROR(INDEX(Venta!FcDetalle,MATCH(CONCATENATE(A114,"GT"),Venta!FcClave,0),FcInicioCantMes+5),"")</f>
        <v/>
      </c>
      <c r="I114" s="111" t="str">
        <f>IFERROR(INDEX(Venta!FcDetalle,MATCH(CONCATENATE(A114,"GT"),Venta!FcClave,0),FcInicioCantMes+6),"")</f>
        <v/>
      </c>
      <c r="J114" s="111" t="str">
        <f>IFERROR(INDEX(Venta!FcDetalle,MATCH(CONCATENATE(A114,"GT"),Venta!FcClave,0),FcInicioCantMes+7),"")</f>
        <v/>
      </c>
      <c r="K114" s="111" t="str">
        <f>IFERROR(INDEX(Venta!FcDetalle,MATCH(CONCATENATE(A114,"GT"),Venta!FcClave,0),FcInicioCantMes+8),"")</f>
        <v/>
      </c>
      <c r="L114" s="111" t="str">
        <f>IFERROR(INDEX(Venta!FcDetalle,MATCH(CONCATENATE(A114,"GT"),Venta!FcClave,0),FcInicioCantMes+9),"")</f>
        <v/>
      </c>
      <c r="M114" s="111" t="str">
        <f>IFERROR(INDEX(Venta!FcDetalle,MATCH(CONCATENATE(A114,"GT"),Venta!FcClave,0),FcInicioCantMes+10),"")</f>
        <v/>
      </c>
      <c r="N114" s="111" t="str">
        <f>IFERROR(INDEX(Venta!FcDetalle,MATCH(CONCATENATE(A114,"GT"),Venta!FcClave,0),FcInicioCantMes+11),"")</f>
        <v/>
      </c>
      <c r="O114" s="112" t="str">
        <f>IFERROR(INDEX(Venta!FcDetalle,MATCH(CONCATENATE(A114,"GT"),Venta!FcClave,0),FcInicioCantMes+12),"")</f>
        <v/>
      </c>
      <c r="Q114" s="142" t="str">
        <f>IFERROR(INDEX(Venta!FcDetalle,MATCH(CONCATENATE(A114,"GT"),Venta!FcClave,0),FcInicioCantAnual+0),"")</f>
        <v/>
      </c>
      <c r="R114" s="63" t="str">
        <f>IFERROR(INDEX(Venta!FcDetalle,MATCH(CONCATENATE(A114,"GT"),Venta!FcClave,0),FcInicioCantAnual+1),"")</f>
        <v/>
      </c>
      <c r="S114" s="63" t="str">
        <f>IFERROR(INDEX(Venta!FcDetalle,MATCH(CONCATENATE(A114,"GT"),Venta!FcClave,0),FcInicioCantAnual+2),"")</f>
        <v/>
      </c>
      <c r="T114" s="63" t="str">
        <f>IFERROR(INDEX(Venta!FcDetalle,MATCH(CONCATENATE(A114,"GT"),Venta!FcClave,0),FcInicioCantAnual+3),"")</f>
        <v/>
      </c>
      <c r="U114" s="64" t="str">
        <f>IFERROR(IF(FcCheckProy=FALSE,INDEX(Venta!FcDetalle,MATCH(CONCATENATE(A114,"GT"),Venta!FcClave,0),FcInicioCantAnual+4),INDEX(Venta!FcDetalle,MATCH(CONCATENATE(A114,"GT"),Venta!FcClave,0),FcInicioCantAnual+5)),"")</f>
        <v/>
      </c>
    </row>
    <row r="115" spans="1:21" hidden="1" outlineLevel="1" x14ac:dyDescent="0.2">
      <c r="A115" s="43" t="str">
        <f>IF($G$10="-","",$G$10)</f>
        <v/>
      </c>
      <c r="B115" s="98" t="str">
        <f>IFERROR(INDEX(Maestro!FcDetalle,MATCH(A115,Maestro!FcClave,0),5),"")</f>
        <v/>
      </c>
      <c r="C115" s="111" t="str">
        <f>IFERROR(INDEX(Venta!FcDetalle,MATCH(CONCATENATE(A115,"GT"),Venta!FcClave,0),FcInicioCantMes+0),"")</f>
        <v/>
      </c>
      <c r="D115" s="111" t="str">
        <f>IFERROR(INDEX(Venta!FcDetalle,MATCH(CONCATENATE(A115,"GT"),Venta!FcClave,0),FcInicioCantMes+1),"")</f>
        <v/>
      </c>
      <c r="E115" s="111" t="str">
        <f>IFERROR(INDEX(Venta!FcDetalle,MATCH(CONCATENATE(A115,"GT"),Venta!FcClave,0),FcInicioCantMes+2),"")</f>
        <v/>
      </c>
      <c r="F115" s="111" t="str">
        <f>IFERROR(INDEX(Venta!FcDetalle,MATCH(CONCATENATE(A115,"GT"),Venta!FcClave,0),FcInicioCantMes+3),"")</f>
        <v/>
      </c>
      <c r="G115" s="111" t="str">
        <f>IFERROR(INDEX(Venta!FcDetalle,MATCH(CONCATENATE(A115,"GT"),Venta!FcClave,0),FcInicioCantMes+4),"")</f>
        <v/>
      </c>
      <c r="H115" s="111" t="str">
        <f>IFERROR(INDEX(Venta!FcDetalle,MATCH(CONCATENATE(A115,"GT"),Venta!FcClave,0),FcInicioCantMes+5),"")</f>
        <v/>
      </c>
      <c r="I115" s="111" t="str">
        <f>IFERROR(INDEX(Venta!FcDetalle,MATCH(CONCATENATE(A115,"GT"),Venta!FcClave,0),FcInicioCantMes+6),"")</f>
        <v/>
      </c>
      <c r="J115" s="111" t="str">
        <f>IFERROR(INDEX(Venta!FcDetalle,MATCH(CONCATENATE(A115,"GT"),Venta!FcClave,0),FcInicioCantMes+7),"")</f>
        <v/>
      </c>
      <c r="K115" s="111" t="str">
        <f>IFERROR(INDEX(Venta!FcDetalle,MATCH(CONCATENATE(A115,"GT"),Venta!FcClave,0),FcInicioCantMes+8),"")</f>
        <v/>
      </c>
      <c r="L115" s="111" t="str">
        <f>IFERROR(INDEX(Venta!FcDetalle,MATCH(CONCATENATE(A115,"GT"),Venta!FcClave,0),FcInicioCantMes+9),"")</f>
        <v/>
      </c>
      <c r="M115" s="111" t="str">
        <f>IFERROR(INDEX(Venta!FcDetalle,MATCH(CONCATENATE(A115,"GT"),Venta!FcClave,0),FcInicioCantMes+10),"")</f>
        <v/>
      </c>
      <c r="N115" s="111" t="str">
        <f>IFERROR(INDEX(Venta!FcDetalle,MATCH(CONCATENATE(A115,"GT"),Venta!FcClave,0),FcInicioCantMes+11),"")</f>
        <v/>
      </c>
      <c r="O115" s="112" t="str">
        <f>IFERROR(INDEX(Venta!FcDetalle,MATCH(CONCATENATE(A115,"GT"),Venta!FcClave,0),FcInicioCantMes+12),"")</f>
        <v/>
      </c>
      <c r="Q115" s="142" t="str">
        <f>IFERROR(INDEX(Venta!FcDetalle,MATCH(CONCATENATE(A115,"GT"),Venta!FcClave,0),FcInicioCantAnual+0),"")</f>
        <v/>
      </c>
      <c r="R115" s="63" t="str">
        <f>IFERROR(INDEX(Venta!FcDetalle,MATCH(CONCATENATE(A115,"GT"),Venta!FcClave,0),FcInicioCantAnual+1),"")</f>
        <v/>
      </c>
      <c r="S115" s="63" t="str">
        <f>IFERROR(INDEX(Venta!FcDetalle,MATCH(CONCATENATE(A115,"GT"),Venta!FcClave,0),FcInicioCantAnual+2),"")</f>
        <v/>
      </c>
      <c r="T115" s="63" t="str">
        <f>IFERROR(INDEX(Venta!FcDetalle,MATCH(CONCATENATE(A115,"GT"),Venta!FcClave,0),FcInicioCantAnual+3),"")</f>
        <v/>
      </c>
      <c r="U115" s="64" t="str">
        <f>IFERROR(IF(FcCheckProy=FALSE,INDEX(Venta!FcDetalle,MATCH(CONCATENATE(A115,"GT"),Venta!FcClave,0),FcInicioCantAnual+4),INDEX(Venta!FcDetalle,MATCH(CONCATENATE(A115,"GT"),Venta!FcClave,0),FcInicioCantAnual+5)),"")</f>
        <v/>
      </c>
    </row>
    <row r="116" spans="1:21" hidden="1" outlineLevel="1" x14ac:dyDescent="0.2">
      <c r="A116" s="43" t="str">
        <f>IF($H$10="-","",$H$10)</f>
        <v/>
      </c>
      <c r="B116" s="98" t="str">
        <f>IFERROR(INDEX(Maestro!FcDetalle,MATCH(A116,Maestro!FcClave,0),5),"")</f>
        <v/>
      </c>
      <c r="C116" s="111" t="str">
        <f>IFERROR(INDEX(Venta!FcDetalle,MATCH(CONCATENATE(A116,"GT"),Venta!FcClave,0),FcInicioCantMes+0),"")</f>
        <v/>
      </c>
      <c r="D116" s="111" t="str">
        <f>IFERROR(INDEX(Venta!FcDetalle,MATCH(CONCATENATE(A116,"GT"),Venta!FcClave,0),FcInicioCantMes+1),"")</f>
        <v/>
      </c>
      <c r="E116" s="111" t="str">
        <f>IFERROR(INDEX(Venta!FcDetalle,MATCH(CONCATENATE(A116,"GT"),Venta!FcClave,0),FcInicioCantMes+2),"")</f>
        <v/>
      </c>
      <c r="F116" s="111" t="str">
        <f>IFERROR(INDEX(Venta!FcDetalle,MATCH(CONCATENATE(A116,"GT"),Venta!FcClave,0),FcInicioCantMes+3),"")</f>
        <v/>
      </c>
      <c r="G116" s="111" t="str">
        <f>IFERROR(INDEX(Venta!FcDetalle,MATCH(CONCATENATE(A116,"GT"),Venta!FcClave,0),FcInicioCantMes+4),"")</f>
        <v/>
      </c>
      <c r="H116" s="111" t="str">
        <f>IFERROR(INDEX(Venta!FcDetalle,MATCH(CONCATENATE(A116,"GT"),Venta!FcClave,0),FcInicioCantMes+5),"")</f>
        <v/>
      </c>
      <c r="I116" s="111" t="str">
        <f>IFERROR(INDEX(Venta!FcDetalle,MATCH(CONCATENATE(A116,"GT"),Venta!FcClave,0),FcInicioCantMes+6),"")</f>
        <v/>
      </c>
      <c r="J116" s="111" t="str">
        <f>IFERROR(INDEX(Venta!FcDetalle,MATCH(CONCATENATE(A116,"GT"),Venta!FcClave,0),FcInicioCantMes+7),"")</f>
        <v/>
      </c>
      <c r="K116" s="111" t="str">
        <f>IFERROR(INDEX(Venta!FcDetalle,MATCH(CONCATENATE(A116,"GT"),Venta!FcClave,0),FcInicioCantMes+8),"")</f>
        <v/>
      </c>
      <c r="L116" s="111" t="str">
        <f>IFERROR(INDEX(Venta!FcDetalle,MATCH(CONCATENATE(A116,"GT"),Venta!FcClave,0),FcInicioCantMes+9),"")</f>
        <v/>
      </c>
      <c r="M116" s="111" t="str">
        <f>IFERROR(INDEX(Venta!FcDetalle,MATCH(CONCATENATE(A116,"GT"),Venta!FcClave,0),FcInicioCantMes+10),"")</f>
        <v/>
      </c>
      <c r="N116" s="111" t="str">
        <f>IFERROR(INDEX(Venta!FcDetalle,MATCH(CONCATENATE(A116,"GT"),Venta!FcClave,0),FcInicioCantMes+11),"")</f>
        <v/>
      </c>
      <c r="O116" s="112" t="str">
        <f>IFERROR(INDEX(Venta!FcDetalle,MATCH(CONCATENATE(A116,"GT"),Venta!FcClave,0),FcInicioCantMes+12),"")</f>
        <v/>
      </c>
      <c r="Q116" s="142" t="str">
        <f>IFERROR(INDEX(Venta!FcDetalle,MATCH(CONCATENATE(A116,"GT"),Venta!FcClave,0),FcInicioCantAnual+0),"")</f>
        <v/>
      </c>
      <c r="R116" s="63" t="str">
        <f>IFERROR(INDEX(Venta!FcDetalle,MATCH(CONCATENATE(A116,"GT"),Venta!FcClave,0),FcInicioCantAnual+1),"")</f>
        <v/>
      </c>
      <c r="S116" s="63" t="str">
        <f>IFERROR(INDEX(Venta!FcDetalle,MATCH(CONCATENATE(A116,"GT"),Venta!FcClave,0),FcInicioCantAnual+2),"")</f>
        <v/>
      </c>
      <c r="T116" s="63" t="str">
        <f>IFERROR(INDEX(Venta!FcDetalle,MATCH(CONCATENATE(A116,"GT"),Venta!FcClave,0),FcInicioCantAnual+3),"")</f>
        <v/>
      </c>
      <c r="U116" s="64" t="str">
        <f>IFERROR(IF(FcCheckProy=FALSE,INDEX(Venta!FcDetalle,MATCH(CONCATENATE(A116,"GT"),Venta!FcClave,0),FcInicioCantAnual+4),INDEX(Venta!FcDetalle,MATCH(CONCATENATE(A116,"GT"),Venta!FcClave,0),FcInicioCantAnual+5)),"")</f>
        <v/>
      </c>
    </row>
    <row r="117" spans="1:21" hidden="1" outlineLevel="1" x14ac:dyDescent="0.2">
      <c r="A117" s="43" t="str">
        <f>IF($I$10="-","",$I$10)</f>
        <v/>
      </c>
      <c r="B117" s="98" t="str">
        <f>IFERROR(INDEX(Maestro!FcDetalle,MATCH(A117,Maestro!FcClave,0),5),"")</f>
        <v/>
      </c>
      <c r="C117" s="111" t="str">
        <f>IFERROR(INDEX(Venta!FcDetalle,MATCH(CONCATENATE(A117,"GT"),Venta!FcClave,0),FcInicioCantMes+0),"")</f>
        <v/>
      </c>
      <c r="D117" s="111" t="str">
        <f>IFERROR(INDEX(Venta!FcDetalle,MATCH(CONCATENATE(A117,"GT"),Venta!FcClave,0),FcInicioCantMes+1),"")</f>
        <v/>
      </c>
      <c r="E117" s="111" t="str">
        <f>IFERROR(INDEX(Venta!FcDetalle,MATCH(CONCATENATE(A117,"GT"),Venta!FcClave,0),FcInicioCantMes+2),"")</f>
        <v/>
      </c>
      <c r="F117" s="111" t="str">
        <f>IFERROR(INDEX(Venta!FcDetalle,MATCH(CONCATENATE(A117,"GT"),Venta!FcClave,0),FcInicioCantMes+3),"")</f>
        <v/>
      </c>
      <c r="G117" s="111" t="str">
        <f>IFERROR(INDEX(Venta!FcDetalle,MATCH(CONCATENATE(A117,"GT"),Venta!FcClave,0),FcInicioCantMes+4),"")</f>
        <v/>
      </c>
      <c r="H117" s="111" t="str">
        <f>IFERROR(INDEX(Venta!FcDetalle,MATCH(CONCATENATE(A117,"GT"),Venta!FcClave,0),FcInicioCantMes+5),"")</f>
        <v/>
      </c>
      <c r="I117" s="111" t="str">
        <f>IFERROR(INDEX(Venta!FcDetalle,MATCH(CONCATENATE(A117,"GT"),Venta!FcClave,0),FcInicioCantMes+6),"")</f>
        <v/>
      </c>
      <c r="J117" s="111" t="str">
        <f>IFERROR(INDEX(Venta!FcDetalle,MATCH(CONCATENATE(A117,"GT"),Venta!FcClave,0),FcInicioCantMes+7),"")</f>
        <v/>
      </c>
      <c r="K117" s="111" t="str">
        <f>IFERROR(INDEX(Venta!FcDetalle,MATCH(CONCATENATE(A117,"GT"),Venta!FcClave,0),FcInicioCantMes+8),"")</f>
        <v/>
      </c>
      <c r="L117" s="111" t="str">
        <f>IFERROR(INDEX(Venta!FcDetalle,MATCH(CONCATENATE(A117,"GT"),Venta!FcClave,0),FcInicioCantMes+9),"")</f>
        <v/>
      </c>
      <c r="M117" s="111" t="str">
        <f>IFERROR(INDEX(Venta!FcDetalle,MATCH(CONCATENATE(A117,"GT"),Venta!FcClave,0),FcInicioCantMes+10),"")</f>
        <v/>
      </c>
      <c r="N117" s="111" t="str">
        <f>IFERROR(INDEX(Venta!FcDetalle,MATCH(CONCATENATE(A117,"GT"),Venta!FcClave,0),FcInicioCantMes+11),"")</f>
        <v/>
      </c>
      <c r="O117" s="112" t="str">
        <f>IFERROR(INDEX(Venta!FcDetalle,MATCH(CONCATENATE(A117,"GT"),Venta!FcClave,0),FcInicioCantMes+12),"")</f>
        <v/>
      </c>
      <c r="Q117" s="142" t="str">
        <f>IFERROR(INDEX(Venta!FcDetalle,MATCH(CONCATENATE(A117,"GT"),Venta!FcClave,0),FcInicioCantAnual+0),"")</f>
        <v/>
      </c>
      <c r="R117" s="63" t="str">
        <f>IFERROR(INDEX(Venta!FcDetalle,MATCH(CONCATENATE(A117,"GT"),Venta!FcClave,0),FcInicioCantAnual+1),"")</f>
        <v/>
      </c>
      <c r="S117" s="63" t="str">
        <f>IFERROR(INDEX(Venta!FcDetalle,MATCH(CONCATENATE(A117,"GT"),Venta!FcClave,0),FcInicioCantAnual+2),"")</f>
        <v/>
      </c>
      <c r="T117" s="63" t="str">
        <f>IFERROR(INDEX(Venta!FcDetalle,MATCH(CONCATENATE(A117,"GT"),Venta!FcClave,0),FcInicioCantAnual+3),"")</f>
        <v/>
      </c>
      <c r="U117" s="64" t="str">
        <f>IFERROR(IF(FcCheckProy=FALSE,INDEX(Venta!FcDetalle,MATCH(CONCATENATE(A117,"GT"),Venta!FcClave,0),FcInicioCantAnual+4),INDEX(Venta!FcDetalle,MATCH(CONCATENATE(A117,"GT"),Venta!FcClave,0),FcInicioCantAnual+5)),"")</f>
        <v/>
      </c>
    </row>
    <row r="118" spans="1:21" hidden="1" outlineLevel="1" x14ac:dyDescent="0.2">
      <c r="A118" s="43" t="str">
        <f>IF($J$10="-","",$J$10)</f>
        <v/>
      </c>
      <c r="B118" s="98" t="str">
        <f>IFERROR(INDEX(Maestro!FcDetalle,MATCH(A118,Maestro!FcClave,0),5),"")</f>
        <v/>
      </c>
      <c r="C118" s="111" t="str">
        <f>IFERROR(INDEX(Venta!FcDetalle,MATCH(CONCATENATE(A118,"GT"),Venta!FcClave,0),FcInicioCantMes+0),"")</f>
        <v/>
      </c>
      <c r="D118" s="111" t="str">
        <f>IFERROR(INDEX(Venta!FcDetalle,MATCH(CONCATENATE(A118,"GT"),Venta!FcClave,0),FcInicioCantMes+1),"")</f>
        <v/>
      </c>
      <c r="E118" s="111" t="str">
        <f>IFERROR(INDEX(Venta!FcDetalle,MATCH(CONCATENATE(A118,"GT"),Venta!FcClave,0),FcInicioCantMes+2),"")</f>
        <v/>
      </c>
      <c r="F118" s="111" t="str">
        <f>IFERROR(INDEX(Venta!FcDetalle,MATCH(CONCATENATE(A118,"GT"),Venta!FcClave,0),FcInicioCantMes+3),"")</f>
        <v/>
      </c>
      <c r="G118" s="111" t="str">
        <f>IFERROR(INDEX(Venta!FcDetalle,MATCH(CONCATENATE(A118,"GT"),Venta!FcClave,0),FcInicioCantMes+4),"")</f>
        <v/>
      </c>
      <c r="H118" s="111" t="str">
        <f>IFERROR(INDEX(Venta!FcDetalle,MATCH(CONCATENATE(A118,"GT"),Venta!FcClave,0),FcInicioCantMes+5),"")</f>
        <v/>
      </c>
      <c r="I118" s="111" t="str">
        <f>IFERROR(INDEX(Venta!FcDetalle,MATCH(CONCATENATE(A118,"GT"),Venta!FcClave,0),FcInicioCantMes+6),"")</f>
        <v/>
      </c>
      <c r="J118" s="111" t="str">
        <f>IFERROR(INDEX(Venta!FcDetalle,MATCH(CONCATENATE(A118,"GT"),Venta!FcClave,0),FcInicioCantMes+7),"")</f>
        <v/>
      </c>
      <c r="K118" s="111" t="str">
        <f>IFERROR(INDEX(Venta!FcDetalle,MATCH(CONCATENATE(A118,"GT"),Venta!FcClave,0),FcInicioCantMes+8),"")</f>
        <v/>
      </c>
      <c r="L118" s="111" t="str">
        <f>IFERROR(INDEX(Venta!FcDetalle,MATCH(CONCATENATE(A118,"GT"),Venta!FcClave,0),FcInicioCantMes+9),"")</f>
        <v/>
      </c>
      <c r="M118" s="111" t="str">
        <f>IFERROR(INDEX(Venta!FcDetalle,MATCH(CONCATENATE(A118,"GT"),Venta!FcClave,0),FcInicioCantMes+10),"")</f>
        <v/>
      </c>
      <c r="N118" s="111" t="str">
        <f>IFERROR(INDEX(Venta!FcDetalle,MATCH(CONCATENATE(A118,"GT"),Venta!FcClave,0),FcInicioCantMes+11),"")</f>
        <v/>
      </c>
      <c r="O118" s="112" t="str">
        <f>IFERROR(INDEX(Venta!FcDetalle,MATCH(CONCATENATE(A118,"GT"),Venta!FcClave,0),FcInicioCantMes+12),"")</f>
        <v/>
      </c>
      <c r="Q118" s="142" t="str">
        <f>IFERROR(INDEX(Venta!FcDetalle,MATCH(CONCATENATE(A118,"GT"),Venta!FcClave,0),FcInicioCantAnual+0),"")</f>
        <v/>
      </c>
      <c r="R118" s="63" t="str">
        <f>IFERROR(INDEX(Venta!FcDetalle,MATCH(CONCATENATE(A118,"GT"),Venta!FcClave,0),FcInicioCantAnual+1),"")</f>
        <v/>
      </c>
      <c r="S118" s="63" t="str">
        <f>IFERROR(INDEX(Venta!FcDetalle,MATCH(CONCATENATE(A118,"GT"),Venta!FcClave,0),FcInicioCantAnual+2),"")</f>
        <v/>
      </c>
      <c r="T118" s="63" t="str">
        <f>IFERROR(INDEX(Venta!FcDetalle,MATCH(CONCATENATE(A118,"GT"),Venta!FcClave,0),FcInicioCantAnual+3),"")</f>
        <v/>
      </c>
      <c r="U118" s="64" t="str">
        <f>IFERROR(IF(FcCheckProy=FALSE,INDEX(Venta!FcDetalle,MATCH(CONCATENATE(A118,"GT"),Venta!FcClave,0),FcInicioCantAnual+4),INDEX(Venta!FcDetalle,MATCH(CONCATENATE(A118,"GT"),Venta!FcClave,0),FcInicioCantAnual+5)),"")</f>
        <v/>
      </c>
    </row>
    <row r="119" spans="1:21" hidden="1" outlineLevel="1" x14ac:dyDescent="0.2">
      <c r="A119" s="43" t="str">
        <f>IF($K$10="-","",$K$10)</f>
        <v/>
      </c>
      <c r="B119" s="98" t="str">
        <f>IFERROR(INDEX(Maestro!FcDetalle,MATCH(A119,Maestro!FcClave,0),5),"")</f>
        <v/>
      </c>
      <c r="C119" s="111" t="str">
        <f>IFERROR(INDEX(Venta!FcDetalle,MATCH(CONCATENATE(A119,"GT"),Venta!FcClave,0),FcInicioCantMes+0),"")</f>
        <v/>
      </c>
      <c r="D119" s="111" t="str">
        <f>IFERROR(INDEX(Venta!FcDetalle,MATCH(CONCATENATE(A119,"GT"),Venta!FcClave,0),FcInicioCantMes+1),"")</f>
        <v/>
      </c>
      <c r="E119" s="111" t="str">
        <f>IFERROR(INDEX(Venta!FcDetalle,MATCH(CONCATENATE(A119,"GT"),Venta!FcClave,0),FcInicioCantMes+2),"")</f>
        <v/>
      </c>
      <c r="F119" s="111" t="str">
        <f>IFERROR(INDEX(Venta!FcDetalle,MATCH(CONCATENATE(A119,"GT"),Venta!FcClave,0),FcInicioCantMes+3),"")</f>
        <v/>
      </c>
      <c r="G119" s="111" t="str">
        <f>IFERROR(INDEX(Venta!FcDetalle,MATCH(CONCATENATE(A119,"GT"),Venta!FcClave,0),FcInicioCantMes+4),"")</f>
        <v/>
      </c>
      <c r="H119" s="111" t="str">
        <f>IFERROR(INDEX(Venta!FcDetalle,MATCH(CONCATENATE(A119,"GT"),Venta!FcClave,0),FcInicioCantMes+5),"")</f>
        <v/>
      </c>
      <c r="I119" s="111" t="str">
        <f>IFERROR(INDEX(Venta!FcDetalle,MATCH(CONCATENATE(A119,"GT"),Venta!FcClave,0),FcInicioCantMes+6),"")</f>
        <v/>
      </c>
      <c r="J119" s="111" t="str">
        <f>IFERROR(INDEX(Venta!FcDetalle,MATCH(CONCATENATE(A119,"GT"),Venta!FcClave,0),FcInicioCantMes+7),"")</f>
        <v/>
      </c>
      <c r="K119" s="111" t="str">
        <f>IFERROR(INDEX(Venta!FcDetalle,MATCH(CONCATENATE(A119,"GT"),Venta!FcClave,0),FcInicioCantMes+8),"")</f>
        <v/>
      </c>
      <c r="L119" s="111" t="str">
        <f>IFERROR(INDEX(Venta!FcDetalle,MATCH(CONCATENATE(A119,"GT"),Venta!FcClave,0),FcInicioCantMes+9),"")</f>
        <v/>
      </c>
      <c r="M119" s="111" t="str">
        <f>IFERROR(INDEX(Venta!FcDetalle,MATCH(CONCATENATE(A119,"GT"),Venta!FcClave,0),FcInicioCantMes+10),"")</f>
        <v/>
      </c>
      <c r="N119" s="111" t="str">
        <f>IFERROR(INDEX(Venta!FcDetalle,MATCH(CONCATENATE(A119,"GT"),Venta!FcClave,0),FcInicioCantMes+11),"")</f>
        <v/>
      </c>
      <c r="O119" s="112" t="str">
        <f>IFERROR(INDEX(Venta!FcDetalle,MATCH(CONCATENATE(A119,"GT"),Venta!FcClave,0),FcInicioCantMes+12),"")</f>
        <v/>
      </c>
      <c r="Q119" s="142" t="str">
        <f>IFERROR(INDEX(Venta!FcDetalle,MATCH(CONCATENATE(A119,"GT"),Venta!FcClave,0),FcInicioCantAnual+0),"")</f>
        <v/>
      </c>
      <c r="R119" s="63" t="str">
        <f>IFERROR(INDEX(Venta!FcDetalle,MATCH(CONCATENATE(A119,"GT"),Venta!FcClave,0),FcInicioCantAnual+1),"")</f>
        <v/>
      </c>
      <c r="S119" s="63" t="str">
        <f>IFERROR(INDEX(Venta!FcDetalle,MATCH(CONCATENATE(A119,"GT"),Venta!FcClave,0),FcInicioCantAnual+2),"")</f>
        <v/>
      </c>
      <c r="T119" s="63" t="str">
        <f>IFERROR(INDEX(Venta!FcDetalle,MATCH(CONCATENATE(A119,"GT"),Venta!FcClave,0),FcInicioCantAnual+3),"")</f>
        <v/>
      </c>
      <c r="U119" s="64" t="str">
        <f>IFERROR(IF(FcCheckProy=FALSE,INDEX(Venta!FcDetalle,MATCH(CONCATENATE(A119,"GT"),Venta!FcClave,0),FcInicioCantAnual+4),INDEX(Venta!FcDetalle,MATCH(CONCATENATE(A119,"GT"),Venta!FcClave,0),FcInicioCantAnual+5)),"")</f>
        <v/>
      </c>
    </row>
    <row r="120" spans="1:21" hidden="1" outlineLevel="1" x14ac:dyDescent="0.2">
      <c r="A120" s="43" t="str">
        <f>IF($I$9="-","",$I$9)</f>
        <v/>
      </c>
      <c r="B120" s="98" t="str">
        <f>IFERROR(INDEX(Maestro!FcDetalle,MATCH(A120,Maestro!FcClave,0),5),"")</f>
        <v/>
      </c>
      <c r="C120" s="111" t="str">
        <f>IFERROR(INDEX(Venta!FcDetalle,MATCH(CONCATENATE(A120,"GT"),Venta!FcClave,0),FcInicioCantMes+0),"")</f>
        <v/>
      </c>
      <c r="D120" s="111" t="str">
        <f>IFERROR(INDEX(Venta!FcDetalle,MATCH(CONCATENATE(A120,"GT"),Venta!FcClave,0),FcInicioCantMes+1),"")</f>
        <v/>
      </c>
      <c r="E120" s="111" t="str">
        <f>IFERROR(INDEX(Venta!FcDetalle,MATCH(CONCATENATE(A120,"GT"),Venta!FcClave,0),FcInicioCantMes+2),"")</f>
        <v/>
      </c>
      <c r="F120" s="111" t="str">
        <f>IFERROR(INDEX(Venta!FcDetalle,MATCH(CONCATENATE(A120,"GT"),Venta!FcClave,0),FcInicioCantMes+3),"")</f>
        <v/>
      </c>
      <c r="G120" s="111" t="str">
        <f>IFERROR(INDEX(Venta!FcDetalle,MATCH(CONCATENATE(A120,"GT"),Venta!FcClave,0),FcInicioCantMes+4),"")</f>
        <v/>
      </c>
      <c r="H120" s="111" t="str">
        <f>IFERROR(INDEX(Venta!FcDetalle,MATCH(CONCATENATE(A120,"GT"),Venta!FcClave,0),FcInicioCantMes+5),"")</f>
        <v/>
      </c>
      <c r="I120" s="111" t="str">
        <f>IFERROR(INDEX(Venta!FcDetalle,MATCH(CONCATENATE(A120,"GT"),Venta!FcClave,0),FcInicioCantMes+6),"")</f>
        <v/>
      </c>
      <c r="J120" s="111" t="str">
        <f>IFERROR(INDEX(Venta!FcDetalle,MATCH(CONCATENATE(A120,"GT"),Venta!FcClave,0),FcInicioCantMes+7),"")</f>
        <v/>
      </c>
      <c r="K120" s="111" t="str">
        <f>IFERROR(INDEX(Venta!FcDetalle,MATCH(CONCATENATE(A120,"GT"),Venta!FcClave,0),FcInicioCantMes+8),"")</f>
        <v/>
      </c>
      <c r="L120" s="111" t="str">
        <f>IFERROR(INDEX(Venta!FcDetalle,MATCH(CONCATENATE(A120,"GT"),Venta!FcClave,0),FcInicioCantMes+9),"")</f>
        <v/>
      </c>
      <c r="M120" s="111" t="str">
        <f>IFERROR(INDEX(Venta!FcDetalle,MATCH(CONCATENATE(A120,"GT"),Venta!FcClave,0),FcInicioCantMes+10),"")</f>
        <v/>
      </c>
      <c r="N120" s="111" t="str">
        <f>IFERROR(INDEX(Venta!FcDetalle,MATCH(CONCATENATE(A120,"GT"),Venta!FcClave,0),FcInicioCantMes+11),"")</f>
        <v/>
      </c>
      <c r="O120" s="112" t="str">
        <f>IFERROR(INDEX(Venta!FcDetalle,MATCH(CONCATENATE(A120,"GT"),Venta!FcClave,0),FcInicioCantMes+12),"")</f>
        <v/>
      </c>
      <c r="Q120" s="142" t="str">
        <f>IFERROR(INDEX(Venta!FcDetalle,MATCH(CONCATENATE(A120,"GT"),Venta!FcClave,0),FcInicioCantAnual+0),"")</f>
        <v/>
      </c>
      <c r="R120" s="63" t="str">
        <f>IFERROR(INDEX(Venta!FcDetalle,MATCH(CONCATENATE(A120,"GT"),Venta!FcClave,0),FcInicioCantAnual+1),"")</f>
        <v/>
      </c>
      <c r="S120" s="63" t="str">
        <f>IFERROR(INDEX(Venta!FcDetalle,MATCH(CONCATENATE(A120,"GT"),Venta!FcClave,0),FcInicioCantAnual+2),"")</f>
        <v/>
      </c>
      <c r="T120" s="63" t="str">
        <f>IFERROR(INDEX(Venta!FcDetalle,MATCH(CONCATENATE(A120,"GT"),Venta!FcClave,0),FcInicioCantAnual+3),"")</f>
        <v/>
      </c>
      <c r="U120" s="64" t="str">
        <f>IFERROR(IF(FcCheckProy=FALSE,INDEX(Venta!FcDetalle,MATCH(CONCATENATE(A120,"GT"),Venta!FcClave,0),FcInicioCantAnual+4),INDEX(Venta!FcDetalle,MATCH(CONCATENATE(A120,"GT"),Venta!FcClave,0),FcInicioCantAnual+5)),"")</f>
        <v/>
      </c>
    </row>
    <row r="121" spans="1:21" hidden="1" outlineLevel="1" x14ac:dyDescent="0.2">
      <c r="A121" s="43" t="str">
        <f>IF($J$9="-","",$J$9)</f>
        <v/>
      </c>
      <c r="B121" s="98" t="str">
        <f>IFERROR(INDEX(Maestro!FcDetalle,MATCH(A121,Maestro!FcClave,0),5),"")</f>
        <v/>
      </c>
      <c r="C121" s="111" t="str">
        <f>IFERROR(INDEX(Venta!FcDetalle,MATCH(CONCATENATE(A121,"GT"),Venta!FcClave,0),FcInicioCantMes+0),"")</f>
        <v/>
      </c>
      <c r="D121" s="111" t="str">
        <f>IFERROR(INDEX(Venta!FcDetalle,MATCH(CONCATENATE(A121,"GT"),Venta!FcClave,0),FcInicioCantMes+1),"")</f>
        <v/>
      </c>
      <c r="E121" s="111" t="str">
        <f>IFERROR(INDEX(Venta!FcDetalle,MATCH(CONCATENATE(A121,"GT"),Venta!FcClave,0),FcInicioCantMes+2),"")</f>
        <v/>
      </c>
      <c r="F121" s="111" t="str">
        <f>IFERROR(INDEX(Venta!FcDetalle,MATCH(CONCATENATE(A121,"GT"),Venta!FcClave,0),FcInicioCantMes+3),"")</f>
        <v/>
      </c>
      <c r="G121" s="111" t="str">
        <f>IFERROR(INDEX(Venta!FcDetalle,MATCH(CONCATENATE(A121,"GT"),Venta!FcClave,0),FcInicioCantMes+4),"")</f>
        <v/>
      </c>
      <c r="H121" s="111" t="str">
        <f>IFERROR(INDEX(Venta!FcDetalle,MATCH(CONCATENATE(A121,"GT"),Venta!FcClave,0),FcInicioCantMes+5),"")</f>
        <v/>
      </c>
      <c r="I121" s="111" t="str">
        <f>IFERROR(INDEX(Venta!FcDetalle,MATCH(CONCATENATE(A121,"GT"),Venta!FcClave,0),FcInicioCantMes+6),"")</f>
        <v/>
      </c>
      <c r="J121" s="111" t="str">
        <f>IFERROR(INDEX(Venta!FcDetalle,MATCH(CONCATENATE(A121,"GT"),Venta!FcClave,0),FcInicioCantMes+7),"")</f>
        <v/>
      </c>
      <c r="K121" s="111" t="str">
        <f>IFERROR(INDEX(Venta!FcDetalle,MATCH(CONCATENATE(A121,"GT"),Venta!FcClave,0),FcInicioCantMes+8),"")</f>
        <v/>
      </c>
      <c r="L121" s="111" t="str">
        <f>IFERROR(INDEX(Venta!FcDetalle,MATCH(CONCATENATE(A121,"GT"),Venta!FcClave,0),FcInicioCantMes+9),"")</f>
        <v/>
      </c>
      <c r="M121" s="111" t="str">
        <f>IFERROR(INDEX(Venta!FcDetalle,MATCH(CONCATENATE(A121,"GT"),Venta!FcClave,0),FcInicioCantMes+10),"")</f>
        <v/>
      </c>
      <c r="N121" s="111" t="str">
        <f>IFERROR(INDEX(Venta!FcDetalle,MATCH(CONCATENATE(A121,"GT"),Venta!FcClave,0),FcInicioCantMes+11),"")</f>
        <v/>
      </c>
      <c r="O121" s="112" t="str">
        <f>IFERROR(INDEX(Venta!FcDetalle,MATCH(CONCATENATE(A121,"GT"),Venta!FcClave,0),FcInicioCantMes+12),"")</f>
        <v/>
      </c>
      <c r="Q121" s="142" t="str">
        <f>IFERROR(INDEX(Venta!FcDetalle,MATCH(CONCATENATE(A121,"GT"),Venta!FcClave,0),FcInicioCantAnual+0),"")</f>
        <v/>
      </c>
      <c r="R121" s="63" t="str">
        <f>IFERROR(INDEX(Venta!FcDetalle,MATCH(CONCATENATE(A121,"GT"),Venta!FcClave,0),FcInicioCantAnual+1),"")</f>
        <v/>
      </c>
      <c r="S121" s="63" t="str">
        <f>IFERROR(INDEX(Venta!FcDetalle,MATCH(CONCATENATE(A121,"GT"),Venta!FcClave,0),FcInicioCantAnual+2),"")</f>
        <v/>
      </c>
      <c r="T121" s="63" t="str">
        <f>IFERROR(INDEX(Venta!FcDetalle,MATCH(CONCATENATE(A121,"GT"),Venta!FcClave,0),FcInicioCantAnual+3),"")</f>
        <v/>
      </c>
      <c r="U121" s="64" t="str">
        <f>IFERROR(IF(FcCheckProy=FALSE,INDEX(Venta!FcDetalle,MATCH(CONCATENATE(A121,"GT"),Venta!FcClave,0),FcInicioCantAnual+4),INDEX(Venta!FcDetalle,MATCH(CONCATENATE(A121,"GT"),Venta!FcClave,0),FcInicioCantAnual+5)),"")</f>
        <v/>
      </c>
    </row>
    <row r="122" spans="1:21" ht="13.5" hidden="1" outlineLevel="1" thickBot="1" x14ac:dyDescent="0.25">
      <c r="A122" s="97" t="str">
        <f>IF($K$9="-","",$K$9)</f>
        <v/>
      </c>
      <c r="B122" s="98" t="str">
        <f>IFERROR(INDEX(Maestro!FcDetalle,MATCH(A122,Maestro!FcClave,0),5),"")</f>
        <v/>
      </c>
      <c r="C122" s="111" t="str">
        <f>IFERROR(INDEX(Venta!FcDetalle,MATCH(CONCATENATE(A122,"GT"),Venta!FcClave,0),FcInicioCantMes+0),"")</f>
        <v/>
      </c>
      <c r="D122" s="111" t="str">
        <f>IFERROR(INDEX(Venta!FcDetalle,MATCH(CONCATENATE(A122,"GT"),Venta!FcClave,0),FcInicioCantMes+1),"")</f>
        <v/>
      </c>
      <c r="E122" s="111" t="str">
        <f>IFERROR(INDEX(Venta!FcDetalle,MATCH(CONCATENATE(A122,"GT"),Venta!FcClave,0),FcInicioCantMes+2),"")</f>
        <v/>
      </c>
      <c r="F122" s="111" t="str">
        <f>IFERROR(INDEX(Venta!FcDetalle,MATCH(CONCATENATE(A122,"GT"),Venta!FcClave,0),FcInicioCantMes+3),"")</f>
        <v/>
      </c>
      <c r="G122" s="111" t="str">
        <f>IFERROR(INDEX(Venta!FcDetalle,MATCH(CONCATENATE(A122,"GT"),Venta!FcClave,0),FcInicioCantMes+4),"")</f>
        <v/>
      </c>
      <c r="H122" s="111" t="str">
        <f>IFERROR(INDEX(Venta!FcDetalle,MATCH(CONCATENATE(A122,"GT"),Venta!FcClave,0),FcInicioCantMes+5),"")</f>
        <v/>
      </c>
      <c r="I122" s="111" t="str">
        <f>IFERROR(INDEX(Venta!FcDetalle,MATCH(CONCATENATE(A122,"GT"),Venta!FcClave,0),FcInicioCantMes+6),"")</f>
        <v/>
      </c>
      <c r="J122" s="111" t="str">
        <f>IFERROR(INDEX(Venta!FcDetalle,MATCH(CONCATENATE(A122,"GT"),Venta!FcClave,0),FcInicioCantMes+7),"")</f>
        <v/>
      </c>
      <c r="K122" s="111" t="str">
        <f>IFERROR(INDEX(Venta!FcDetalle,MATCH(CONCATENATE(A122,"GT"),Venta!FcClave,0),FcInicioCantMes+8),"")</f>
        <v/>
      </c>
      <c r="L122" s="111" t="str">
        <f>IFERROR(INDEX(Venta!FcDetalle,MATCH(CONCATENATE(A122,"GT"),Venta!FcClave,0),FcInicioCantMes+9),"")</f>
        <v/>
      </c>
      <c r="M122" s="111" t="str">
        <f>IFERROR(INDEX(Venta!FcDetalle,MATCH(CONCATENATE(A122,"GT"),Venta!FcClave,0),FcInicioCantMes+10),"")</f>
        <v/>
      </c>
      <c r="N122" s="111" t="str">
        <f>IFERROR(INDEX(Venta!FcDetalle,MATCH(CONCATENATE(A122,"GT"),Venta!FcClave,0),FcInicioCantMes+11),"")</f>
        <v/>
      </c>
      <c r="O122" s="112" t="str">
        <f>IFERROR(INDEX(Venta!FcDetalle,MATCH(CONCATENATE(A122,"GT"),Venta!FcClave,0),FcInicioCantMes+12),"")</f>
        <v/>
      </c>
      <c r="Q122" s="180" t="str">
        <f>IFERROR(INDEX(Venta!FcDetalle,MATCH(CONCATENATE(A122,"GT"),Venta!FcClave,0),FcInicioCantAnual+0),"")</f>
        <v/>
      </c>
      <c r="R122" s="181" t="str">
        <f>IFERROR(INDEX(Venta!FcDetalle,MATCH(CONCATENATE(A122,"GT"),Venta!FcClave,0),FcInicioCantAnual+1),"")</f>
        <v/>
      </c>
      <c r="S122" s="181" t="str">
        <f>IFERROR(INDEX(Venta!FcDetalle,MATCH(CONCATENATE(A122,"GT"),Venta!FcClave,0),FcInicioCantAnual+2),"")</f>
        <v/>
      </c>
      <c r="T122" s="181" t="str">
        <f>IFERROR(INDEX(Venta!FcDetalle,MATCH(CONCATENATE(A122,"GT"),Venta!FcClave,0),FcInicioCantAnual+3),"")</f>
        <v/>
      </c>
      <c r="U122" s="182" t="str">
        <f>IFERROR(IF(FcCheckProy=FALSE,INDEX(Venta!FcDetalle,MATCH(CONCATENATE(A122,"GT"),Venta!FcClave,0),FcInicioCantAnual+4),INDEX(Venta!FcDetalle,MATCH(CONCATENATE(A122,"GT"),Venta!FcClave,0),FcInicioCantAnual+5)),"")</f>
        <v/>
      </c>
    </row>
    <row r="123" spans="1:21" ht="15.75" collapsed="1" thickBot="1" x14ac:dyDescent="0.25">
      <c r="A123" s="245" t="s">
        <v>43</v>
      </c>
      <c r="B123" s="246"/>
      <c r="C123" s="247">
        <f t="shared" ref="C123:O123" si="18">SUM(C113:C122)</f>
        <v>0</v>
      </c>
      <c r="D123" s="247">
        <f t="shared" si="18"/>
        <v>0</v>
      </c>
      <c r="E123" s="247">
        <f t="shared" si="18"/>
        <v>0</v>
      </c>
      <c r="F123" s="247">
        <f t="shared" si="18"/>
        <v>0</v>
      </c>
      <c r="G123" s="247">
        <f t="shared" si="18"/>
        <v>0</v>
      </c>
      <c r="H123" s="247">
        <f t="shared" si="18"/>
        <v>0</v>
      </c>
      <c r="I123" s="247">
        <f t="shared" si="18"/>
        <v>0</v>
      </c>
      <c r="J123" s="247">
        <f t="shared" si="18"/>
        <v>0</v>
      </c>
      <c r="K123" s="247">
        <f t="shared" si="18"/>
        <v>0</v>
      </c>
      <c r="L123" s="247">
        <f t="shared" si="18"/>
        <v>0</v>
      </c>
      <c r="M123" s="247">
        <f t="shared" si="18"/>
        <v>0</v>
      </c>
      <c r="N123" s="247">
        <f t="shared" si="18"/>
        <v>0</v>
      </c>
      <c r="O123" s="248">
        <f t="shared" si="18"/>
        <v>0</v>
      </c>
      <c r="P123" s="6"/>
      <c r="Q123" s="249">
        <f>SUM(Q113:Q122)</f>
        <v>0</v>
      </c>
      <c r="R123" s="250">
        <f>SUM(R113:R122)</f>
        <v>0</v>
      </c>
      <c r="S123" s="250">
        <f>SUM(S113:S122)</f>
        <v>0</v>
      </c>
      <c r="T123" s="250">
        <f>SUM(T113:T122)</f>
        <v>0</v>
      </c>
      <c r="U123" s="248">
        <f>SUM(U113:U122)</f>
        <v>0</v>
      </c>
    </row>
    <row r="124" spans="1:21" hidden="1" outlineLevel="1" x14ac:dyDescent="0.2">
      <c r="A124" s="43">
        <f>IF($E$10="-",$C$4,$E$10)</f>
        <v>6005</v>
      </c>
      <c r="B124" s="98" t="str">
        <f>IFERROR(INDEX(Maestro!FcDetalle,MATCH(A124,Maestro!FcClave,0),5),"")</f>
        <v/>
      </c>
      <c r="C124" s="111" t="str">
        <f>IFERROR(INDEX(Venta!FcDetalle,MATCH(CONCATENATE(A124,"CAP"),Venta!FcClave,0),FcInicioCantMes+0),"")</f>
        <v/>
      </c>
      <c r="D124" s="111" t="str">
        <f>IFERROR(INDEX(Venta!FcDetalle,MATCH(CONCATENATE(A124,"CAP"),Venta!FcClave,0),FcInicioCantMes+1),"")</f>
        <v/>
      </c>
      <c r="E124" s="111" t="str">
        <f>IFERROR(INDEX(Venta!FcDetalle,MATCH(CONCATENATE(A124,"CAP"),Venta!FcClave,0),FcInicioCantMes+2),"")</f>
        <v/>
      </c>
      <c r="F124" s="111" t="str">
        <f>IFERROR(INDEX(Venta!FcDetalle,MATCH(CONCATENATE(A124,"CAP"),Venta!FcClave,0),FcInicioCantMes+3),"")</f>
        <v/>
      </c>
      <c r="G124" s="111" t="str">
        <f>IFERROR(INDEX(Venta!FcDetalle,MATCH(CONCATENATE(A124,"CAP"),Venta!FcClave,0),FcInicioCantMes+4),"")</f>
        <v/>
      </c>
      <c r="H124" s="111" t="str">
        <f>IFERROR(INDEX(Venta!FcDetalle,MATCH(CONCATENATE(A124,"CAP"),Venta!FcClave,0),FcInicioCantMes+5),"")</f>
        <v/>
      </c>
      <c r="I124" s="111" t="str">
        <f>IFERROR(INDEX(Venta!FcDetalle,MATCH(CONCATENATE(A124,"CAP"),Venta!FcClave,0),FcInicioCantMes+6),"")</f>
        <v/>
      </c>
      <c r="J124" s="111" t="str">
        <f>IFERROR(INDEX(Venta!FcDetalle,MATCH(CONCATENATE(A124,"CAP"),Venta!FcClave,0),FcInicioCantMes+7),"")</f>
        <v/>
      </c>
      <c r="K124" s="111" t="str">
        <f>IFERROR(INDEX(Venta!FcDetalle,MATCH(CONCATENATE(A124,"CAP"),Venta!FcClave,0),FcInicioCantMes+8),"")</f>
        <v/>
      </c>
      <c r="L124" s="111" t="str">
        <f>IFERROR(INDEX(Venta!FcDetalle,MATCH(CONCATENATE(A124,"CAP"),Venta!FcClave,0),FcInicioCantMes+9),"")</f>
        <v/>
      </c>
      <c r="M124" s="111" t="str">
        <f>IFERROR(INDEX(Venta!FcDetalle,MATCH(CONCATENATE(A124,"CAP"),Venta!FcClave,0),FcInicioCantMes+10),"")</f>
        <v/>
      </c>
      <c r="N124" s="111" t="str">
        <f>IFERROR(INDEX(Venta!FcDetalle,MATCH(CONCATENATE(A124,"CAP"),Venta!FcClave,0),FcInicioCantMes+11),"")</f>
        <v/>
      </c>
      <c r="O124" s="112" t="str">
        <f>IFERROR(INDEX(Venta!FcDetalle,MATCH(CONCATENATE(A124,"CAP"),Venta!FcClave,0),FcInicioCantMes+12),"")</f>
        <v/>
      </c>
      <c r="P124" s="9"/>
      <c r="Q124" s="146" t="str">
        <f>IFERROR(INDEX(Venta!FcDetalle,MATCH(CONCATENATE(A124,"CAP"),Venta!FcClave,0),FcInicioCantAnual+0),"")</f>
        <v/>
      </c>
      <c r="R124" s="147" t="str">
        <f>IFERROR(INDEX(Venta!FcDetalle,MATCH(CONCATENATE(A124,"CAP"),Venta!FcClave,0),FcInicioCantAnual+1),"")</f>
        <v/>
      </c>
      <c r="S124" s="147" t="str">
        <f>IFERROR(INDEX(Venta!FcDetalle,MATCH(CONCATENATE(A124,"CAP"),Venta!FcClave,0),FcInicioCantAnual+2),"")</f>
        <v/>
      </c>
      <c r="T124" s="147" t="str">
        <f>IFERROR(INDEX(Venta!FcDetalle,MATCH(CONCATENATE(A124,"CAP"),Venta!FcClave,0),FcInicioCantAnual+3),"")</f>
        <v/>
      </c>
      <c r="U124" s="148" t="str">
        <f>IFERROR(IF(FcCheckProy=FALSE,INDEX(Venta!FcDetalle,MATCH(CONCATENATE(A124,"CAP"),Venta!FcClave,0),FcInicioCantAnual+4),INDEX(Venta!FcDetalle,MATCH(CONCATENATE(A124,"CAP"),Venta!FcClave,0),FcInicioCantAnual+5)),"")</f>
        <v/>
      </c>
    </row>
    <row r="125" spans="1:21" hidden="1" outlineLevel="1" x14ac:dyDescent="0.2">
      <c r="A125" s="43" t="str">
        <f>IF($F$10="-","",$F$10)</f>
        <v/>
      </c>
      <c r="B125" s="98" t="str">
        <f>IFERROR(INDEX(Maestro!FcDetalle,MATCH(A125,Maestro!FcClave,0),5),"")</f>
        <v/>
      </c>
      <c r="C125" s="111" t="str">
        <f>IFERROR(INDEX(Venta!FcDetalle,MATCH(CONCATENATE(A125,"CAP"),Venta!FcClave,0),FcInicioCantMes+0),"")</f>
        <v/>
      </c>
      <c r="D125" s="111" t="str">
        <f>IFERROR(INDEX(Venta!FcDetalle,MATCH(CONCATENATE(A125,"CAP"),Venta!FcClave,0),FcInicioCantMes+1),"")</f>
        <v/>
      </c>
      <c r="E125" s="111" t="str">
        <f>IFERROR(INDEX(Venta!FcDetalle,MATCH(CONCATENATE(A125,"CAP"),Venta!FcClave,0),FcInicioCantMes+2),"")</f>
        <v/>
      </c>
      <c r="F125" s="111" t="str">
        <f>IFERROR(INDEX(Venta!FcDetalle,MATCH(CONCATENATE(A125,"CAP"),Venta!FcClave,0),FcInicioCantMes+3),"")</f>
        <v/>
      </c>
      <c r="G125" s="111" t="str">
        <f>IFERROR(INDEX(Venta!FcDetalle,MATCH(CONCATENATE(A125,"CAP"),Venta!FcClave,0),FcInicioCantMes+4),"")</f>
        <v/>
      </c>
      <c r="H125" s="111" t="str">
        <f>IFERROR(INDEX(Venta!FcDetalle,MATCH(CONCATENATE(A125,"CAP"),Venta!FcClave,0),FcInicioCantMes+5),"")</f>
        <v/>
      </c>
      <c r="I125" s="111" t="str">
        <f>IFERROR(INDEX(Venta!FcDetalle,MATCH(CONCATENATE(A125,"CAP"),Venta!FcClave,0),FcInicioCantMes+6),"")</f>
        <v/>
      </c>
      <c r="J125" s="111" t="str">
        <f>IFERROR(INDEX(Venta!FcDetalle,MATCH(CONCATENATE(A125,"CAP"),Venta!FcClave,0),FcInicioCantMes+7),"")</f>
        <v/>
      </c>
      <c r="K125" s="111" t="str">
        <f>IFERROR(INDEX(Venta!FcDetalle,MATCH(CONCATENATE(A125,"CAP"),Venta!FcClave,0),FcInicioCantMes+8),"")</f>
        <v/>
      </c>
      <c r="L125" s="111" t="str">
        <f>IFERROR(INDEX(Venta!FcDetalle,MATCH(CONCATENATE(A125,"CAP"),Venta!FcClave,0),FcInicioCantMes+9),"")</f>
        <v/>
      </c>
      <c r="M125" s="111" t="str">
        <f>IFERROR(INDEX(Venta!FcDetalle,MATCH(CONCATENATE(A125,"CAP"),Venta!FcClave,0),FcInicioCantMes+10),"")</f>
        <v/>
      </c>
      <c r="N125" s="111" t="str">
        <f>IFERROR(INDEX(Venta!FcDetalle,MATCH(CONCATENATE(A125,"CAP"),Venta!FcClave,0),FcInicioCantMes+11),"")</f>
        <v/>
      </c>
      <c r="O125" s="112" t="str">
        <f>IFERROR(INDEX(Venta!FcDetalle,MATCH(CONCATENATE(A125,"CAP"),Venta!FcClave,0),FcInicioCantMes+12),"")</f>
        <v/>
      </c>
      <c r="Q125" s="142" t="str">
        <f>IFERROR(INDEX(Venta!FcDetalle,MATCH(CONCATENATE(A125,"CAP"),Venta!FcClave,0),FcInicioCantAnual+0),"")</f>
        <v/>
      </c>
      <c r="R125" s="63" t="str">
        <f>IFERROR(INDEX(Venta!FcDetalle,MATCH(CONCATENATE(A125,"CAP"),Venta!FcClave,0),FcInicioCantAnual+1),"")</f>
        <v/>
      </c>
      <c r="S125" s="63" t="str">
        <f>IFERROR(INDEX(Venta!FcDetalle,MATCH(CONCATENATE(A125,"CAP"),Venta!FcClave,0),FcInicioCantAnual+2),"")</f>
        <v/>
      </c>
      <c r="T125" s="63" t="str">
        <f>IFERROR(INDEX(Venta!FcDetalle,MATCH(CONCATENATE(A125,"CAP"),Venta!FcClave,0),FcInicioCantAnual+3),"")</f>
        <v/>
      </c>
      <c r="U125" s="64" t="str">
        <f>IFERROR(IF(FcCheckProy=FALSE,INDEX(Venta!FcDetalle,MATCH(CONCATENATE(A125,"CAP"),Venta!FcClave,0),FcInicioCantAnual+4),INDEX(Venta!FcDetalle,MATCH(CONCATENATE(A125,"CAP"),Venta!FcClave,0),FcInicioCantAnual+5)),"")</f>
        <v/>
      </c>
    </row>
    <row r="126" spans="1:21" hidden="1" outlineLevel="1" x14ac:dyDescent="0.2">
      <c r="A126" s="43" t="str">
        <f>IF($G$10="-","",$G$10)</f>
        <v/>
      </c>
      <c r="B126" s="98" t="str">
        <f>IFERROR(INDEX(Maestro!FcDetalle,MATCH(A126,Maestro!FcClave,0),5),"")</f>
        <v/>
      </c>
      <c r="C126" s="111" t="str">
        <f>IFERROR(INDEX(Venta!FcDetalle,MATCH(CONCATENATE(A126,"CAP"),Venta!FcClave,0),FcInicioCantMes+0),"")</f>
        <v/>
      </c>
      <c r="D126" s="111" t="str">
        <f>IFERROR(INDEX(Venta!FcDetalle,MATCH(CONCATENATE(A126,"CAP"),Venta!FcClave,0),FcInicioCantMes+1),"")</f>
        <v/>
      </c>
      <c r="E126" s="111" t="str">
        <f>IFERROR(INDEX(Venta!FcDetalle,MATCH(CONCATENATE(A126,"CAP"),Venta!FcClave,0),FcInicioCantMes+2),"")</f>
        <v/>
      </c>
      <c r="F126" s="111" t="str">
        <f>IFERROR(INDEX(Venta!FcDetalle,MATCH(CONCATENATE(A126,"CAP"),Venta!FcClave,0),FcInicioCantMes+3),"")</f>
        <v/>
      </c>
      <c r="G126" s="111" t="str">
        <f>IFERROR(INDEX(Venta!FcDetalle,MATCH(CONCATENATE(A126,"CAP"),Venta!FcClave,0),FcInicioCantMes+4),"")</f>
        <v/>
      </c>
      <c r="H126" s="111" t="str">
        <f>IFERROR(INDEX(Venta!FcDetalle,MATCH(CONCATENATE(A126,"CAP"),Venta!FcClave,0),FcInicioCantMes+5),"")</f>
        <v/>
      </c>
      <c r="I126" s="111" t="str">
        <f>IFERROR(INDEX(Venta!FcDetalle,MATCH(CONCATENATE(A126,"CAP"),Venta!FcClave,0),FcInicioCantMes+6),"")</f>
        <v/>
      </c>
      <c r="J126" s="111" t="str">
        <f>IFERROR(INDEX(Venta!FcDetalle,MATCH(CONCATENATE(A126,"CAP"),Venta!FcClave,0),FcInicioCantMes+7),"")</f>
        <v/>
      </c>
      <c r="K126" s="111" t="str">
        <f>IFERROR(INDEX(Venta!FcDetalle,MATCH(CONCATENATE(A126,"CAP"),Venta!FcClave,0),FcInicioCantMes+8),"")</f>
        <v/>
      </c>
      <c r="L126" s="111" t="str">
        <f>IFERROR(INDEX(Venta!FcDetalle,MATCH(CONCATENATE(A126,"CAP"),Venta!FcClave,0),FcInicioCantMes+9),"")</f>
        <v/>
      </c>
      <c r="M126" s="111" t="str">
        <f>IFERROR(INDEX(Venta!FcDetalle,MATCH(CONCATENATE(A126,"CAP"),Venta!FcClave,0),FcInicioCantMes+10),"")</f>
        <v/>
      </c>
      <c r="N126" s="111" t="str">
        <f>IFERROR(INDEX(Venta!FcDetalle,MATCH(CONCATENATE(A126,"CAP"),Venta!FcClave,0),FcInicioCantMes+11),"")</f>
        <v/>
      </c>
      <c r="O126" s="112" t="str">
        <f>IFERROR(INDEX(Venta!FcDetalle,MATCH(CONCATENATE(A126,"CAP"),Venta!FcClave,0),FcInicioCantMes+12),"")</f>
        <v/>
      </c>
      <c r="Q126" s="142" t="str">
        <f>IFERROR(INDEX(Venta!FcDetalle,MATCH(CONCATENATE(A126,"CAP"),Venta!FcClave,0),FcInicioCantAnual+0),"")</f>
        <v/>
      </c>
      <c r="R126" s="63" t="str">
        <f>IFERROR(INDEX(Venta!FcDetalle,MATCH(CONCATENATE(A126,"CAP"),Venta!FcClave,0),FcInicioCantAnual+1),"")</f>
        <v/>
      </c>
      <c r="S126" s="63" t="str">
        <f>IFERROR(INDEX(Venta!FcDetalle,MATCH(CONCATENATE(A126,"CAP"),Venta!FcClave,0),FcInicioCantAnual+2),"")</f>
        <v/>
      </c>
      <c r="T126" s="63" t="str">
        <f>IFERROR(INDEX(Venta!FcDetalle,MATCH(CONCATENATE(A126,"CAP"),Venta!FcClave,0),FcInicioCantAnual+3),"")</f>
        <v/>
      </c>
      <c r="U126" s="64" t="str">
        <f>IFERROR(IF(FcCheckProy=FALSE,INDEX(Venta!FcDetalle,MATCH(CONCATENATE(A126,"CAP"),Venta!FcClave,0),FcInicioCantAnual+4),INDEX(Venta!FcDetalle,MATCH(CONCATENATE(A126,"CAP"),Venta!FcClave,0),FcInicioCantAnual+5)),"")</f>
        <v/>
      </c>
    </row>
    <row r="127" spans="1:21" hidden="1" outlineLevel="1" x14ac:dyDescent="0.2">
      <c r="A127" s="43" t="str">
        <f>IF($H$10="-","",$H$10)</f>
        <v/>
      </c>
      <c r="B127" s="98" t="str">
        <f>IFERROR(INDEX(Maestro!FcDetalle,MATCH(A127,Maestro!FcClave,0),5),"")</f>
        <v/>
      </c>
      <c r="C127" s="111" t="str">
        <f>IFERROR(INDEX(Venta!FcDetalle,MATCH(CONCATENATE(A127,"CAP"),Venta!FcClave,0),FcInicioCantMes+0),"")</f>
        <v/>
      </c>
      <c r="D127" s="111" t="str">
        <f>IFERROR(INDEX(Venta!FcDetalle,MATCH(CONCATENATE(A127,"CAP"),Venta!FcClave,0),FcInicioCantMes+1),"")</f>
        <v/>
      </c>
      <c r="E127" s="111" t="str">
        <f>IFERROR(INDEX(Venta!FcDetalle,MATCH(CONCATENATE(A127,"CAP"),Venta!FcClave,0),FcInicioCantMes+2),"")</f>
        <v/>
      </c>
      <c r="F127" s="111" t="str">
        <f>IFERROR(INDEX(Venta!FcDetalle,MATCH(CONCATENATE(A127,"CAP"),Venta!FcClave,0),FcInicioCantMes+3),"")</f>
        <v/>
      </c>
      <c r="G127" s="111" t="str">
        <f>IFERROR(INDEX(Venta!FcDetalle,MATCH(CONCATENATE(A127,"CAP"),Venta!FcClave,0),FcInicioCantMes+4),"")</f>
        <v/>
      </c>
      <c r="H127" s="111" t="str">
        <f>IFERROR(INDEX(Venta!FcDetalle,MATCH(CONCATENATE(A127,"CAP"),Venta!FcClave,0),FcInicioCantMes+5),"")</f>
        <v/>
      </c>
      <c r="I127" s="111" t="str">
        <f>IFERROR(INDEX(Venta!FcDetalle,MATCH(CONCATENATE(A127,"CAP"),Venta!FcClave,0),FcInicioCantMes+6),"")</f>
        <v/>
      </c>
      <c r="J127" s="111" t="str">
        <f>IFERROR(INDEX(Venta!FcDetalle,MATCH(CONCATENATE(A127,"CAP"),Venta!FcClave,0),FcInicioCantMes+7),"")</f>
        <v/>
      </c>
      <c r="K127" s="111" t="str">
        <f>IFERROR(INDEX(Venta!FcDetalle,MATCH(CONCATENATE(A127,"CAP"),Venta!FcClave,0),FcInicioCantMes+8),"")</f>
        <v/>
      </c>
      <c r="L127" s="111" t="str">
        <f>IFERROR(INDEX(Venta!FcDetalle,MATCH(CONCATENATE(A127,"CAP"),Venta!FcClave,0),FcInicioCantMes+9),"")</f>
        <v/>
      </c>
      <c r="M127" s="111" t="str">
        <f>IFERROR(INDEX(Venta!FcDetalle,MATCH(CONCATENATE(A127,"CAP"),Venta!FcClave,0),FcInicioCantMes+10),"")</f>
        <v/>
      </c>
      <c r="N127" s="111" t="str">
        <f>IFERROR(INDEX(Venta!FcDetalle,MATCH(CONCATENATE(A127,"CAP"),Venta!FcClave,0),FcInicioCantMes+11),"")</f>
        <v/>
      </c>
      <c r="O127" s="112" t="str">
        <f>IFERROR(INDEX(Venta!FcDetalle,MATCH(CONCATENATE(A127,"CAP"),Venta!FcClave,0),FcInicioCantMes+12),"")</f>
        <v/>
      </c>
      <c r="Q127" s="142" t="str">
        <f>IFERROR(INDEX(Venta!FcDetalle,MATCH(CONCATENATE(A127,"CAP"),Venta!FcClave,0),FcInicioCantAnual+0),"")</f>
        <v/>
      </c>
      <c r="R127" s="63" t="str">
        <f>IFERROR(INDEX(Venta!FcDetalle,MATCH(CONCATENATE(A127,"CAP"),Venta!FcClave,0),FcInicioCantAnual+1),"")</f>
        <v/>
      </c>
      <c r="S127" s="63" t="str">
        <f>IFERROR(INDEX(Venta!FcDetalle,MATCH(CONCATENATE(A127,"CAP"),Venta!FcClave,0),FcInicioCantAnual+2),"")</f>
        <v/>
      </c>
      <c r="T127" s="63" t="str">
        <f>IFERROR(INDEX(Venta!FcDetalle,MATCH(CONCATENATE(A127,"CAP"),Venta!FcClave,0),FcInicioCantAnual+3),"")</f>
        <v/>
      </c>
      <c r="U127" s="64" t="str">
        <f>IFERROR(IF(FcCheckProy=FALSE,INDEX(Venta!FcDetalle,MATCH(CONCATENATE(A127,"CAP"),Venta!FcClave,0),FcInicioCantAnual+4),INDEX(Venta!FcDetalle,MATCH(CONCATENATE(A127,"CAP"),Venta!FcClave,0),FcInicioCantAnual+5)),"")</f>
        <v/>
      </c>
    </row>
    <row r="128" spans="1:21" hidden="1" outlineLevel="1" x14ac:dyDescent="0.2">
      <c r="A128" s="43" t="str">
        <f>IF($I$10="-","",$I$10)</f>
        <v/>
      </c>
      <c r="B128" s="98" t="str">
        <f>IFERROR(INDEX(Maestro!FcDetalle,MATCH(A128,Maestro!FcClave,0),5),"")</f>
        <v/>
      </c>
      <c r="C128" s="111" t="str">
        <f>IFERROR(INDEX(Venta!FcDetalle,MATCH(CONCATENATE(A128,"CAP"),Venta!FcClave,0),FcInicioCantMes+0),"")</f>
        <v/>
      </c>
      <c r="D128" s="111" t="str">
        <f>IFERROR(INDEX(Venta!FcDetalle,MATCH(CONCATENATE(A128,"CAP"),Venta!FcClave,0),FcInicioCantMes+1),"")</f>
        <v/>
      </c>
      <c r="E128" s="111" t="str">
        <f>IFERROR(INDEX(Venta!FcDetalle,MATCH(CONCATENATE(A128,"CAP"),Venta!FcClave,0),FcInicioCantMes+2),"")</f>
        <v/>
      </c>
      <c r="F128" s="111" t="str">
        <f>IFERROR(INDEX(Venta!FcDetalle,MATCH(CONCATENATE(A128,"CAP"),Venta!FcClave,0),FcInicioCantMes+3),"")</f>
        <v/>
      </c>
      <c r="G128" s="111" t="str">
        <f>IFERROR(INDEX(Venta!FcDetalle,MATCH(CONCATENATE(A128,"CAP"),Venta!FcClave,0),FcInicioCantMes+4),"")</f>
        <v/>
      </c>
      <c r="H128" s="111" t="str">
        <f>IFERROR(INDEX(Venta!FcDetalle,MATCH(CONCATENATE(A128,"CAP"),Venta!FcClave,0),FcInicioCantMes+5),"")</f>
        <v/>
      </c>
      <c r="I128" s="111" t="str">
        <f>IFERROR(INDEX(Venta!FcDetalle,MATCH(CONCATENATE(A128,"CAP"),Venta!FcClave,0),FcInicioCantMes+6),"")</f>
        <v/>
      </c>
      <c r="J128" s="111" t="str">
        <f>IFERROR(INDEX(Venta!FcDetalle,MATCH(CONCATENATE(A128,"CAP"),Venta!FcClave,0),FcInicioCantMes+7),"")</f>
        <v/>
      </c>
      <c r="K128" s="111" t="str">
        <f>IFERROR(INDEX(Venta!FcDetalle,MATCH(CONCATENATE(A128,"CAP"),Venta!FcClave,0),FcInicioCantMes+8),"")</f>
        <v/>
      </c>
      <c r="L128" s="111" t="str">
        <f>IFERROR(INDEX(Venta!FcDetalle,MATCH(CONCATENATE(A128,"CAP"),Venta!FcClave,0),FcInicioCantMes+9),"")</f>
        <v/>
      </c>
      <c r="M128" s="111" t="str">
        <f>IFERROR(INDEX(Venta!FcDetalle,MATCH(CONCATENATE(A128,"CAP"),Venta!FcClave,0),FcInicioCantMes+10),"")</f>
        <v/>
      </c>
      <c r="N128" s="111" t="str">
        <f>IFERROR(INDEX(Venta!FcDetalle,MATCH(CONCATENATE(A128,"CAP"),Venta!FcClave,0),FcInicioCantMes+11),"")</f>
        <v/>
      </c>
      <c r="O128" s="112" t="str">
        <f>IFERROR(INDEX(Venta!FcDetalle,MATCH(CONCATENATE(A128,"CAP"),Venta!FcClave,0),FcInicioCantMes+12),"")</f>
        <v/>
      </c>
      <c r="Q128" s="142" t="str">
        <f>IFERROR(INDEX(Venta!FcDetalle,MATCH(CONCATENATE(A128,"CAP"),Venta!FcClave,0),FcInicioCantAnual+0),"")</f>
        <v/>
      </c>
      <c r="R128" s="63" t="str">
        <f>IFERROR(INDEX(Venta!FcDetalle,MATCH(CONCATENATE(A128,"CAP"),Venta!FcClave,0),FcInicioCantAnual+1),"")</f>
        <v/>
      </c>
      <c r="S128" s="63" t="str">
        <f>IFERROR(INDEX(Venta!FcDetalle,MATCH(CONCATENATE(A128,"CAP"),Venta!FcClave,0),FcInicioCantAnual+2),"")</f>
        <v/>
      </c>
      <c r="T128" s="63" t="str">
        <f>IFERROR(INDEX(Venta!FcDetalle,MATCH(CONCATENATE(A128,"CAP"),Venta!FcClave,0),FcInicioCantAnual+3),"")</f>
        <v/>
      </c>
      <c r="U128" s="64" t="str">
        <f>IFERROR(IF(FcCheckProy=FALSE,INDEX(Venta!FcDetalle,MATCH(CONCATENATE(A128,"CAP"),Venta!FcClave,0),FcInicioCantAnual+4),INDEX(Venta!FcDetalle,MATCH(CONCATENATE(A128,"CAP"),Venta!FcClave,0),FcInicioCantAnual+5)),"")</f>
        <v/>
      </c>
    </row>
    <row r="129" spans="1:21" hidden="1" outlineLevel="1" x14ac:dyDescent="0.2">
      <c r="A129" s="43" t="str">
        <f>IF($J$10="-","",$J$10)</f>
        <v/>
      </c>
      <c r="B129" s="98" t="str">
        <f>IFERROR(INDEX(Maestro!FcDetalle,MATCH(A129,Maestro!FcClave,0),5),"")</f>
        <v/>
      </c>
      <c r="C129" s="111" t="str">
        <f>IFERROR(INDEX(Venta!FcDetalle,MATCH(CONCATENATE(A129,"CAP"),Venta!FcClave,0),FcInicioCantMes+0),"")</f>
        <v/>
      </c>
      <c r="D129" s="111" t="str">
        <f>IFERROR(INDEX(Venta!FcDetalle,MATCH(CONCATENATE(A129,"CAP"),Venta!FcClave,0),FcInicioCantMes+1),"")</f>
        <v/>
      </c>
      <c r="E129" s="111" t="str">
        <f>IFERROR(INDEX(Venta!FcDetalle,MATCH(CONCATENATE(A129,"CAP"),Venta!FcClave,0),FcInicioCantMes+2),"")</f>
        <v/>
      </c>
      <c r="F129" s="111" t="str">
        <f>IFERROR(INDEX(Venta!FcDetalle,MATCH(CONCATENATE(A129,"CAP"),Venta!FcClave,0),FcInicioCantMes+3),"")</f>
        <v/>
      </c>
      <c r="G129" s="111" t="str">
        <f>IFERROR(INDEX(Venta!FcDetalle,MATCH(CONCATENATE(A129,"CAP"),Venta!FcClave,0),FcInicioCantMes+4),"")</f>
        <v/>
      </c>
      <c r="H129" s="111" t="str">
        <f>IFERROR(INDEX(Venta!FcDetalle,MATCH(CONCATENATE(A129,"CAP"),Venta!FcClave,0),FcInicioCantMes+5),"")</f>
        <v/>
      </c>
      <c r="I129" s="111" t="str">
        <f>IFERROR(INDEX(Venta!FcDetalle,MATCH(CONCATENATE(A129,"CAP"),Venta!FcClave,0),FcInicioCantMes+6),"")</f>
        <v/>
      </c>
      <c r="J129" s="111" t="str">
        <f>IFERROR(INDEX(Venta!FcDetalle,MATCH(CONCATENATE(A129,"CAP"),Venta!FcClave,0),FcInicioCantMes+7),"")</f>
        <v/>
      </c>
      <c r="K129" s="111" t="str">
        <f>IFERROR(INDEX(Venta!FcDetalle,MATCH(CONCATENATE(A129,"CAP"),Venta!FcClave,0),FcInicioCantMes+8),"")</f>
        <v/>
      </c>
      <c r="L129" s="111" t="str">
        <f>IFERROR(INDEX(Venta!FcDetalle,MATCH(CONCATENATE(A129,"CAP"),Venta!FcClave,0),FcInicioCantMes+9),"")</f>
        <v/>
      </c>
      <c r="M129" s="111" t="str">
        <f>IFERROR(INDEX(Venta!FcDetalle,MATCH(CONCATENATE(A129,"CAP"),Venta!FcClave,0),FcInicioCantMes+10),"")</f>
        <v/>
      </c>
      <c r="N129" s="111" t="str">
        <f>IFERROR(INDEX(Venta!FcDetalle,MATCH(CONCATENATE(A129,"CAP"),Venta!FcClave,0),FcInicioCantMes+11),"")</f>
        <v/>
      </c>
      <c r="O129" s="112" t="str">
        <f>IFERROR(INDEX(Venta!FcDetalle,MATCH(CONCATENATE(A129,"CAP"),Venta!FcClave,0),FcInicioCantMes+12),"")</f>
        <v/>
      </c>
      <c r="Q129" s="142" t="str">
        <f>IFERROR(INDEX(Venta!FcDetalle,MATCH(CONCATENATE(A129,"CAP"),Venta!FcClave,0),FcInicioCantAnual+0),"")</f>
        <v/>
      </c>
      <c r="R129" s="63" t="str">
        <f>IFERROR(INDEX(Venta!FcDetalle,MATCH(CONCATENATE(A129,"CAP"),Venta!FcClave,0),FcInicioCantAnual+1),"")</f>
        <v/>
      </c>
      <c r="S129" s="63" t="str">
        <f>IFERROR(INDEX(Venta!FcDetalle,MATCH(CONCATENATE(A129,"CAP"),Venta!FcClave,0),FcInicioCantAnual+2),"")</f>
        <v/>
      </c>
      <c r="T129" s="63" t="str">
        <f>IFERROR(INDEX(Venta!FcDetalle,MATCH(CONCATENATE(A129,"CAP"),Venta!FcClave,0),FcInicioCantAnual+3),"")</f>
        <v/>
      </c>
      <c r="U129" s="64" t="str">
        <f>IFERROR(IF(FcCheckProy=FALSE,INDEX(Venta!FcDetalle,MATCH(CONCATENATE(A129,"CAP"),Venta!FcClave,0),FcInicioCantAnual+4),INDEX(Venta!FcDetalle,MATCH(CONCATENATE(A129,"CAP"),Venta!FcClave,0),FcInicioCantAnual+5)),"")</f>
        <v/>
      </c>
    </row>
    <row r="130" spans="1:21" hidden="1" outlineLevel="1" x14ac:dyDescent="0.2">
      <c r="A130" s="43" t="str">
        <f>IF($K$10="-","",$K$10)</f>
        <v/>
      </c>
      <c r="B130" s="98" t="str">
        <f>IFERROR(INDEX(Maestro!FcDetalle,MATCH(A130,Maestro!FcClave,0),5),"")</f>
        <v/>
      </c>
      <c r="C130" s="111" t="str">
        <f>IFERROR(INDEX(Venta!FcDetalle,MATCH(CONCATENATE(A130,"CAP"),Venta!FcClave,0),FcInicioCantMes+0),"")</f>
        <v/>
      </c>
      <c r="D130" s="111" t="str">
        <f>IFERROR(INDEX(Venta!FcDetalle,MATCH(CONCATENATE(A130,"CAP"),Venta!FcClave,0),FcInicioCantMes+1),"")</f>
        <v/>
      </c>
      <c r="E130" s="111" t="str">
        <f>IFERROR(INDEX(Venta!FcDetalle,MATCH(CONCATENATE(A130,"CAP"),Venta!FcClave,0),FcInicioCantMes+2),"")</f>
        <v/>
      </c>
      <c r="F130" s="111" t="str">
        <f>IFERROR(INDEX(Venta!FcDetalle,MATCH(CONCATENATE(A130,"CAP"),Venta!FcClave,0),FcInicioCantMes+3),"")</f>
        <v/>
      </c>
      <c r="G130" s="111" t="str">
        <f>IFERROR(INDEX(Venta!FcDetalle,MATCH(CONCATENATE(A130,"CAP"),Venta!FcClave,0),FcInicioCantMes+4),"")</f>
        <v/>
      </c>
      <c r="H130" s="111" t="str">
        <f>IFERROR(INDEX(Venta!FcDetalle,MATCH(CONCATENATE(A130,"CAP"),Venta!FcClave,0),FcInicioCantMes+5),"")</f>
        <v/>
      </c>
      <c r="I130" s="111" t="str">
        <f>IFERROR(INDEX(Venta!FcDetalle,MATCH(CONCATENATE(A130,"CAP"),Venta!FcClave,0),FcInicioCantMes+6),"")</f>
        <v/>
      </c>
      <c r="J130" s="111" t="str">
        <f>IFERROR(INDEX(Venta!FcDetalle,MATCH(CONCATENATE(A130,"CAP"),Venta!FcClave,0),FcInicioCantMes+7),"")</f>
        <v/>
      </c>
      <c r="K130" s="111" t="str">
        <f>IFERROR(INDEX(Venta!FcDetalle,MATCH(CONCATENATE(A130,"CAP"),Venta!FcClave,0),FcInicioCantMes+8),"")</f>
        <v/>
      </c>
      <c r="L130" s="111" t="str">
        <f>IFERROR(INDEX(Venta!FcDetalle,MATCH(CONCATENATE(A130,"CAP"),Venta!FcClave,0),FcInicioCantMes+9),"")</f>
        <v/>
      </c>
      <c r="M130" s="111" t="str">
        <f>IFERROR(INDEX(Venta!FcDetalle,MATCH(CONCATENATE(A130,"CAP"),Venta!FcClave,0),FcInicioCantMes+10),"")</f>
        <v/>
      </c>
      <c r="N130" s="111" t="str">
        <f>IFERROR(INDEX(Venta!FcDetalle,MATCH(CONCATENATE(A130,"CAP"),Venta!FcClave,0),FcInicioCantMes+11),"")</f>
        <v/>
      </c>
      <c r="O130" s="112" t="str">
        <f>IFERROR(INDEX(Venta!FcDetalle,MATCH(CONCATENATE(A130,"CAP"),Venta!FcClave,0),FcInicioCantMes+12),"")</f>
        <v/>
      </c>
      <c r="Q130" s="142" t="str">
        <f>IFERROR(INDEX(Venta!FcDetalle,MATCH(CONCATENATE(A130,"CAP"),Venta!FcClave,0),FcInicioCantAnual+0),"")</f>
        <v/>
      </c>
      <c r="R130" s="63" t="str">
        <f>IFERROR(INDEX(Venta!FcDetalle,MATCH(CONCATENATE(A130,"CAP"),Venta!FcClave,0),FcInicioCantAnual+1),"")</f>
        <v/>
      </c>
      <c r="S130" s="63" t="str">
        <f>IFERROR(INDEX(Venta!FcDetalle,MATCH(CONCATENATE(A130,"CAP"),Venta!FcClave,0),FcInicioCantAnual+2),"")</f>
        <v/>
      </c>
      <c r="T130" s="63" t="str">
        <f>IFERROR(INDEX(Venta!FcDetalle,MATCH(CONCATENATE(A130,"CAP"),Venta!FcClave,0),FcInicioCantAnual+3),"")</f>
        <v/>
      </c>
      <c r="U130" s="64" t="str">
        <f>IFERROR(IF(FcCheckProy=FALSE,INDEX(Venta!FcDetalle,MATCH(CONCATENATE(A130,"CAP"),Venta!FcClave,0),FcInicioCantAnual+4),INDEX(Venta!FcDetalle,MATCH(CONCATENATE(A130,"CAP"),Venta!FcClave,0),FcInicioCantAnual+5)),"")</f>
        <v/>
      </c>
    </row>
    <row r="131" spans="1:21" hidden="1" outlineLevel="1" x14ac:dyDescent="0.2">
      <c r="A131" s="43" t="str">
        <f>IF($I$9="-","",$I$9)</f>
        <v/>
      </c>
      <c r="B131" s="98" t="str">
        <f>IFERROR(INDEX(Maestro!FcDetalle,MATCH(A131,Maestro!FcClave,0),5),"")</f>
        <v/>
      </c>
      <c r="C131" s="111" t="str">
        <f>IFERROR(INDEX(Venta!FcDetalle,MATCH(CONCATENATE(A131,"CAP"),Venta!FcClave,0),FcInicioCantMes+0),"")</f>
        <v/>
      </c>
      <c r="D131" s="111" t="str">
        <f>IFERROR(INDEX(Venta!FcDetalle,MATCH(CONCATENATE(A131,"CAP"),Venta!FcClave,0),FcInicioCantMes+1),"")</f>
        <v/>
      </c>
      <c r="E131" s="111" t="str">
        <f>IFERROR(INDEX(Venta!FcDetalle,MATCH(CONCATENATE(A131,"CAP"),Venta!FcClave,0),FcInicioCantMes+2),"")</f>
        <v/>
      </c>
      <c r="F131" s="111" t="str">
        <f>IFERROR(INDEX(Venta!FcDetalle,MATCH(CONCATENATE(A131,"CAP"),Venta!FcClave,0),FcInicioCantMes+3),"")</f>
        <v/>
      </c>
      <c r="G131" s="111" t="str">
        <f>IFERROR(INDEX(Venta!FcDetalle,MATCH(CONCATENATE(A131,"CAP"),Venta!FcClave,0),FcInicioCantMes+4),"")</f>
        <v/>
      </c>
      <c r="H131" s="111" t="str">
        <f>IFERROR(INDEX(Venta!FcDetalle,MATCH(CONCATENATE(A131,"CAP"),Venta!FcClave,0),FcInicioCantMes+5),"")</f>
        <v/>
      </c>
      <c r="I131" s="111" t="str">
        <f>IFERROR(INDEX(Venta!FcDetalle,MATCH(CONCATENATE(A131,"CAP"),Venta!FcClave,0),FcInicioCantMes+6),"")</f>
        <v/>
      </c>
      <c r="J131" s="111" t="str">
        <f>IFERROR(INDEX(Venta!FcDetalle,MATCH(CONCATENATE(A131,"CAP"),Venta!FcClave,0),FcInicioCantMes+7),"")</f>
        <v/>
      </c>
      <c r="K131" s="111" t="str">
        <f>IFERROR(INDEX(Venta!FcDetalle,MATCH(CONCATENATE(A131,"CAP"),Venta!FcClave,0),FcInicioCantMes+8),"")</f>
        <v/>
      </c>
      <c r="L131" s="111" t="str">
        <f>IFERROR(INDEX(Venta!FcDetalle,MATCH(CONCATENATE(A131,"CAP"),Venta!FcClave,0),FcInicioCantMes+9),"")</f>
        <v/>
      </c>
      <c r="M131" s="111" t="str">
        <f>IFERROR(INDEX(Venta!FcDetalle,MATCH(CONCATENATE(A131,"CAP"),Venta!FcClave,0),FcInicioCantMes+10),"")</f>
        <v/>
      </c>
      <c r="N131" s="111" t="str">
        <f>IFERROR(INDEX(Venta!FcDetalle,MATCH(CONCATENATE(A131,"CAP"),Venta!FcClave,0),FcInicioCantMes+11),"")</f>
        <v/>
      </c>
      <c r="O131" s="112" t="str">
        <f>IFERROR(INDEX(Venta!FcDetalle,MATCH(CONCATENATE(A131,"CAP"),Venta!FcClave,0),FcInicioCantMes+12),"")</f>
        <v/>
      </c>
      <c r="Q131" s="142" t="str">
        <f>IFERROR(INDEX(Venta!FcDetalle,MATCH(CONCATENATE(A131,"CAP"),Venta!FcClave,0),FcInicioCantAnual+0),"")</f>
        <v/>
      </c>
      <c r="R131" s="63" t="str">
        <f>IFERROR(INDEX(Venta!FcDetalle,MATCH(CONCATENATE(A131,"CAP"),Venta!FcClave,0),FcInicioCantAnual+1),"")</f>
        <v/>
      </c>
      <c r="S131" s="63" t="str">
        <f>IFERROR(INDEX(Venta!FcDetalle,MATCH(CONCATENATE(A131,"CAP"),Venta!FcClave,0),FcInicioCantAnual+2),"")</f>
        <v/>
      </c>
      <c r="T131" s="63" t="str">
        <f>IFERROR(INDEX(Venta!FcDetalle,MATCH(CONCATENATE(A131,"CAP"),Venta!FcClave,0),FcInicioCantAnual+3),"")</f>
        <v/>
      </c>
      <c r="U131" s="64" t="str">
        <f>IFERROR(IF(FcCheckProy=FALSE,INDEX(Venta!FcDetalle,MATCH(CONCATENATE(A131,"CAP"),Venta!FcClave,0),FcInicioCantAnual+4),INDEX(Venta!FcDetalle,MATCH(CONCATENATE(A131,"CAP"),Venta!FcClave,0),FcInicioCantAnual+5)),"")</f>
        <v/>
      </c>
    </row>
    <row r="132" spans="1:21" hidden="1" outlineLevel="1" x14ac:dyDescent="0.2">
      <c r="A132" s="43" t="str">
        <f>IF($J$9="-","",$J$9)</f>
        <v/>
      </c>
      <c r="B132" s="98" t="str">
        <f>IFERROR(INDEX(Maestro!FcDetalle,MATCH(A132,Maestro!FcClave,0),5),"")</f>
        <v/>
      </c>
      <c r="C132" s="111" t="str">
        <f>IFERROR(INDEX(Venta!FcDetalle,MATCH(CONCATENATE(A132,"CAP"),Venta!FcClave,0),FcInicioCantMes+0),"")</f>
        <v/>
      </c>
      <c r="D132" s="111" t="str">
        <f>IFERROR(INDEX(Venta!FcDetalle,MATCH(CONCATENATE(A132,"CAP"),Venta!FcClave,0),FcInicioCantMes+1),"")</f>
        <v/>
      </c>
      <c r="E132" s="111" t="str">
        <f>IFERROR(INDEX(Venta!FcDetalle,MATCH(CONCATENATE(A132,"CAP"),Venta!FcClave,0),FcInicioCantMes+2),"")</f>
        <v/>
      </c>
      <c r="F132" s="111" t="str">
        <f>IFERROR(INDEX(Venta!FcDetalle,MATCH(CONCATENATE(A132,"CAP"),Venta!FcClave,0),FcInicioCantMes+3),"")</f>
        <v/>
      </c>
      <c r="G132" s="111" t="str">
        <f>IFERROR(INDEX(Venta!FcDetalle,MATCH(CONCATENATE(A132,"CAP"),Venta!FcClave,0),FcInicioCantMes+4),"")</f>
        <v/>
      </c>
      <c r="H132" s="111" t="str">
        <f>IFERROR(INDEX(Venta!FcDetalle,MATCH(CONCATENATE(A132,"CAP"),Venta!FcClave,0),FcInicioCantMes+5),"")</f>
        <v/>
      </c>
      <c r="I132" s="111" t="str">
        <f>IFERROR(INDEX(Venta!FcDetalle,MATCH(CONCATENATE(A132,"CAP"),Venta!FcClave,0),FcInicioCantMes+6),"")</f>
        <v/>
      </c>
      <c r="J132" s="111" t="str">
        <f>IFERROR(INDEX(Venta!FcDetalle,MATCH(CONCATENATE(A132,"CAP"),Venta!FcClave,0),FcInicioCantMes+7),"")</f>
        <v/>
      </c>
      <c r="K132" s="111" t="str">
        <f>IFERROR(INDEX(Venta!FcDetalle,MATCH(CONCATENATE(A132,"CAP"),Venta!FcClave,0),FcInicioCantMes+8),"")</f>
        <v/>
      </c>
      <c r="L132" s="111" t="str">
        <f>IFERROR(INDEX(Venta!FcDetalle,MATCH(CONCATENATE(A132,"CAP"),Venta!FcClave,0),FcInicioCantMes+9),"")</f>
        <v/>
      </c>
      <c r="M132" s="111" t="str">
        <f>IFERROR(INDEX(Venta!FcDetalle,MATCH(CONCATENATE(A132,"CAP"),Venta!FcClave,0),FcInicioCantMes+10),"")</f>
        <v/>
      </c>
      <c r="N132" s="111" t="str">
        <f>IFERROR(INDEX(Venta!FcDetalle,MATCH(CONCATENATE(A132,"CAP"),Venta!FcClave,0),FcInicioCantMes+11),"")</f>
        <v/>
      </c>
      <c r="O132" s="112" t="str">
        <f>IFERROR(INDEX(Venta!FcDetalle,MATCH(CONCATENATE(A132,"CAP"),Venta!FcClave,0),FcInicioCantMes+12),"")</f>
        <v/>
      </c>
      <c r="Q132" s="142" t="str">
        <f>IFERROR(INDEX(Venta!FcDetalle,MATCH(CONCATENATE(A132,"CAP"),Venta!FcClave,0),FcInicioCantAnual+0),"")</f>
        <v/>
      </c>
      <c r="R132" s="63" t="str">
        <f>IFERROR(INDEX(Venta!FcDetalle,MATCH(CONCATENATE(A132,"CAP"),Venta!FcClave,0),FcInicioCantAnual+1),"")</f>
        <v/>
      </c>
      <c r="S132" s="63" t="str">
        <f>IFERROR(INDEX(Venta!FcDetalle,MATCH(CONCATENATE(A132,"CAP"),Venta!FcClave,0),FcInicioCantAnual+2),"")</f>
        <v/>
      </c>
      <c r="T132" s="63" t="str">
        <f>IFERROR(INDEX(Venta!FcDetalle,MATCH(CONCATENATE(A132,"CAP"),Venta!FcClave,0),FcInicioCantAnual+3),"")</f>
        <v/>
      </c>
      <c r="U132" s="64" t="str">
        <f>IFERROR(IF(FcCheckProy=FALSE,INDEX(Venta!FcDetalle,MATCH(CONCATENATE(A132,"CAP"),Venta!FcClave,0),FcInicioCantAnual+4),INDEX(Venta!FcDetalle,MATCH(CONCATENATE(A132,"CAP"),Venta!FcClave,0),FcInicioCantAnual+5)),"")</f>
        <v/>
      </c>
    </row>
    <row r="133" spans="1:21" hidden="1" outlineLevel="1" x14ac:dyDescent="0.2">
      <c r="A133" s="97" t="str">
        <f>IF($K$9="-","",$K$9)</f>
        <v/>
      </c>
      <c r="B133" s="98" t="str">
        <f>IFERROR(INDEX(Maestro!FcDetalle,MATCH(A133,Maestro!FcClave,0),5),"")</f>
        <v/>
      </c>
      <c r="C133" s="111" t="str">
        <f>IFERROR(INDEX(Venta!FcDetalle,MATCH(CONCATENATE(A133,"CAP"),Venta!FcClave,0),FcInicioCantMes+0),"")</f>
        <v/>
      </c>
      <c r="D133" s="111" t="str">
        <f>IFERROR(INDEX(Venta!FcDetalle,MATCH(CONCATENATE(A133,"CAP"),Venta!FcClave,0),FcInicioCantMes+1),"")</f>
        <v/>
      </c>
      <c r="E133" s="111" t="str">
        <f>IFERROR(INDEX(Venta!FcDetalle,MATCH(CONCATENATE(A133,"CAP"),Venta!FcClave,0),FcInicioCantMes+2),"")</f>
        <v/>
      </c>
      <c r="F133" s="111" t="str">
        <f>IFERROR(INDEX(Venta!FcDetalle,MATCH(CONCATENATE(A133,"CAP"),Venta!FcClave,0),FcInicioCantMes+3),"")</f>
        <v/>
      </c>
      <c r="G133" s="111" t="str">
        <f>IFERROR(INDEX(Venta!FcDetalle,MATCH(CONCATENATE(A133,"CAP"),Venta!FcClave,0),FcInicioCantMes+4),"")</f>
        <v/>
      </c>
      <c r="H133" s="111" t="str">
        <f>IFERROR(INDEX(Venta!FcDetalle,MATCH(CONCATENATE(A133,"CAP"),Venta!FcClave,0),FcInicioCantMes+5),"")</f>
        <v/>
      </c>
      <c r="I133" s="111" t="str">
        <f>IFERROR(INDEX(Venta!FcDetalle,MATCH(CONCATENATE(A133,"CAP"),Venta!FcClave,0),FcInicioCantMes+6),"")</f>
        <v/>
      </c>
      <c r="J133" s="111" t="str">
        <f>IFERROR(INDEX(Venta!FcDetalle,MATCH(CONCATENATE(A133,"CAP"),Venta!FcClave,0),FcInicioCantMes+7),"")</f>
        <v/>
      </c>
      <c r="K133" s="111" t="str">
        <f>IFERROR(INDEX(Venta!FcDetalle,MATCH(CONCATENATE(A133,"CAP"),Venta!FcClave,0),FcInicioCantMes+8),"")</f>
        <v/>
      </c>
      <c r="L133" s="111" t="str">
        <f>IFERROR(INDEX(Venta!FcDetalle,MATCH(CONCATENATE(A133,"CAP"),Venta!FcClave,0),FcInicioCantMes+9),"")</f>
        <v/>
      </c>
      <c r="M133" s="111" t="str">
        <f>IFERROR(INDEX(Venta!FcDetalle,MATCH(CONCATENATE(A133,"CAP"),Venta!FcClave,0),FcInicioCantMes+10),"")</f>
        <v/>
      </c>
      <c r="N133" s="111" t="str">
        <f>IFERROR(INDEX(Venta!FcDetalle,MATCH(CONCATENATE(A133,"CAP"),Venta!FcClave,0),FcInicioCantMes+11),"")</f>
        <v/>
      </c>
      <c r="O133" s="112" t="str">
        <f>IFERROR(INDEX(Venta!FcDetalle,MATCH(CONCATENATE(A133,"CAP"),Venta!FcClave,0),FcInicioCantMes+12),"")</f>
        <v/>
      </c>
      <c r="Q133" s="142" t="str">
        <f>IFERROR(INDEX(Venta!FcDetalle,MATCH(CONCATENATE(A133,"CAP"),Venta!FcClave,0),FcInicioCantAnual+0),"")</f>
        <v/>
      </c>
      <c r="R133" s="63" t="str">
        <f>IFERROR(INDEX(Venta!FcDetalle,MATCH(CONCATENATE(A133,"CAP"),Venta!FcClave,0),FcInicioCantAnual+1),"")</f>
        <v/>
      </c>
      <c r="S133" s="63" t="str">
        <f>IFERROR(INDEX(Venta!FcDetalle,MATCH(CONCATENATE(A133,"CAP"),Venta!FcClave,0),FcInicioCantAnual+2),"")</f>
        <v/>
      </c>
      <c r="T133" s="63" t="str">
        <f>IFERROR(INDEX(Venta!FcDetalle,MATCH(CONCATENATE(A133,"CAP"),Venta!FcClave,0),FcInicioCantAnual+3),"")</f>
        <v/>
      </c>
      <c r="U133" s="64" t="str">
        <f>IFERROR(IF(FcCheckProy=FALSE,INDEX(Venta!FcDetalle,MATCH(CONCATENATE(A133,"CAP"),Venta!FcClave,0),FcInicioCantAnual+4),INDEX(Venta!FcDetalle,MATCH(CONCATENATE(A133,"CAP"),Venta!FcClave,0),FcInicioCantAnual+5)),"")</f>
        <v/>
      </c>
    </row>
    <row r="134" spans="1:21" ht="13.5" collapsed="1" thickBot="1" x14ac:dyDescent="0.25">
      <c r="A134" s="161" t="s">
        <v>6</v>
      </c>
      <c r="B134" s="162"/>
      <c r="C134" s="163">
        <f>SUM(C124:C133)</f>
        <v>0</v>
      </c>
      <c r="D134" s="163">
        <f t="shared" ref="D134:O134" si="19">SUM(D124:D133)</f>
        <v>0</v>
      </c>
      <c r="E134" s="163">
        <f t="shared" si="19"/>
        <v>0</v>
      </c>
      <c r="F134" s="163">
        <f t="shared" si="19"/>
        <v>0</v>
      </c>
      <c r="G134" s="163">
        <f t="shared" si="19"/>
        <v>0</v>
      </c>
      <c r="H134" s="163">
        <f t="shared" si="19"/>
        <v>0</v>
      </c>
      <c r="I134" s="163">
        <f t="shared" si="19"/>
        <v>0</v>
      </c>
      <c r="J134" s="163">
        <f t="shared" si="19"/>
        <v>0</v>
      </c>
      <c r="K134" s="163">
        <f t="shared" si="19"/>
        <v>0</v>
      </c>
      <c r="L134" s="163">
        <f t="shared" si="19"/>
        <v>0</v>
      </c>
      <c r="M134" s="163">
        <f t="shared" si="19"/>
        <v>0</v>
      </c>
      <c r="N134" s="163">
        <f t="shared" si="19"/>
        <v>0</v>
      </c>
      <c r="O134" s="160">
        <f t="shared" si="19"/>
        <v>0</v>
      </c>
      <c r="Q134" s="158">
        <f>SUM(Q124:Q133)</f>
        <v>0</v>
      </c>
      <c r="R134" s="159">
        <f>SUM(R124:R133)</f>
        <v>0</v>
      </c>
      <c r="S134" s="159">
        <f>SUM(S124:S133)</f>
        <v>0</v>
      </c>
      <c r="T134" s="159">
        <f>SUM(T124:T133)</f>
        <v>0</v>
      </c>
      <c r="U134" s="160">
        <f>SUM(U124:U133)</f>
        <v>0</v>
      </c>
    </row>
    <row r="135" spans="1:21" ht="13.5" thickBot="1" x14ac:dyDescent="0.25">
      <c r="A135" s="38" t="s">
        <v>10</v>
      </c>
      <c r="B135" s="81"/>
      <c r="C135" s="67">
        <f t="shared" ref="C135:O135" si="20">C101+C112+C123+C134</f>
        <v>0</v>
      </c>
      <c r="D135" s="67">
        <f t="shared" si="20"/>
        <v>0</v>
      </c>
      <c r="E135" s="67">
        <f t="shared" si="20"/>
        <v>0</v>
      </c>
      <c r="F135" s="67">
        <f t="shared" si="20"/>
        <v>0</v>
      </c>
      <c r="G135" s="67">
        <f t="shared" si="20"/>
        <v>0</v>
      </c>
      <c r="H135" s="67">
        <f t="shared" si="20"/>
        <v>0</v>
      </c>
      <c r="I135" s="67">
        <f t="shared" si="20"/>
        <v>0</v>
      </c>
      <c r="J135" s="67">
        <f t="shared" si="20"/>
        <v>0</v>
      </c>
      <c r="K135" s="67">
        <f t="shared" si="20"/>
        <v>0</v>
      </c>
      <c r="L135" s="67">
        <f t="shared" si="20"/>
        <v>0</v>
      </c>
      <c r="M135" s="67">
        <f t="shared" si="20"/>
        <v>0</v>
      </c>
      <c r="N135" s="67">
        <f t="shared" si="20"/>
        <v>0</v>
      </c>
      <c r="O135" s="68">
        <f t="shared" si="20"/>
        <v>0</v>
      </c>
      <c r="Q135" s="151">
        <f>Q101+Q112+Q123+Q134</f>
        <v>0</v>
      </c>
      <c r="R135" s="152">
        <f>R101+R112+R123+R134</f>
        <v>0</v>
      </c>
      <c r="S135" s="152">
        <f>S101+S112+S123+S134</f>
        <v>0</v>
      </c>
      <c r="T135" s="152">
        <f>T101+T112+T123+T134</f>
        <v>0</v>
      </c>
      <c r="U135" s="153">
        <f>U101+U112+U123+U134</f>
        <v>0</v>
      </c>
    </row>
    <row r="136" spans="1:21" hidden="1" x14ac:dyDescent="0.2">
      <c r="A136" s="48" t="s">
        <v>21</v>
      </c>
      <c r="B136" s="83"/>
      <c r="C136" s="69">
        <f>IF(ISERROR(AVERAGE(C101:D101)),"",AVERAGE(C101:D101))</f>
        <v>0</v>
      </c>
      <c r="D136" s="69">
        <f t="shared" ref="D136:N136" si="21">IF(ISERROR(AVERAGE(C101:E101)),"",AVERAGE(C101:E101))</f>
        <v>0</v>
      </c>
      <c r="E136" s="69">
        <f t="shared" si="21"/>
        <v>0</v>
      </c>
      <c r="F136" s="69">
        <f t="shared" si="21"/>
        <v>0</v>
      </c>
      <c r="G136" s="69">
        <f t="shared" si="21"/>
        <v>0</v>
      </c>
      <c r="H136" s="69">
        <f t="shared" si="21"/>
        <v>0</v>
      </c>
      <c r="I136" s="69">
        <f t="shared" si="21"/>
        <v>0</v>
      </c>
      <c r="J136" s="69">
        <f t="shared" si="21"/>
        <v>0</v>
      </c>
      <c r="K136" s="69">
        <f t="shared" si="21"/>
        <v>0</v>
      </c>
      <c r="L136" s="69">
        <f t="shared" si="21"/>
        <v>0</v>
      </c>
      <c r="M136" s="69">
        <f t="shared" si="21"/>
        <v>0</v>
      </c>
      <c r="N136" s="69">
        <f t="shared" si="21"/>
        <v>0</v>
      </c>
      <c r="O136" s="70"/>
    </row>
    <row r="137" spans="1:21" hidden="1" x14ac:dyDescent="0.2">
      <c r="A137" s="49" t="s">
        <v>22</v>
      </c>
      <c r="B137" s="84"/>
      <c r="C137" s="71">
        <f>IF(ISERROR(AVERAGE(C112:D112)),"",AVERAGE(C112:D112))</f>
        <v>0</v>
      </c>
      <c r="D137" s="71">
        <f t="shared" ref="D137:N137" si="22">IF(ISERROR(AVERAGE(C112:E112)),"",AVERAGE(C112:E112))</f>
        <v>0</v>
      </c>
      <c r="E137" s="71">
        <f t="shared" si="22"/>
        <v>0</v>
      </c>
      <c r="F137" s="71">
        <f t="shared" si="22"/>
        <v>0</v>
      </c>
      <c r="G137" s="71">
        <f t="shared" si="22"/>
        <v>0</v>
      </c>
      <c r="H137" s="71">
        <f t="shared" si="22"/>
        <v>0</v>
      </c>
      <c r="I137" s="71">
        <f t="shared" si="22"/>
        <v>0</v>
      </c>
      <c r="J137" s="71">
        <f t="shared" si="22"/>
        <v>0</v>
      </c>
      <c r="K137" s="71">
        <f t="shared" si="22"/>
        <v>0</v>
      </c>
      <c r="L137" s="71">
        <f t="shared" si="22"/>
        <v>0</v>
      </c>
      <c r="M137" s="71">
        <f t="shared" si="22"/>
        <v>0</v>
      </c>
      <c r="N137" s="71">
        <f t="shared" si="22"/>
        <v>0</v>
      </c>
      <c r="O137" s="72"/>
    </row>
    <row r="138" spans="1:21" hidden="1" x14ac:dyDescent="0.2">
      <c r="A138" s="134" t="s">
        <v>43</v>
      </c>
      <c r="B138" s="135"/>
      <c r="C138" s="71">
        <f>IF(ISERROR(AVERAGE(C123:D123)),"",AVERAGE(C123:D123))</f>
        <v>0</v>
      </c>
      <c r="D138" s="71">
        <f t="shared" ref="D138:N138" si="23">IF(ISERROR(AVERAGE(C123:E123)),"",AVERAGE(C123:E123))</f>
        <v>0</v>
      </c>
      <c r="E138" s="71">
        <f t="shared" si="23"/>
        <v>0</v>
      </c>
      <c r="F138" s="71">
        <f t="shared" si="23"/>
        <v>0</v>
      </c>
      <c r="G138" s="71">
        <f t="shared" si="23"/>
        <v>0</v>
      </c>
      <c r="H138" s="71">
        <f t="shared" si="23"/>
        <v>0</v>
      </c>
      <c r="I138" s="71">
        <f t="shared" si="23"/>
        <v>0</v>
      </c>
      <c r="J138" s="71">
        <f t="shared" si="23"/>
        <v>0</v>
      </c>
      <c r="K138" s="71">
        <f t="shared" si="23"/>
        <v>0</v>
      </c>
      <c r="L138" s="71">
        <f t="shared" si="23"/>
        <v>0</v>
      </c>
      <c r="M138" s="71">
        <f t="shared" si="23"/>
        <v>0</v>
      </c>
      <c r="N138" s="71">
        <f t="shared" si="23"/>
        <v>0</v>
      </c>
      <c r="O138" s="136"/>
    </row>
    <row r="139" spans="1:21" hidden="1" x14ac:dyDescent="0.2">
      <c r="A139" s="134" t="s">
        <v>6</v>
      </c>
      <c r="B139" s="135"/>
      <c r="C139" s="71">
        <f>IF(ISERROR(AVERAGE(C134:D134)),"",AVERAGE(C134:D134))</f>
        <v>0</v>
      </c>
      <c r="D139" s="71">
        <f t="shared" ref="D139:N139" si="24">IF(ISERROR(AVERAGE(C134:E134)),"",AVERAGE(C134:E134))</f>
        <v>0</v>
      </c>
      <c r="E139" s="71">
        <f t="shared" si="24"/>
        <v>0</v>
      </c>
      <c r="F139" s="71">
        <f t="shared" si="24"/>
        <v>0</v>
      </c>
      <c r="G139" s="71">
        <f t="shared" si="24"/>
        <v>0</v>
      </c>
      <c r="H139" s="71">
        <f t="shared" si="24"/>
        <v>0</v>
      </c>
      <c r="I139" s="71">
        <f t="shared" si="24"/>
        <v>0</v>
      </c>
      <c r="J139" s="71">
        <f t="shared" si="24"/>
        <v>0</v>
      </c>
      <c r="K139" s="71">
        <f t="shared" si="24"/>
        <v>0</v>
      </c>
      <c r="L139" s="71">
        <f t="shared" si="24"/>
        <v>0</v>
      </c>
      <c r="M139" s="71">
        <f t="shared" si="24"/>
        <v>0</v>
      </c>
      <c r="N139" s="71">
        <f t="shared" si="24"/>
        <v>0</v>
      </c>
      <c r="O139" s="136"/>
    </row>
    <row r="140" spans="1:21" ht="13.5" hidden="1" thickBot="1" x14ac:dyDescent="0.25">
      <c r="A140" s="134" t="s">
        <v>23</v>
      </c>
      <c r="B140" s="135"/>
      <c r="C140" s="225">
        <f>IF(ISERROR(AVERAGE(C135:D135)),"",AVERAGE(C135:D135))</f>
        <v>0</v>
      </c>
      <c r="D140" s="225">
        <f t="shared" ref="D140:N140" si="25">IF(ISERROR(AVERAGE(C135:E135)),"",AVERAGE(C135:E135))</f>
        <v>0</v>
      </c>
      <c r="E140" s="225">
        <f t="shared" si="25"/>
        <v>0</v>
      </c>
      <c r="F140" s="225">
        <f t="shared" si="25"/>
        <v>0</v>
      </c>
      <c r="G140" s="225">
        <f t="shared" si="25"/>
        <v>0</v>
      </c>
      <c r="H140" s="225">
        <f t="shared" si="25"/>
        <v>0</v>
      </c>
      <c r="I140" s="225">
        <f t="shared" si="25"/>
        <v>0</v>
      </c>
      <c r="J140" s="225">
        <f t="shared" si="25"/>
        <v>0</v>
      </c>
      <c r="K140" s="225">
        <f t="shared" si="25"/>
        <v>0</v>
      </c>
      <c r="L140" s="225">
        <f t="shared" si="25"/>
        <v>0</v>
      </c>
      <c r="M140" s="225">
        <f t="shared" si="25"/>
        <v>0</v>
      </c>
      <c r="N140" s="225">
        <f t="shared" si="25"/>
        <v>0</v>
      </c>
      <c r="O140" s="136"/>
    </row>
    <row r="141" spans="1:21" ht="15.75" outlineLevel="1" thickBot="1" x14ac:dyDescent="0.25">
      <c r="A141" s="212" t="s">
        <v>66</v>
      </c>
      <c r="B141" s="213"/>
      <c r="C141" s="216" t="str">
        <f>IFERROR(INDEX(Cuota!FcDetalle,MATCH(CONCATENATE(FcGrupoRK,"LYS"),Cuota!FcClave,0),FcInicioCuotaMes+0),"")</f>
        <v/>
      </c>
      <c r="D141" s="216" t="str">
        <f>IFERROR(INDEX(Cuota!FcDetalle,MATCH(CONCATENATE(FcGrupoRK,"LYS"),Cuota!FcClave,0),FcInicioCuotaMes+1),"")</f>
        <v/>
      </c>
      <c r="E141" s="216" t="str">
        <f>IFERROR(INDEX(Cuota!FcDetalle,MATCH(CONCATENATE(FcGrupoRK,"LYS"),Cuota!FcClave,0),FcInicioCuotaMes+2),"")</f>
        <v/>
      </c>
      <c r="F141" s="216" t="str">
        <f>IFERROR(INDEX(Cuota!FcDetalle,MATCH(CONCATENATE(FcGrupoRK,"LYS"),Cuota!FcClave,0),FcInicioCuotaMes+3),"")</f>
        <v/>
      </c>
      <c r="G141" s="216" t="str">
        <f>IFERROR(INDEX(Cuota!FcDetalle,MATCH(CONCATENATE(FcGrupoRK,"LYS"),Cuota!FcClave,0),FcInicioCuotaMes+4),"")</f>
        <v/>
      </c>
      <c r="H141" s="216" t="str">
        <f>IFERROR(INDEX(Cuota!FcDetalle,MATCH(CONCATENATE(FcGrupoRK,"LYS"),Cuota!FcClave,0),FcInicioCuotaMes+5),"")</f>
        <v/>
      </c>
      <c r="I141" s="216" t="str">
        <f>IFERROR(INDEX(Cuota!FcDetalle,MATCH(CONCATENATE(FcGrupoRK,"LYS"),Cuota!FcClave,0),FcInicioCuotaMes+6),"")</f>
        <v/>
      </c>
      <c r="J141" s="216" t="str">
        <f>IFERROR(INDEX(Cuota!FcDetalle,MATCH(CONCATENATE(FcGrupoRK,"LYS"),Cuota!FcClave,0),FcInicioCuotaMes+7),"")</f>
        <v/>
      </c>
      <c r="K141" s="216" t="str">
        <f>IFERROR(INDEX(Cuota!FcDetalle,MATCH(CONCATENATE(FcGrupoRK,"LYS"),Cuota!FcClave,0),FcInicioCuotaMes+8),"")</f>
        <v/>
      </c>
      <c r="L141" s="216" t="str">
        <f>IFERROR(INDEX(Cuota!FcDetalle,MATCH(CONCATENATE(FcGrupoRK,"LYS"),Cuota!FcClave,0),FcInicioCuotaMes+9),"")</f>
        <v/>
      </c>
      <c r="M141" s="216" t="str">
        <f>IFERROR(INDEX(Cuota!FcDetalle,MATCH(CONCATENATE(FcGrupoRK,"LYS"),Cuota!FcClave,0),FcInicioCuotaMes+10),"")</f>
        <v/>
      </c>
      <c r="N141" s="216" t="str">
        <f>IFERROR(INDEX(Cuota!FcDetalle,MATCH(CONCATENATE(FcGrupoRK,"LYS"),Cuota!FcClave,0),FcInicioCuotaMes+11),"")</f>
        <v/>
      </c>
      <c r="O141" s="217" t="str">
        <f>IFERROR(INDEX(Cuota!FcDetalle,MATCH(CONCATENATE(FcGrupoRK,"LYS"),Cuota!FcClave,0),FcInicioCuotaMes+12),"")</f>
        <v/>
      </c>
      <c r="P141" s="6"/>
      <c r="Q141" s="220" t="str">
        <f>IFERROR(INDEX(Cuota!FcDetalle,MATCH(CONCATENATE(FcGrupoRK,"LYS"),Cuota!FcClave,0),FcInicioCuotaAnual+0),"")</f>
        <v/>
      </c>
      <c r="R141" s="216" t="str">
        <f>IFERROR(INDEX(Cuota!FcDetalle,MATCH(CONCATENATE(FcGrupoRK,"LYS"),Cuota!FcClave,0),FcInicioCuotaAnual+1),"")</f>
        <v/>
      </c>
      <c r="S141" s="216" t="str">
        <f>IFERROR(INDEX(Cuota!FcDetalle,MATCH(CONCATENATE(FcGrupoRK,"LYS"),Cuota!FcClave,0),FcInicioCuotaAnual+2),"")</f>
        <v/>
      </c>
      <c r="T141" s="216" t="str">
        <f>IFERROR(INDEX(Cuota!FcDetalle,MATCH(CONCATENATE(FcGrupoRK,"LYS"),Cuota!FcClave,0),FcInicioCuotaAnual+3),"")</f>
        <v/>
      </c>
      <c r="U141" s="217" t="str">
        <f>IFERROR(INDEX(Cuota!FcDetalle,MATCH(CONCATENATE(FcGrupoRK,"LYS"),Cuota!FcClave,0),FcInicioCuotaAnual+4),"")</f>
        <v/>
      </c>
    </row>
    <row r="142" spans="1:21" ht="15.75" outlineLevel="1" thickBot="1" x14ac:dyDescent="0.25">
      <c r="A142" s="214" t="s">
        <v>67</v>
      </c>
      <c r="B142" s="215"/>
      <c r="C142" s="216" t="str">
        <f>IFERROR(INDEX(Cuota!FcDetalle,MATCH(CONCATENATE(FcGrupoRK,"HPE"),Cuota!FcClave,0),FcInicioCuotaMes+0),"")</f>
        <v/>
      </c>
      <c r="D142" s="216" t="str">
        <f>IFERROR(INDEX(Cuota!FcDetalle,MATCH(CONCATENATE(FcGrupoRK,"HPE"),Cuota!FcClave,0),FcInicioCuotaMes+1),"")</f>
        <v/>
      </c>
      <c r="E142" s="216" t="str">
        <f>IFERROR(INDEX(Cuota!FcDetalle,MATCH(CONCATENATE(FcGrupoRK,"HPE"),Cuota!FcClave,0),FcInicioCuotaMes+2),"")</f>
        <v/>
      </c>
      <c r="F142" s="216" t="str">
        <f>IFERROR(INDEX(Cuota!FcDetalle,MATCH(CONCATENATE(FcGrupoRK,"HPE"),Cuota!FcClave,0),FcInicioCuotaMes+3),"")</f>
        <v/>
      </c>
      <c r="G142" s="216" t="str">
        <f>IFERROR(INDEX(Cuota!FcDetalle,MATCH(CONCATENATE(FcGrupoRK,"HPE"),Cuota!FcClave,0),FcInicioCuotaMes+4),"")</f>
        <v/>
      </c>
      <c r="H142" s="216" t="str">
        <f>IFERROR(INDEX(Cuota!FcDetalle,MATCH(CONCATENATE(FcGrupoRK,"HPE"),Cuota!FcClave,0),FcInicioCuotaMes+5),"")</f>
        <v/>
      </c>
      <c r="I142" s="216" t="str">
        <f>IFERROR(INDEX(Cuota!FcDetalle,MATCH(CONCATENATE(FcGrupoRK,"HPE"),Cuota!FcClave,0),FcInicioCuotaMes+6),"")</f>
        <v/>
      </c>
      <c r="J142" s="216" t="str">
        <f>IFERROR(INDEX(Cuota!FcDetalle,MATCH(CONCATENATE(FcGrupoRK,"HPE"),Cuota!FcClave,0),FcInicioCuotaMes+7),"")</f>
        <v/>
      </c>
      <c r="K142" s="216" t="str">
        <f>IFERROR(INDEX(Cuota!FcDetalle,MATCH(CONCATENATE(FcGrupoRK,"HPE"),Cuota!FcClave,0),FcInicioCuotaMes+8),"")</f>
        <v/>
      </c>
      <c r="L142" s="216" t="str">
        <f>IFERROR(INDEX(Cuota!FcDetalle,MATCH(CONCATENATE(FcGrupoRK,"HPE"),Cuota!FcClave,0),FcInicioCuotaMes+9),"")</f>
        <v/>
      </c>
      <c r="M142" s="216" t="str">
        <f>IFERROR(INDEX(Cuota!FcDetalle,MATCH(CONCATENATE(FcGrupoRK,"HPE"),Cuota!FcClave,0),FcInicioCuotaMes+10),"")</f>
        <v/>
      </c>
      <c r="N142" s="216" t="str">
        <f>IFERROR(INDEX(Cuota!FcDetalle,MATCH(CONCATENATE(FcGrupoRK,"HPE"),Cuota!FcClave,0),FcInicioCuotaMes+11),"")</f>
        <v/>
      </c>
      <c r="O142" s="217" t="str">
        <f>IFERROR(INDEX(Cuota!FcDetalle,MATCH(CONCATENATE(FcGrupoRK,"HPE"),Cuota!FcClave,0),FcInicioCuotaMes+12),"")</f>
        <v/>
      </c>
      <c r="P142" s="6"/>
      <c r="Q142" s="220" t="str">
        <f>IFERROR(INDEX(Cuota!FcDetalle,MATCH(CONCATENATE(FcGrupoRK,"HPE"),Cuota!FcClave,0),FcInicioCuotaAnual+0),"")</f>
        <v/>
      </c>
      <c r="R142" s="216" t="str">
        <f>IFERROR(INDEX(Cuota!FcDetalle,MATCH(CONCATENATE(FcGrupoRK,"HPE"),Cuota!FcClave,0),FcInicioCuotaAnual+1),"")</f>
        <v/>
      </c>
      <c r="S142" s="216" t="str">
        <f>IFERROR(INDEX(Cuota!FcDetalle,MATCH(CONCATENATE(FcGrupoRK,"HPE"),Cuota!FcClave,0),FcInicioCuotaAnual+2),"")</f>
        <v/>
      </c>
      <c r="T142" s="216" t="str">
        <f>IFERROR(INDEX(Cuota!FcDetalle,MATCH(CONCATENATE(FcGrupoRK,"HPE"),Cuota!FcClave,0),FcInicioCuotaAnual+3),"")</f>
        <v/>
      </c>
      <c r="U142" s="217" t="str">
        <f>IFERROR(INDEX(Cuota!FcDetalle,MATCH(CONCATENATE(FcGrupoRK,"HPE"),Cuota!FcClave,0),FcInicioCuotaAnual+4),"")</f>
        <v/>
      </c>
    </row>
    <row r="143" spans="1:21" ht="15.75" thickBot="1" x14ac:dyDescent="0.25">
      <c r="A143" s="208" t="s">
        <v>42</v>
      </c>
      <c r="B143" s="209"/>
      <c r="C143" s="210">
        <f>SUM(C141:C142)</f>
        <v>0</v>
      </c>
      <c r="D143" s="210">
        <f t="shared" ref="D143:O143" si="26">SUM(D141:D142)</f>
        <v>0</v>
      </c>
      <c r="E143" s="210">
        <f t="shared" si="26"/>
        <v>0</v>
      </c>
      <c r="F143" s="210">
        <f t="shared" si="26"/>
        <v>0</v>
      </c>
      <c r="G143" s="210">
        <f t="shared" si="26"/>
        <v>0</v>
      </c>
      <c r="H143" s="210">
        <f t="shared" si="26"/>
        <v>0</v>
      </c>
      <c r="I143" s="210">
        <f t="shared" si="26"/>
        <v>0</v>
      </c>
      <c r="J143" s="210">
        <f t="shared" si="26"/>
        <v>0</v>
      </c>
      <c r="K143" s="210">
        <f t="shared" si="26"/>
        <v>0</v>
      </c>
      <c r="L143" s="210">
        <f t="shared" si="26"/>
        <v>0</v>
      </c>
      <c r="M143" s="210">
        <f t="shared" si="26"/>
        <v>0</v>
      </c>
      <c r="N143" s="210">
        <f t="shared" si="26"/>
        <v>0</v>
      </c>
      <c r="O143" s="211">
        <f t="shared" si="26"/>
        <v>0</v>
      </c>
      <c r="P143" s="6"/>
      <c r="Q143" s="222">
        <f>SUM(Q141:Q142)</f>
        <v>0</v>
      </c>
      <c r="R143" s="223">
        <f>SUM(R141:R142)</f>
        <v>0</v>
      </c>
      <c r="S143" s="223">
        <f>SUM(S141:S142)</f>
        <v>0</v>
      </c>
      <c r="T143" s="223">
        <f>SUM(T141:T142)</f>
        <v>0</v>
      </c>
      <c r="U143" s="224">
        <f>SUM(U141:U142)</f>
        <v>0</v>
      </c>
    </row>
    <row r="145" spans="1:23" s="273" customFormat="1" ht="14.1" hidden="1" customHeight="1" x14ac:dyDescent="0.2"/>
    <row r="146" spans="1:23" s="273" customFormat="1" ht="14.1" hidden="1" customHeight="1" x14ac:dyDescent="0.2">
      <c r="A146" s="340"/>
      <c r="B146" s="340"/>
      <c r="C146" s="340"/>
      <c r="D146" s="340"/>
      <c r="E146" s="340"/>
      <c r="F146" s="340"/>
      <c r="G146" s="340"/>
      <c r="H146" s="340"/>
      <c r="I146" s="340"/>
      <c r="J146" s="340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274"/>
    </row>
    <row r="147" spans="1:23" s="273" customFormat="1" ht="14.1" hidden="1" customHeight="1" x14ac:dyDescent="0.2">
      <c r="A147" s="275"/>
      <c r="B147" s="340"/>
      <c r="C147" s="340"/>
      <c r="D147" s="340"/>
      <c r="E147" s="340"/>
      <c r="F147" s="340"/>
      <c r="G147" s="340"/>
      <c r="H147" s="340"/>
      <c r="I147" s="340"/>
      <c r="J147" s="340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</row>
    <row r="148" spans="1:23" s="273" customFormat="1" ht="14.1" hidden="1" customHeight="1" x14ac:dyDescent="0.2">
      <c r="A148" s="15"/>
      <c r="B148" s="341"/>
      <c r="C148" s="341"/>
      <c r="D148" s="341"/>
      <c r="E148" s="341"/>
      <c r="F148" s="341"/>
      <c r="G148" s="341"/>
      <c r="H148" s="341"/>
      <c r="I148" s="341"/>
      <c r="J148" s="341"/>
      <c r="K148" s="341"/>
      <c r="L148" s="341"/>
      <c r="M148" s="341"/>
      <c r="N148" s="341"/>
      <c r="O148" s="341"/>
      <c r="P148" s="341"/>
      <c r="Q148" s="341"/>
      <c r="R148" s="341"/>
      <c r="S148" s="341"/>
      <c r="T148" s="341"/>
      <c r="U148" s="341"/>
      <c r="V148" s="341"/>
      <c r="W148" s="276"/>
    </row>
    <row r="149" spans="1:23" s="273" customFormat="1" ht="14.1" hidden="1" customHeight="1" x14ac:dyDescent="0.2"/>
    <row r="150" spans="1:23" s="273" customFormat="1" ht="14.1" hidden="1" customHeight="1" x14ac:dyDescent="0.2">
      <c r="C150" s="342"/>
      <c r="D150" s="342"/>
      <c r="E150" s="342"/>
      <c r="F150" s="342"/>
      <c r="G150" s="342"/>
      <c r="H150" s="342"/>
      <c r="I150" s="342"/>
      <c r="J150" s="342"/>
      <c r="K150" s="342"/>
      <c r="L150" s="342"/>
      <c r="M150" s="342"/>
      <c r="N150" s="342"/>
      <c r="O150" s="342"/>
      <c r="P150" s="342"/>
      <c r="Q150" s="342"/>
      <c r="R150" s="342"/>
      <c r="S150" s="342"/>
      <c r="T150" s="342"/>
      <c r="U150" s="342"/>
      <c r="V150" s="342"/>
    </row>
    <row r="151" spans="1:23" s="273" customFormat="1" ht="14.1" hidden="1" customHeight="1" x14ac:dyDescent="0.2">
      <c r="C151" s="342"/>
      <c r="D151" s="342"/>
      <c r="E151" s="342"/>
      <c r="F151" s="342"/>
      <c r="G151" s="342"/>
      <c r="H151" s="342"/>
      <c r="I151" s="342"/>
      <c r="J151" s="342"/>
      <c r="K151" s="342"/>
      <c r="L151" s="342"/>
      <c r="M151" s="342"/>
      <c r="N151" s="342"/>
      <c r="O151" s="342"/>
      <c r="P151" s="342"/>
      <c r="Q151" s="342"/>
      <c r="R151" s="342"/>
      <c r="S151" s="342"/>
      <c r="T151" s="342"/>
      <c r="U151" s="342"/>
      <c r="V151" s="342"/>
    </row>
    <row r="152" spans="1:23" s="273" customFormat="1" ht="14.1" hidden="1" customHeight="1" x14ac:dyDescent="0.2">
      <c r="C152" s="342"/>
      <c r="D152" s="342"/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342"/>
      <c r="Q152" s="342"/>
      <c r="R152" s="342"/>
      <c r="S152" s="342"/>
      <c r="T152" s="342"/>
      <c r="U152" s="342"/>
      <c r="V152" s="342"/>
    </row>
    <row r="153" spans="1:23" s="273" customFormat="1" ht="14.1" hidden="1" customHeight="1" x14ac:dyDescent="0.2">
      <c r="C153" s="342"/>
      <c r="D153" s="342"/>
      <c r="E153" s="342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</row>
    <row r="154" spans="1:23" s="273" customFormat="1" ht="14.1" hidden="1" customHeight="1" x14ac:dyDescent="0.2">
      <c r="C154" s="342"/>
      <c r="D154" s="342"/>
      <c r="E154" s="342"/>
      <c r="F154" s="342"/>
      <c r="G154" s="342"/>
      <c r="H154" s="342"/>
      <c r="I154" s="342"/>
      <c r="J154" s="342"/>
      <c r="K154" s="342"/>
      <c r="L154" s="342"/>
      <c r="M154" s="342"/>
      <c r="N154" s="342"/>
      <c r="O154" s="342"/>
      <c r="P154" s="342"/>
      <c r="Q154" s="342"/>
      <c r="R154" s="342"/>
      <c r="S154" s="342"/>
      <c r="T154" s="342"/>
      <c r="U154" s="342"/>
      <c r="V154" s="342"/>
    </row>
    <row r="155" spans="1:23" s="273" customFormat="1" ht="14.1" hidden="1" customHeight="1" x14ac:dyDescent="0.2">
      <c r="C155" s="342"/>
      <c r="D155" s="342"/>
      <c r="E155" s="342"/>
      <c r="F155" s="342"/>
      <c r="G155" s="342"/>
      <c r="H155" s="342"/>
      <c r="I155" s="342"/>
      <c r="J155" s="342"/>
      <c r="K155" s="342"/>
      <c r="L155" s="342"/>
      <c r="M155" s="342"/>
      <c r="N155" s="342"/>
      <c r="O155" s="342"/>
      <c r="P155" s="342"/>
      <c r="Q155" s="342"/>
      <c r="R155" s="342"/>
      <c r="S155" s="342"/>
      <c r="T155" s="342"/>
      <c r="U155" s="342"/>
      <c r="V155" s="342"/>
    </row>
    <row r="156" spans="1:23" s="273" customFormat="1" ht="14.1" hidden="1" customHeight="1" x14ac:dyDescent="0.2">
      <c r="C156" s="342"/>
      <c r="D156" s="342"/>
      <c r="E156" s="342"/>
      <c r="F156" s="342"/>
      <c r="G156" s="342"/>
      <c r="H156" s="342"/>
      <c r="I156" s="342"/>
      <c r="J156" s="342"/>
      <c r="K156" s="342"/>
      <c r="L156" s="342"/>
      <c r="M156" s="342"/>
      <c r="N156" s="342"/>
      <c r="O156" s="342"/>
      <c r="P156" s="342"/>
      <c r="Q156" s="342"/>
      <c r="R156" s="342"/>
      <c r="S156" s="342"/>
      <c r="T156" s="342"/>
      <c r="U156" s="342"/>
      <c r="V156" s="342"/>
    </row>
    <row r="157" spans="1:23" s="273" customFormat="1" ht="14.1" hidden="1" customHeight="1" x14ac:dyDescent="0.2">
      <c r="C157" s="342"/>
      <c r="D157" s="342"/>
      <c r="E157" s="342"/>
      <c r="F157" s="342"/>
      <c r="G157" s="342"/>
      <c r="H157" s="342"/>
      <c r="I157" s="342"/>
      <c r="J157" s="342"/>
      <c r="K157" s="342"/>
      <c r="L157" s="342"/>
      <c r="M157" s="342"/>
      <c r="N157" s="342"/>
      <c r="O157" s="342"/>
      <c r="P157" s="342"/>
      <c r="Q157" s="342"/>
      <c r="R157" s="342"/>
      <c r="S157" s="342"/>
      <c r="T157" s="342"/>
      <c r="U157" s="342"/>
      <c r="V157" s="342"/>
    </row>
    <row r="158" spans="1:23" s="273" customFormat="1" ht="14.1" hidden="1" customHeight="1" x14ac:dyDescent="0.2">
      <c r="C158" s="342"/>
      <c r="D158" s="342"/>
      <c r="E158" s="342"/>
      <c r="F158" s="342"/>
      <c r="G158" s="342"/>
      <c r="H158" s="342"/>
      <c r="I158" s="342"/>
      <c r="J158" s="342"/>
      <c r="K158" s="342"/>
      <c r="L158" s="342"/>
      <c r="M158" s="342"/>
      <c r="N158" s="342"/>
      <c r="O158" s="342"/>
      <c r="P158" s="342"/>
      <c r="Q158" s="342"/>
      <c r="R158" s="342"/>
      <c r="S158" s="342"/>
      <c r="T158" s="342"/>
      <c r="U158" s="342"/>
      <c r="V158" s="342"/>
    </row>
    <row r="159" spans="1:23" s="273" customFormat="1" ht="14.1" hidden="1" customHeight="1" x14ac:dyDescent="0.2">
      <c r="C159" s="342"/>
      <c r="D159" s="342"/>
      <c r="E159" s="342"/>
      <c r="F159" s="342"/>
      <c r="G159" s="342"/>
      <c r="H159" s="342"/>
      <c r="I159" s="342"/>
      <c r="J159" s="342"/>
      <c r="K159" s="342"/>
      <c r="L159" s="342"/>
      <c r="M159" s="342"/>
      <c r="N159" s="342"/>
      <c r="O159" s="342"/>
      <c r="P159" s="342"/>
      <c r="Q159" s="342"/>
      <c r="R159" s="342"/>
      <c r="S159" s="342"/>
      <c r="T159" s="342"/>
      <c r="U159" s="342"/>
      <c r="V159" s="342"/>
    </row>
    <row r="160" spans="1:23" s="273" customFormat="1" ht="14.1" hidden="1" customHeight="1" outlineLevel="1" x14ac:dyDescent="0.2">
      <c r="C160" s="342"/>
      <c r="D160" s="342"/>
      <c r="E160" s="342"/>
      <c r="F160" s="342"/>
      <c r="G160" s="342"/>
      <c r="H160" s="342"/>
      <c r="I160" s="342"/>
      <c r="J160" s="342"/>
      <c r="K160" s="342"/>
      <c r="L160" s="342"/>
      <c r="M160" s="342"/>
      <c r="N160" s="342"/>
      <c r="O160" s="342"/>
      <c r="P160" s="342"/>
      <c r="Q160" s="342"/>
      <c r="R160" s="342"/>
      <c r="S160" s="342"/>
      <c r="T160" s="342"/>
      <c r="U160" s="342"/>
      <c r="V160" s="342"/>
    </row>
    <row r="161" spans="3:22" s="273" customFormat="1" ht="14.1" hidden="1" customHeight="1" outlineLevel="1" x14ac:dyDescent="0.2">
      <c r="C161" s="342"/>
      <c r="D161" s="342"/>
      <c r="E161" s="342"/>
      <c r="F161" s="342"/>
      <c r="G161" s="342"/>
      <c r="H161" s="342"/>
      <c r="I161" s="342"/>
      <c r="J161" s="342"/>
      <c r="K161" s="342"/>
      <c r="L161" s="342"/>
      <c r="M161" s="342"/>
      <c r="N161" s="342"/>
      <c r="O161" s="342"/>
      <c r="P161" s="342"/>
      <c r="Q161" s="342"/>
      <c r="R161" s="342"/>
      <c r="S161" s="342"/>
      <c r="T161" s="342"/>
      <c r="U161" s="342"/>
      <c r="V161" s="342"/>
    </row>
    <row r="162" spans="3:22" s="273" customFormat="1" ht="14.1" hidden="1" customHeight="1" outlineLevel="1" x14ac:dyDescent="0.2">
      <c r="C162" s="342"/>
      <c r="D162" s="342"/>
      <c r="E162" s="342"/>
      <c r="F162" s="342"/>
      <c r="G162" s="342"/>
      <c r="H162" s="342"/>
      <c r="I162" s="342"/>
      <c r="J162" s="342"/>
      <c r="K162" s="342"/>
      <c r="L162" s="342"/>
      <c r="M162" s="342"/>
      <c r="N162" s="342"/>
      <c r="O162" s="342"/>
      <c r="P162" s="342"/>
      <c r="Q162" s="342"/>
      <c r="R162" s="342"/>
      <c r="S162" s="342"/>
      <c r="T162" s="342"/>
      <c r="U162" s="342"/>
      <c r="V162" s="342"/>
    </row>
    <row r="163" spans="3:22" s="273" customFormat="1" ht="14.1" hidden="1" customHeight="1" outlineLevel="1" x14ac:dyDescent="0.2">
      <c r="C163" s="342"/>
      <c r="D163" s="342"/>
      <c r="E163" s="342"/>
      <c r="F163" s="342"/>
      <c r="G163" s="342"/>
      <c r="H163" s="342"/>
      <c r="I163" s="342"/>
      <c r="J163" s="342"/>
      <c r="K163" s="342"/>
      <c r="L163" s="342"/>
      <c r="M163" s="342"/>
      <c r="N163" s="342"/>
      <c r="O163" s="342"/>
      <c r="P163" s="342"/>
      <c r="Q163" s="342"/>
      <c r="R163" s="342"/>
      <c r="S163" s="342"/>
      <c r="T163" s="342"/>
      <c r="U163" s="342"/>
      <c r="V163" s="342"/>
    </row>
    <row r="164" spans="3:22" s="273" customFormat="1" ht="14.1" hidden="1" customHeight="1" outlineLevel="1" x14ac:dyDescent="0.2">
      <c r="C164" s="342"/>
      <c r="D164" s="342"/>
      <c r="E164" s="342"/>
      <c r="F164" s="342"/>
      <c r="G164" s="342"/>
      <c r="H164" s="342"/>
      <c r="I164" s="342"/>
      <c r="J164" s="342"/>
      <c r="K164" s="342"/>
      <c r="L164" s="342"/>
      <c r="M164" s="342"/>
      <c r="N164" s="342"/>
      <c r="O164" s="342"/>
      <c r="P164" s="342"/>
      <c r="Q164" s="342"/>
      <c r="R164" s="342"/>
      <c r="S164" s="342"/>
      <c r="T164" s="342"/>
      <c r="U164" s="342"/>
      <c r="V164" s="342"/>
    </row>
    <row r="165" spans="3:22" s="273" customFormat="1" ht="14.1" hidden="1" customHeight="1" outlineLevel="1" x14ac:dyDescent="0.2">
      <c r="C165" s="342"/>
      <c r="D165" s="342"/>
      <c r="E165" s="342"/>
      <c r="F165" s="342"/>
      <c r="G165" s="342"/>
      <c r="H165" s="342"/>
      <c r="I165" s="342"/>
      <c r="J165" s="342"/>
      <c r="K165" s="342"/>
      <c r="L165" s="342"/>
      <c r="M165" s="342"/>
      <c r="N165" s="342"/>
      <c r="O165" s="342"/>
      <c r="P165" s="342"/>
      <c r="Q165" s="342"/>
      <c r="R165" s="342"/>
      <c r="S165" s="342"/>
      <c r="T165" s="342"/>
      <c r="U165" s="342"/>
      <c r="V165" s="342"/>
    </row>
    <row r="166" spans="3:22" s="273" customFormat="1" ht="14.1" hidden="1" customHeight="1" outlineLevel="1" x14ac:dyDescent="0.2">
      <c r="C166" s="342"/>
      <c r="D166" s="342"/>
      <c r="E166" s="342"/>
      <c r="F166" s="342"/>
      <c r="G166" s="342"/>
      <c r="H166" s="342"/>
      <c r="I166" s="342"/>
      <c r="J166" s="342"/>
      <c r="K166" s="342"/>
      <c r="L166" s="342"/>
      <c r="M166" s="342"/>
      <c r="N166" s="342"/>
      <c r="O166" s="342"/>
      <c r="P166" s="342"/>
      <c r="Q166" s="342"/>
      <c r="R166" s="342"/>
      <c r="S166" s="342"/>
      <c r="T166" s="342"/>
      <c r="U166" s="342"/>
      <c r="V166" s="342"/>
    </row>
    <row r="167" spans="3:22" s="273" customFormat="1" ht="14.1" hidden="1" customHeight="1" outlineLevel="1" x14ac:dyDescent="0.2">
      <c r="C167" s="342"/>
      <c r="D167" s="342"/>
      <c r="E167" s="342"/>
      <c r="F167" s="342"/>
      <c r="G167" s="342"/>
      <c r="H167" s="342"/>
      <c r="I167" s="342"/>
      <c r="J167" s="342"/>
      <c r="K167" s="342"/>
      <c r="L167" s="342"/>
      <c r="M167" s="342"/>
      <c r="N167" s="342"/>
      <c r="O167" s="342"/>
      <c r="P167" s="342"/>
      <c r="Q167" s="342"/>
      <c r="R167" s="342"/>
      <c r="S167" s="342"/>
      <c r="T167" s="342"/>
      <c r="U167" s="342"/>
      <c r="V167" s="342"/>
    </row>
    <row r="168" spans="3:22" s="273" customFormat="1" ht="14.1" hidden="1" customHeight="1" outlineLevel="1" x14ac:dyDescent="0.2">
      <c r="C168" s="342"/>
      <c r="D168" s="342"/>
      <c r="E168" s="342"/>
      <c r="F168" s="342"/>
      <c r="G168" s="342"/>
      <c r="H168" s="342"/>
      <c r="I168" s="342"/>
      <c r="J168" s="342"/>
      <c r="K168" s="342"/>
      <c r="L168" s="342"/>
      <c r="M168" s="342"/>
      <c r="N168" s="342"/>
      <c r="O168" s="342"/>
      <c r="P168" s="342"/>
      <c r="Q168" s="342"/>
      <c r="R168" s="342"/>
      <c r="S168" s="342"/>
      <c r="T168" s="342"/>
      <c r="U168" s="342"/>
      <c r="V168" s="342"/>
    </row>
    <row r="169" spans="3:22" s="273" customFormat="1" ht="14.1" hidden="1" customHeight="1" outlineLevel="1" x14ac:dyDescent="0.2">
      <c r="C169" s="342"/>
      <c r="D169" s="342"/>
      <c r="E169" s="342"/>
      <c r="F169" s="342"/>
      <c r="G169" s="342"/>
      <c r="H169" s="342"/>
      <c r="I169" s="342"/>
      <c r="J169" s="342"/>
      <c r="K169" s="342"/>
      <c r="L169" s="342"/>
      <c r="M169" s="342"/>
      <c r="N169" s="342"/>
      <c r="O169" s="342"/>
      <c r="P169" s="342"/>
      <c r="Q169" s="342"/>
      <c r="R169" s="342"/>
      <c r="S169" s="342"/>
      <c r="T169" s="342"/>
      <c r="U169" s="342"/>
      <c r="V169" s="342"/>
    </row>
    <row r="170" spans="3:22" s="273" customFormat="1" ht="14.1" hidden="1" customHeight="1" outlineLevel="1" x14ac:dyDescent="0.2">
      <c r="C170" s="342"/>
      <c r="D170" s="342"/>
      <c r="E170" s="342"/>
      <c r="F170" s="342"/>
      <c r="G170" s="342"/>
      <c r="H170" s="342"/>
      <c r="I170" s="342"/>
      <c r="J170" s="342"/>
      <c r="K170" s="342"/>
      <c r="L170" s="342"/>
      <c r="M170" s="342"/>
      <c r="N170" s="342"/>
      <c r="O170" s="342"/>
      <c r="P170" s="342"/>
      <c r="Q170" s="342"/>
      <c r="R170" s="342"/>
      <c r="S170" s="342"/>
      <c r="T170" s="342"/>
      <c r="U170" s="342"/>
      <c r="V170" s="342"/>
    </row>
    <row r="171" spans="3:22" s="273" customFormat="1" ht="14.1" hidden="1" customHeight="1" outlineLevel="1" x14ac:dyDescent="0.2">
      <c r="C171" s="342"/>
      <c r="D171" s="342"/>
      <c r="E171" s="342"/>
      <c r="F171" s="342"/>
      <c r="G171" s="342"/>
      <c r="H171" s="342"/>
      <c r="I171" s="342"/>
      <c r="J171" s="342"/>
      <c r="K171" s="342"/>
      <c r="L171" s="342"/>
      <c r="M171" s="342"/>
      <c r="N171" s="342"/>
      <c r="O171" s="342"/>
      <c r="P171" s="342"/>
      <c r="Q171" s="342"/>
      <c r="R171" s="342"/>
      <c r="S171" s="342"/>
      <c r="T171" s="342"/>
      <c r="U171" s="342"/>
      <c r="V171" s="342"/>
    </row>
    <row r="172" spans="3:22" s="273" customFormat="1" ht="14.1" hidden="1" customHeight="1" outlineLevel="1" x14ac:dyDescent="0.2">
      <c r="C172" s="342"/>
      <c r="D172" s="342"/>
      <c r="E172" s="342"/>
      <c r="F172" s="342"/>
      <c r="G172" s="342"/>
      <c r="H172" s="342"/>
      <c r="I172" s="342"/>
      <c r="J172" s="342"/>
      <c r="K172" s="342"/>
      <c r="L172" s="342"/>
      <c r="M172" s="342"/>
      <c r="N172" s="342"/>
      <c r="O172" s="342"/>
      <c r="P172" s="342"/>
      <c r="Q172" s="342"/>
      <c r="R172" s="342"/>
      <c r="S172" s="342"/>
      <c r="T172" s="342"/>
      <c r="U172" s="342"/>
      <c r="V172" s="342"/>
    </row>
    <row r="173" spans="3:22" s="273" customFormat="1" ht="14.1" hidden="1" customHeight="1" outlineLevel="1" x14ac:dyDescent="0.2">
      <c r="C173" s="342"/>
      <c r="D173" s="342"/>
      <c r="E173" s="342"/>
      <c r="F173" s="342"/>
      <c r="G173" s="342"/>
      <c r="H173" s="342"/>
      <c r="I173" s="342"/>
      <c r="J173" s="342"/>
      <c r="K173" s="342"/>
      <c r="L173" s="342"/>
      <c r="M173" s="342"/>
      <c r="N173" s="342"/>
      <c r="O173" s="342"/>
      <c r="P173" s="342"/>
      <c r="Q173" s="342"/>
      <c r="R173" s="342"/>
      <c r="S173" s="342"/>
      <c r="T173" s="342"/>
      <c r="U173" s="342"/>
      <c r="V173" s="342"/>
    </row>
    <row r="174" spans="3:22" s="273" customFormat="1" ht="14.1" hidden="1" customHeight="1" outlineLevel="1" x14ac:dyDescent="0.2">
      <c r="C174" s="342"/>
      <c r="D174" s="342"/>
      <c r="E174" s="342"/>
      <c r="F174" s="342"/>
      <c r="G174" s="342"/>
      <c r="H174" s="342"/>
      <c r="I174" s="342"/>
      <c r="J174" s="342"/>
      <c r="K174" s="342"/>
      <c r="L174" s="342"/>
      <c r="M174" s="342"/>
      <c r="N174" s="342"/>
      <c r="O174" s="342"/>
      <c r="P174" s="342"/>
      <c r="Q174" s="342"/>
      <c r="R174" s="342"/>
      <c r="S174" s="342"/>
      <c r="T174" s="342"/>
      <c r="U174" s="342"/>
      <c r="V174" s="342"/>
    </row>
    <row r="175" spans="3:22" s="273" customFormat="1" ht="14.1" hidden="1" customHeight="1" outlineLevel="1" x14ac:dyDescent="0.2">
      <c r="C175" s="342"/>
      <c r="D175" s="342"/>
      <c r="E175" s="342"/>
      <c r="F175" s="342"/>
      <c r="G175" s="342"/>
      <c r="H175" s="342"/>
      <c r="I175" s="342"/>
      <c r="J175" s="342"/>
      <c r="K175" s="342"/>
      <c r="L175" s="342"/>
      <c r="M175" s="342"/>
      <c r="N175" s="342"/>
      <c r="O175" s="342"/>
      <c r="P175" s="342"/>
      <c r="Q175" s="342"/>
      <c r="R175" s="342"/>
      <c r="S175" s="342"/>
      <c r="T175" s="342"/>
      <c r="U175" s="342"/>
      <c r="V175" s="342"/>
    </row>
    <row r="176" spans="3:22" s="273" customFormat="1" ht="14.1" hidden="1" customHeight="1" outlineLevel="1" x14ac:dyDescent="0.2">
      <c r="C176" s="342"/>
      <c r="D176" s="342"/>
      <c r="E176" s="342"/>
      <c r="F176" s="342"/>
      <c r="G176" s="342"/>
      <c r="H176" s="342"/>
      <c r="I176" s="342"/>
      <c r="J176" s="342"/>
      <c r="K176" s="342"/>
      <c r="L176" s="342"/>
      <c r="M176" s="342"/>
      <c r="N176" s="342"/>
      <c r="O176" s="342"/>
      <c r="P176" s="342"/>
      <c r="Q176" s="342"/>
      <c r="R176" s="342"/>
      <c r="S176" s="342"/>
      <c r="T176" s="342"/>
      <c r="U176" s="342"/>
      <c r="V176" s="342"/>
    </row>
    <row r="177" spans="3:22" s="273" customFormat="1" ht="14.1" hidden="1" customHeight="1" outlineLevel="1" x14ac:dyDescent="0.2">
      <c r="C177" s="342"/>
      <c r="D177" s="342"/>
      <c r="E177" s="342"/>
      <c r="F177" s="342"/>
      <c r="G177" s="342"/>
      <c r="H177" s="342"/>
      <c r="I177" s="342"/>
      <c r="J177" s="342"/>
      <c r="K177" s="342"/>
      <c r="L177" s="342"/>
      <c r="M177" s="342"/>
      <c r="N177" s="342"/>
      <c r="O177" s="342"/>
      <c r="P177" s="342"/>
      <c r="Q177" s="342"/>
      <c r="R177" s="342"/>
      <c r="S177" s="342"/>
      <c r="T177" s="342"/>
      <c r="U177" s="342"/>
      <c r="V177" s="342"/>
    </row>
    <row r="178" spans="3:22" s="273" customFormat="1" ht="14.1" hidden="1" customHeight="1" outlineLevel="1" x14ac:dyDescent="0.2">
      <c r="C178" s="342"/>
      <c r="D178" s="342"/>
      <c r="E178" s="342"/>
      <c r="F178" s="342"/>
      <c r="G178" s="342"/>
      <c r="H178" s="342"/>
      <c r="I178" s="342"/>
      <c r="J178" s="342"/>
      <c r="K178" s="342"/>
      <c r="L178" s="342"/>
      <c r="M178" s="342"/>
      <c r="N178" s="342"/>
      <c r="O178" s="342"/>
      <c r="P178" s="342"/>
      <c r="Q178" s="342"/>
      <c r="R178" s="342"/>
      <c r="S178" s="342"/>
      <c r="T178" s="342"/>
      <c r="U178" s="342"/>
      <c r="V178" s="342"/>
    </row>
    <row r="179" spans="3:22" s="273" customFormat="1" ht="14.1" hidden="1" customHeight="1" outlineLevel="1" x14ac:dyDescent="0.2">
      <c r="C179" s="342"/>
      <c r="D179" s="342"/>
      <c r="E179" s="342"/>
      <c r="F179" s="342"/>
      <c r="G179" s="342"/>
      <c r="H179" s="342"/>
      <c r="I179" s="342"/>
      <c r="J179" s="342"/>
      <c r="K179" s="342"/>
      <c r="L179" s="342"/>
      <c r="M179" s="342"/>
      <c r="N179" s="342"/>
      <c r="O179" s="342"/>
      <c r="P179" s="342"/>
      <c r="Q179" s="342"/>
      <c r="R179" s="342"/>
      <c r="S179" s="342"/>
      <c r="T179" s="342"/>
      <c r="U179" s="342"/>
      <c r="V179" s="342"/>
    </row>
    <row r="180" spans="3:22" s="273" customFormat="1" ht="14.1" hidden="1" customHeight="1" outlineLevel="1" x14ac:dyDescent="0.2">
      <c r="C180" s="342"/>
      <c r="D180" s="342"/>
      <c r="E180" s="342"/>
      <c r="F180" s="342"/>
      <c r="G180" s="342"/>
      <c r="H180" s="342"/>
      <c r="I180" s="342"/>
      <c r="J180" s="342"/>
      <c r="K180" s="342"/>
      <c r="L180" s="342"/>
      <c r="M180" s="342"/>
      <c r="N180" s="342"/>
      <c r="O180" s="342"/>
      <c r="P180" s="342"/>
      <c r="Q180" s="342"/>
      <c r="R180" s="342"/>
      <c r="S180" s="342"/>
      <c r="T180" s="342"/>
      <c r="U180" s="342"/>
      <c r="V180" s="342"/>
    </row>
    <row r="181" spans="3:22" s="273" customFormat="1" ht="14.1" hidden="1" customHeight="1" outlineLevel="1" x14ac:dyDescent="0.2">
      <c r="C181" s="342"/>
      <c r="D181" s="342"/>
      <c r="E181" s="342"/>
      <c r="F181" s="342"/>
      <c r="G181" s="342"/>
      <c r="H181" s="342"/>
      <c r="I181" s="342"/>
      <c r="J181" s="342"/>
      <c r="K181" s="342"/>
      <c r="L181" s="342"/>
      <c r="M181" s="342"/>
      <c r="N181" s="342"/>
      <c r="O181" s="342"/>
      <c r="P181" s="342"/>
      <c r="Q181" s="342"/>
      <c r="R181" s="342"/>
      <c r="S181" s="342"/>
      <c r="T181" s="342"/>
      <c r="U181" s="342"/>
      <c r="V181" s="342"/>
    </row>
    <row r="182" spans="3:22" s="273" customFormat="1" ht="14.1" hidden="1" customHeight="1" outlineLevel="1" x14ac:dyDescent="0.2">
      <c r="C182" s="342"/>
      <c r="D182" s="342"/>
      <c r="E182" s="342"/>
      <c r="F182" s="342"/>
      <c r="G182" s="342"/>
      <c r="H182" s="342"/>
      <c r="I182" s="342"/>
      <c r="J182" s="342"/>
      <c r="K182" s="342"/>
      <c r="L182" s="342"/>
      <c r="M182" s="342"/>
      <c r="N182" s="342"/>
      <c r="O182" s="342"/>
      <c r="P182" s="342"/>
      <c r="Q182" s="342"/>
      <c r="R182" s="342"/>
      <c r="S182" s="342"/>
      <c r="T182" s="342"/>
      <c r="U182" s="342"/>
      <c r="V182" s="342"/>
    </row>
    <row r="183" spans="3:22" s="273" customFormat="1" ht="14.1" hidden="1" customHeight="1" outlineLevel="1" x14ac:dyDescent="0.2">
      <c r="C183" s="342"/>
      <c r="D183" s="342"/>
      <c r="E183" s="342"/>
      <c r="F183" s="342"/>
      <c r="G183" s="342"/>
      <c r="H183" s="342"/>
      <c r="I183" s="342"/>
      <c r="J183" s="342"/>
      <c r="K183" s="342"/>
      <c r="L183" s="342"/>
      <c r="M183" s="342"/>
      <c r="N183" s="342"/>
      <c r="O183" s="342"/>
      <c r="P183" s="342"/>
      <c r="Q183" s="342"/>
      <c r="R183" s="342"/>
      <c r="S183" s="342"/>
      <c r="T183" s="342"/>
      <c r="U183" s="342"/>
      <c r="V183" s="342"/>
    </row>
    <row r="184" spans="3:22" s="273" customFormat="1" ht="14.1" hidden="1" customHeight="1" outlineLevel="1" x14ac:dyDescent="0.2">
      <c r="C184" s="342"/>
      <c r="D184" s="342"/>
      <c r="E184" s="342"/>
      <c r="F184" s="342"/>
      <c r="G184" s="342"/>
      <c r="H184" s="342"/>
      <c r="I184" s="342"/>
      <c r="J184" s="342"/>
      <c r="K184" s="342"/>
      <c r="L184" s="342"/>
      <c r="M184" s="342"/>
      <c r="N184" s="342"/>
      <c r="O184" s="342"/>
      <c r="P184" s="342"/>
      <c r="Q184" s="342"/>
      <c r="R184" s="342"/>
      <c r="S184" s="342"/>
      <c r="T184" s="342"/>
      <c r="U184" s="342"/>
      <c r="V184" s="342"/>
    </row>
    <row r="185" spans="3:22" s="273" customFormat="1" ht="14.1" hidden="1" customHeight="1" outlineLevel="1" x14ac:dyDescent="0.2">
      <c r="C185" s="342"/>
      <c r="D185" s="342"/>
      <c r="E185" s="342"/>
      <c r="F185" s="342"/>
      <c r="G185" s="342"/>
      <c r="H185" s="342"/>
      <c r="I185" s="342"/>
      <c r="J185" s="342"/>
      <c r="K185" s="342"/>
      <c r="L185" s="342"/>
      <c r="M185" s="342"/>
      <c r="N185" s="342"/>
      <c r="O185" s="342"/>
      <c r="P185" s="342"/>
      <c r="Q185" s="342"/>
      <c r="R185" s="342"/>
      <c r="S185" s="342"/>
      <c r="T185" s="342"/>
      <c r="U185" s="342"/>
      <c r="V185" s="342"/>
    </row>
    <row r="186" spans="3:22" s="273" customFormat="1" ht="14.1" hidden="1" customHeight="1" outlineLevel="1" x14ac:dyDescent="0.2">
      <c r="C186" s="342"/>
      <c r="D186" s="342"/>
      <c r="E186" s="342"/>
      <c r="F186" s="342"/>
      <c r="G186" s="342"/>
      <c r="H186" s="342"/>
      <c r="I186" s="342"/>
      <c r="J186" s="342"/>
      <c r="K186" s="342"/>
      <c r="L186" s="342"/>
      <c r="M186" s="342"/>
      <c r="N186" s="342"/>
      <c r="O186" s="342"/>
      <c r="P186" s="342"/>
      <c r="Q186" s="342"/>
      <c r="R186" s="342"/>
      <c r="S186" s="342"/>
      <c r="T186" s="342"/>
      <c r="U186" s="342"/>
      <c r="V186" s="342"/>
    </row>
    <row r="187" spans="3:22" s="273" customFormat="1" ht="14.1" hidden="1" customHeight="1" outlineLevel="1" x14ac:dyDescent="0.2">
      <c r="C187" s="342"/>
      <c r="D187" s="342"/>
      <c r="E187" s="342"/>
      <c r="F187" s="342"/>
      <c r="G187" s="342"/>
      <c r="H187" s="342"/>
      <c r="I187" s="342"/>
      <c r="J187" s="342"/>
      <c r="K187" s="342"/>
      <c r="L187" s="342"/>
      <c r="M187" s="342"/>
      <c r="N187" s="342"/>
      <c r="O187" s="342"/>
      <c r="P187" s="342"/>
      <c r="Q187" s="342"/>
      <c r="R187" s="342"/>
      <c r="S187" s="342"/>
      <c r="T187" s="342"/>
      <c r="U187" s="342"/>
      <c r="V187" s="342"/>
    </row>
    <row r="188" spans="3:22" s="273" customFormat="1" ht="14.1" hidden="1" customHeight="1" outlineLevel="1" x14ac:dyDescent="0.2">
      <c r="C188" s="342"/>
      <c r="D188" s="342"/>
      <c r="E188" s="342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  <c r="R188" s="342"/>
      <c r="S188" s="342"/>
      <c r="T188" s="342"/>
      <c r="U188" s="342"/>
      <c r="V188" s="342"/>
    </row>
    <row r="189" spans="3:22" s="273" customFormat="1" ht="14.1" hidden="1" customHeight="1" outlineLevel="1" x14ac:dyDescent="0.2">
      <c r="C189" s="342"/>
      <c r="D189" s="342"/>
      <c r="E189" s="342"/>
      <c r="F189" s="342"/>
      <c r="G189" s="342"/>
      <c r="H189" s="342"/>
      <c r="I189" s="342"/>
      <c r="J189" s="342"/>
      <c r="K189" s="342"/>
      <c r="L189" s="342"/>
      <c r="M189" s="342"/>
      <c r="N189" s="342"/>
      <c r="O189" s="342"/>
      <c r="P189" s="342"/>
      <c r="Q189" s="342"/>
      <c r="R189" s="342"/>
      <c r="S189" s="342"/>
      <c r="T189" s="342"/>
      <c r="U189" s="342"/>
      <c r="V189" s="342"/>
    </row>
    <row r="190" spans="3:22" s="273" customFormat="1" ht="14.1" hidden="1" customHeight="1" outlineLevel="1" x14ac:dyDescent="0.2">
      <c r="C190" s="342"/>
      <c r="D190" s="342"/>
      <c r="E190" s="342"/>
      <c r="F190" s="342"/>
      <c r="G190" s="342"/>
      <c r="H190" s="342"/>
      <c r="I190" s="342"/>
      <c r="J190" s="342"/>
      <c r="K190" s="342"/>
      <c r="L190" s="342"/>
      <c r="M190" s="342"/>
      <c r="N190" s="342"/>
      <c r="O190" s="342"/>
      <c r="P190" s="342"/>
      <c r="Q190" s="342"/>
      <c r="R190" s="342"/>
      <c r="S190" s="342"/>
      <c r="T190" s="342"/>
      <c r="U190" s="342"/>
      <c r="V190" s="342"/>
    </row>
    <row r="191" spans="3:22" s="273" customFormat="1" ht="14.1" hidden="1" customHeight="1" outlineLevel="1" x14ac:dyDescent="0.2">
      <c r="C191" s="342"/>
      <c r="D191" s="342"/>
      <c r="E191" s="342"/>
      <c r="F191" s="342"/>
      <c r="G191" s="342"/>
      <c r="H191" s="342"/>
      <c r="I191" s="342"/>
      <c r="J191" s="342"/>
      <c r="K191" s="342"/>
      <c r="L191" s="342"/>
      <c r="M191" s="342"/>
      <c r="N191" s="342"/>
      <c r="O191" s="342"/>
      <c r="P191" s="342"/>
      <c r="Q191" s="342"/>
      <c r="R191" s="342"/>
      <c r="S191" s="342"/>
      <c r="T191" s="342"/>
      <c r="U191" s="342"/>
      <c r="V191" s="342"/>
    </row>
    <row r="192" spans="3:22" s="273" customFormat="1" ht="14.1" hidden="1" customHeight="1" outlineLevel="1" x14ac:dyDescent="0.2">
      <c r="C192" s="342"/>
      <c r="D192" s="342"/>
      <c r="E192" s="342"/>
      <c r="F192" s="342"/>
      <c r="G192" s="342"/>
      <c r="H192" s="342"/>
      <c r="I192" s="342"/>
      <c r="J192" s="342"/>
      <c r="K192" s="342"/>
      <c r="L192" s="342"/>
      <c r="M192" s="342"/>
      <c r="N192" s="342"/>
      <c r="O192" s="342"/>
      <c r="P192" s="342"/>
      <c r="Q192" s="342"/>
      <c r="R192" s="342"/>
      <c r="S192" s="342"/>
      <c r="T192" s="342"/>
      <c r="U192" s="342"/>
      <c r="V192" s="342"/>
    </row>
    <row r="193" spans="3:22" s="273" customFormat="1" ht="14.1" hidden="1" customHeight="1" outlineLevel="1" x14ac:dyDescent="0.2"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</row>
    <row r="194" spans="3:22" s="273" customFormat="1" ht="14.1" hidden="1" customHeight="1" outlineLevel="1" x14ac:dyDescent="0.2">
      <c r="C194" s="342"/>
      <c r="D194" s="342"/>
      <c r="E194" s="342"/>
      <c r="F194" s="342"/>
      <c r="G194" s="342"/>
      <c r="H194" s="342"/>
      <c r="I194" s="342"/>
      <c r="J194" s="342"/>
      <c r="K194" s="342"/>
      <c r="L194" s="342"/>
      <c r="M194" s="342"/>
      <c r="N194" s="342"/>
      <c r="O194" s="342"/>
      <c r="P194" s="342"/>
      <c r="Q194" s="342"/>
      <c r="R194" s="342"/>
      <c r="S194" s="342"/>
      <c r="T194" s="342"/>
      <c r="U194" s="342"/>
      <c r="V194" s="342"/>
    </row>
    <row r="195" spans="3:22" s="273" customFormat="1" ht="14.1" hidden="1" customHeight="1" outlineLevel="1" x14ac:dyDescent="0.2">
      <c r="C195" s="342"/>
      <c r="D195" s="342"/>
      <c r="E195" s="342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R195" s="342"/>
      <c r="S195" s="342"/>
      <c r="T195" s="342"/>
      <c r="U195" s="342"/>
      <c r="V195" s="342"/>
    </row>
    <row r="196" spans="3:22" s="273" customFormat="1" ht="14.1" hidden="1" customHeight="1" outlineLevel="1" x14ac:dyDescent="0.2"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</row>
    <row r="197" spans="3:22" s="273" customFormat="1" ht="14.1" hidden="1" customHeight="1" outlineLevel="1" x14ac:dyDescent="0.2">
      <c r="C197" s="342"/>
      <c r="D197" s="342"/>
      <c r="E197" s="342"/>
      <c r="F197" s="342"/>
      <c r="G197" s="342"/>
      <c r="H197" s="342"/>
      <c r="I197" s="342"/>
      <c r="J197" s="342"/>
      <c r="K197" s="342"/>
      <c r="L197" s="342"/>
      <c r="M197" s="342"/>
      <c r="N197" s="342"/>
      <c r="O197" s="342"/>
      <c r="P197" s="342"/>
      <c r="Q197" s="342"/>
      <c r="R197" s="342"/>
      <c r="S197" s="342"/>
      <c r="T197" s="342"/>
      <c r="U197" s="342"/>
      <c r="V197" s="342"/>
    </row>
    <row r="198" spans="3:22" s="273" customFormat="1" ht="14.1" hidden="1" customHeight="1" outlineLevel="1" x14ac:dyDescent="0.2">
      <c r="C198" s="342"/>
      <c r="D198" s="342"/>
      <c r="E198" s="342"/>
      <c r="F198" s="342"/>
      <c r="G198" s="342"/>
      <c r="H198" s="342"/>
      <c r="I198" s="342"/>
      <c r="J198" s="342"/>
      <c r="K198" s="342"/>
      <c r="L198" s="342"/>
      <c r="M198" s="342"/>
      <c r="N198" s="342"/>
      <c r="O198" s="342"/>
      <c r="P198" s="342"/>
      <c r="Q198" s="342"/>
      <c r="R198" s="342"/>
      <c r="S198" s="342"/>
      <c r="T198" s="342"/>
      <c r="U198" s="342"/>
      <c r="V198" s="342"/>
    </row>
    <row r="199" spans="3:22" s="273" customFormat="1" ht="14.1" hidden="1" customHeight="1" outlineLevel="1" x14ac:dyDescent="0.2">
      <c r="C199" s="342"/>
      <c r="D199" s="342"/>
      <c r="E199" s="342"/>
      <c r="F199" s="342"/>
      <c r="G199" s="342"/>
      <c r="H199" s="342"/>
      <c r="I199" s="342"/>
      <c r="J199" s="342"/>
      <c r="K199" s="342"/>
      <c r="L199" s="342"/>
      <c r="M199" s="342"/>
      <c r="N199" s="342"/>
      <c r="O199" s="342"/>
      <c r="P199" s="342"/>
      <c r="Q199" s="342"/>
      <c r="R199" s="342"/>
      <c r="S199" s="342"/>
      <c r="T199" s="342"/>
      <c r="U199" s="342"/>
      <c r="V199" s="342"/>
    </row>
    <row r="200" spans="3:22" s="273" customFormat="1" ht="14.1" hidden="1" customHeight="1" outlineLevel="1" x14ac:dyDescent="0.2">
      <c r="C200" s="342"/>
      <c r="D200" s="342"/>
      <c r="E200" s="342"/>
      <c r="F200" s="342"/>
      <c r="G200" s="342"/>
      <c r="H200" s="342"/>
      <c r="I200" s="342"/>
      <c r="J200" s="342"/>
      <c r="K200" s="342"/>
      <c r="L200" s="342"/>
      <c r="M200" s="342"/>
      <c r="N200" s="342"/>
      <c r="O200" s="342"/>
      <c r="P200" s="342"/>
      <c r="Q200" s="342"/>
      <c r="R200" s="342"/>
      <c r="S200" s="342"/>
      <c r="T200" s="342"/>
      <c r="U200" s="342"/>
      <c r="V200" s="342"/>
    </row>
    <row r="201" spans="3:22" s="273" customFormat="1" ht="14.1" hidden="1" customHeight="1" outlineLevel="1" x14ac:dyDescent="0.2">
      <c r="C201" s="342"/>
      <c r="D201" s="342"/>
      <c r="E201" s="342"/>
      <c r="F201" s="342"/>
      <c r="G201" s="342"/>
      <c r="H201" s="342"/>
      <c r="I201" s="342"/>
      <c r="J201" s="342"/>
      <c r="K201" s="342"/>
      <c r="L201" s="342"/>
      <c r="M201" s="342"/>
      <c r="N201" s="342"/>
      <c r="O201" s="342"/>
      <c r="P201" s="342"/>
      <c r="Q201" s="342"/>
      <c r="R201" s="342"/>
      <c r="S201" s="342"/>
      <c r="T201" s="342"/>
      <c r="U201" s="342"/>
      <c r="V201" s="342"/>
    </row>
    <row r="202" spans="3:22" s="273" customFormat="1" ht="14.1" hidden="1" customHeight="1" outlineLevel="1" x14ac:dyDescent="0.2">
      <c r="C202" s="342"/>
      <c r="D202" s="342"/>
      <c r="E202" s="342"/>
      <c r="F202" s="342"/>
      <c r="G202" s="342"/>
      <c r="H202" s="342"/>
      <c r="I202" s="342"/>
      <c r="J202" s="342"/>
      <c r="K202" s="342"/>
      <c r="L202" s="342"/>
      <c r="M202" s="342"/>
      <c r="N202" s="342"/>
      <c r="O202" s="342"/>
      <c r="P202" s="342"/>
      <c r="Q202" s="342"/>
      <c r="R202" s="342"/>
      <c r="S202" s="342"/>
      <c r="T202" s="342"/>
      <c r="U202" s="342"/>
      <c r="V202" s="342"/>
    </row>
    <row r="203" spans="3:22" s="273" customFormat="1" ht="14.1" hidden="1" customHeight="1" outlineLevel="1" x14ac:dyDescent="0.2">
      <c r="C203" s="342"/>
      <c r="D203" s="342"/>
      <c r="E203" s="342"/>
      <c r="F203" s="342"/>
      <c r="G203" s="342"/>
      <c r="H203" s="342"/>
      <c r="I203" s="342"/>
      <c r="J203" s="342"/>
      <c r="K203" s="342"/>
      <c r="L203" s="342"/>
      <c r="M203" s="342"/>
      <c r="N203" s="342"/>
      <c r="O203" s="342"/>
      <c r="P203" s="342"/>
      <c r="Q203" s="342"/>
      <c r="R203" s="342"/>
      <c r="S203" s="342"/>
      <c r="T203" s="342"/>
      <c r="U203" s="342"/>
      <c r="V203" s="342"/>
    </row>
    <row r="204" spans="3:22" s="273" customFormat="1" ht="14.1" hidden="1" customHeight="1" outlineLevel="1" x14ac:dyDescent="0.2">
      <c r="C204" s="342"/>
      <c r="D204" s="342"/>
      <c r="E204" s="342"/>
      <c r="F204" s="342"/>
      <c r="G204" s="342"/>
      <c r="H204" s="342"/>
      <c r="I204" s="342"/>
      <c r="J204" s="342"/>
      <c r="K204" s="342"/>
      <c r="L204" s="342"/>
      <c r="M204" s="342"/>
      <c r="N204" s="342"/>
      <c r="O204" s="342"/>
      <c r="P204" s="342"/>
      <c r="Q204" s="342"/>
      <c r="R204" s="342"/>
      <c r="S204" s="342"/>
      <c r="T204" s="342"/>
      <c r="U204" s="342"/>
      <c r="V204" s="342"/>
    </row>
    <row r="205" spans="3:22" s="273" customFormat="1" ht="14.1" hidden="1" customHeight="1" outlineLevel="1" x14ac:dyDescent="0.2">
      <c r="C205" s="342"/>
      <c r="D205" s="342"/>
      <c r="E205" s="342"/>
      <c r="F205" s="342"/>
      <c r="G205" s="342"/>
      <c r="H205" s="342"/>
      <c r="I205" s="342"/>
      <c r="J205" s="342"/>
      <c r="K205" s="342"/>
      <c r="L205" s="342"/>
      <c r="M205" s="342"/>
      <c r="N205" s="342"/>
      <c r="O205" s="342"/>
      <c r="P205" s="342"/>
      <c r="Q205" s="342"/>
      <c r="R205" s="342"/>
      <c r="S205" s="342"/>
      <c r="T205" s="342"/>
      <c r="U205" s="342"/>
      <c r="V205" s="342"/>
    </row>
    <row r="206" spans="3:22" s="273" customFormat="1" ht="14.1" hidden="1" customHeight="1" outlineLevel="1" x14ac:dyDescent="0.2">
      <c r="C206" s="342"/>
      <c r="D206" s="342"/>
      <c r="E206" s="342"/>
      <c r="F206" s="342"/>
      <c r="G206" s="342"/>
      <c r="H206" s="342"/>
      <c r="I206" s="342"/>
      <c r="J206" s="342"/>
      <c r="K206" s="342"/>
      <c r="L206" s="342"/>
      <c r="M206" s="342"/>
      <c r="N206" s="342"/>
      <c r="O206" s="342"/>
      <c r="P206" s="342"/>
      <c r="Q206" s="342"/>
      <c r="R206" s="342"/>
      <c r="S206" s="342"/>
      <c r="T206" s="342"/>
      <c r="U206" s="342"/>
      <c r="V206" s="342"/>
    </row>
    <row r="207" spans="3:22" s="273" customFormat="1" ht="14.1" hidden="1" customHeight="1" outlineLevel="1" x14ac:dyDescent="0.2">
      <c r="C207" s="342"/>
      <c r="D207" s="342"/>
      <c r="E207" s="342"/>
      <c r="F207" s="342"/>
      <c r="G207" s="342"/>
      <c r="H207" s="342"/>
      <c r="I207" s="342"/>
      <c r="J207" s="342"/>
      <c r="K207" s="342"/>
      <c r="L207" s="342"/>
      <c r="M207" s="342"/>
      <c r="N207" s="342"/>
      <c r="O207" s="342"/>
      <c r="P207" s="342"/>
      <c r="Q207" s="342"/>
      <c r="R207" s="342"/>
      <c r="S207" s="342"/>
      <c r="T207" s="342"/>
      <c r="U207" s="342"/>
      <c r="V207" s="342"/>
    </row>
    <row r="208" spans="3:22" s="273" customFormat="1" ht="14.1" hidden="1" customHeight="1" outlineLevel="1" x14ac:dyDescent="0.2">
      <c r="C208" s="342"/>
      <c r="D208" s="342"/>
      <c r="E208" s="342"/>
      <c r="F208" s="342"/>
      <c r="G208" s="342"/>
      <c r="H208" s="342"/>
      <c r="I208" s="342"/>
      <c r="J208" s="342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</row>
    <row r="209" spans="3:22" s="273" customFormat="1" ht="14.1" hidden="1" customHeight="1" outlineLevel="1" x14ac:dyDescent="0.2">
      <c r="C209" s="342"/>
      <c r="D209" s="342"/>
      <c r="E209" s="342"/>
      <c r="F209" s="342"/>
      <c r="G209" s="342"/>
      <c r="H209" s="342"/>
      <c r="I209" s="342"/>
      <c r="J209" s="342"/>
      <c r="K209" s="342"/>
      <c r="L209" s="342"/>
      <c r="M209" s="342"/>
      <c r="N209" s="342"/>
      <c r="O209" s="342"/>
      <c r="P209" s="342"/>
      <c r="Q209" s="342"/>
      <c r="R209" s="342"/>
      <c r="S209" s="342"/>
      <c r="T209" s="342"/>
      <c r="U209" s="342"/>
      <c r="V209" s="342"/>
    </row>
    <row r="210" spans="3:22" s="273" customFormat="1" ht="14.1" hidden="1" customHeight="1" outlineLevel="1" x14ac:dyDescent="0.2">
      <c r="C210" s="342"/>
      <c r="D210" s="342"/>
      <c r="E210" s="342"/>
      <c r="F210" s="342"/>
      <c r="G210" s="342"/>
      <c r="H210" s="342"/>
      <c r="I210" s="342"/>
      <c r="J210" s="342"/>
      <c r="K210" s="342"/>
      <c r="L210" s="342"/>
      <c r="M210" s="342"/>
      <c r="N210" s="342"/>
      <c r="O210" s="342"/>
      <c r="P210" s="342"/>
      <c r="Q210" s="342"/>
      <c r="R210" s="342"/>
      <c r="S210" s="342"/>
      <c r="T210" s="342"/>
      <c r="U210" s="342"/>
      <c r="V210" s="342"/>
    </row>
    <row r="211" spans="3:22" s="273" customFormat="1" ht="14.1" hidden="1" customHeight="1" outlineLevel="1" x14ac:dyDescent="0.2">
      <c r="C211" s="342"/>
      <c r="D211" s="342"/>
      <c r="E211" s="342"/>
      <c r="F211" s="342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2"/>
    </row>
    <row r="212" spans="3:22" s="273" customFormat="1" ht="14.1" hidden="1" customHeight="1" outlineLevel="1" x14ac:dyDescent="0.2">
      <c r="C212" s="342"/>
      <c r="D212" s="342"/>
      <c r="E212" s="342"/>
      <c r="F212" s="342"/>
      <c r="G212" s="342"/>
      <c r="H212" s="342"/>
      <c r="I212" s="342"/>
      <c r="J212" s="342"/>
      <c r="K212" s="342"/>
      <c r="L212" s="342"/>
      <c r="M212" s="342"/>
      <c r="N212" s="342"/>
      <c r="O212" s="342"/>
      <c r="P212" s="342"/>
      <c r="Q212" s="342"/>
      <c r="R212" s="342"/>
      <c r="S212" s="342"/>
      <c r="T212" s="342"/>
      <c r="U212" s="342"/>
      <c r="V212" s="342"/>
    </row>
    <row r="213" spans="3:22" s="273" customFormat="1" ht="14.1" hidden="1" customHeight="1" outlineLevel="1" x14ac:dyDescent="0.2">
      <c r="C213" s="342"/>
      <c r="D213" s="342"/>
      <c r="E213" s="342"/>
      <c r="F213" s="342"/>
      <c r="G213" s="342"/>
      <c r="H213" s="342"/>
      <c r="I213" s="342"/>
      <c r="J213" s="342"/>
      <c r="K213" s="342"/>
      <c r="L213" s="342"/>
      <c r="M213" s="342"/>
      <c r="N213" s="342"/>
      <c r="O213" s="342"/>
      <c r="P213" s="342"/>
      <c r="Q213" s="342"/>
      <c r="R213" s="342"/>
      <c r="S213" s="342"/>
      <c r="T213" s="342"/>
      <c r="U213" s="342"/>
      <c r="V213" s="342"/>
    </row>
    <row r="214" spans="3:22" s="273" customFormat="1" ht="14.1" hidden="1" customHeight="1" outlineLevel="1" x14ac:dyDescent="0.2">
      <c r="C214" s="342"/>
      <c r="D214" s="342"/>
      <c r="E214" s="342"/>
      <c r="F214" s="342"/>
      <c r="G214" s="342"/>
      <c r="H214" s="342"/>
      <c r="I214" s="342"/>
      <c r="J214" s="342"/>
      <c r="K214" s="342"/>
      <c r="L214" s="342"/>
      <c r="M214" s="342"/>
      <c r="N214" s="342"/>
      <c r="O214" s="342"/>
      <c r="P214" s="342"/>
      <c r="Q214" s="342"/>
      <c r="R214" s="342"/>
      <c r="S214" s="342"/>
      <c r="T214" s="342"/>
      <c r="U214" s="342"/>
      <c r="V214" s="342"/>
    </row>
    <row r="215" spans="3:22" s="273" customFormat="1" ht="14.1" hidden="1" customHeight="1" outlineLevel="1" x14ac:dyDescent="0.2">
      <c r="C215" s="342"/>
      <c r="D215" s="342"/>
      <c r="E215" s="342"/>
      <c r="F215" s="342"/>
      <c r="G215" s="342"/>
      <c r="H215" s="342"/>
      <c r="I215" s="342"/>
      <c r="J215" s="342"/>
      <c r="K215" s="342"/>
      <c r="L215" s="342"/>
      <c r="M215" s="342"/>
      <c r="N215" s="342"/>
      <c r="O215" s="342"/>
      <c r="P215" s="342"/>
      <c r="Q215" s="342"/>
      <c r="R215" s="342"/>
      <c r="S215" s="342"/>
      <c r="T215" s="342"/>
      <c r="U215" s="342"/>
      <c r="V215" s="342"/>
    </row>
    <row r="216" spans="3:22" s="273" customFormat="1" ht="14.1" hidden="1" customHeight="1" outlineLevel="1" x14ac:dyDescent="0.2">
      <c r="C216" s="342"/>
      <c r="D216" s="342"/>
      <c r="E216" s="342"/>
      <c r="F216" s="342"/>
      <c r="G216" s="342"/>
      <c r="H216" s="342"/>
      <c r="I216" s="342"/>
      <c r="J216" s="342"/>
      <c r="K216" s="342"/>
      <c r="L216" s="342"/>
      <c r="M216" s="342"/>
      <c r="N216" s="342"/>
      <c r="O216" s="342"/>
      <c r="P216" s="342"/>
      <c r="Q216" s="342"/>
      <c r="R216" s="342"/>
      <c r="S216" s="342"/>
      <c r="T216" s="342"/>
      <c r="U216" s="342"/>
      <c r="V216" s="342"/>
    </row>
    <row r="217" spans="3:22" s="273" customFormat="1" ht="14.1" hidden="1" customHeight="1" outlineLevel="1" x14ac:dyDescent="0.2">
      <c r="C217" s="342"/>
      <c r="D217" s="342"/>
      <c r="E217" s="342"/>
      <c r="F217" s="342"/>
      <c r="G217" s="342"/>
      <c r="H217" s="342"/>
      <c r="I217" s="342"/>
      <c r="J217" s="342"/>
      <c r="K217" s="342"/>
      <c r="L217" s="342"/>
      <c r="M217" s="342"/>
      <c r="N217" s="342"/>
      <c r="O217" s="342"/>
      <c r="P217" s="342"/>
      <c r="Q217" s="342"/>
      <c r="R217" s="342"/>
      <c r="S217" s="342"/>
      <c r="T217" s="342"/>
      <c r="U217" s="342"/>
      <c r="V217" s="342"/>
    </row>
    <row r="218" spans="3:22" s="273" customFormat="1" ht="14.1" hidden="1" customHeight="1" outlineLevel="1" x14ac:dyDescent="0.2">
      <c r="C218" s="342"/>
      <c r="D218" s="342"/>
      <c r="E218" s="342"/>
      <c r="F218" s="342"/>
      <c r="G218" s="342"/>
      <c r="H218" s="342"/>
      <c r="I218" s="342"/>
      <c r="J218" s="342"/>
      <c r="K218" s="342"/>
      <c r="L218" s="342"/>
      <c r="M218" s="342"/>
      <c r="N218" s="342"/>
      <c r="O218" s="342"/>
      <c r="P218" s="342"/>
      <c r="Q218" s="342"/>
      <c r="R218" s="342"/>
      <c r="S218" s="342"/>
      <c r="T218" s="342"/>
      <c r="U218" s="342"/>
      <c r="V218" s="342"/>
    </row>
    <row r="219" spans="3:22" s="273" customFormat="1" ht="14.1" hidden="1" customHeight="1" outlineLevel="1" x14ac:dyDescent="0.2">
      <c r="C219" s="342"/>
      <c r="D219" s="342"/>
      <c r="E219" s="342"/>
      <c r="F219" s="342"/>
      <c r="G219" s="342"/>
      <c r="H219" s="342"/>
      <c r="I219" s="342"/>
      <c r="J219" s="342"/>
      <c r="K219" s="342"/>
      <c r="L219" s="342"/>
      <c r="M219" s="342"/>
      <c r="N219" s="342"/>
      <c r="O219" s="342"/>
      <c r="P219" s="342"/>
      <c r="Q219" s="342"/>
      <c r="R219" s="342"/>
      <c r="S219" s="342"/>
      <c r="T219" s="342"/>
      <c r="U219" s="342"/>
      <c r="V219" s="342"/>
    </row>
    <row r="220" spans="3:22" s="273" customFormat="1" ht="14.1" hidden="1" customHeight="1" outlineLevel="1" x14ac:dyDescent="0.2">
      <c r="C220" s="342"/>
      <c r="D220" s="342"/>
      <c r="E220" s="342"/>
      <c r="F220" s="342"/>
      <c r="G220" s="342"/>
      <c r="H220" s="342"/>
      <c r="I220" s="342"/>
      <c r="J220" s="342"/>
      <c r="K220" s="342"/>
      <c r="L220" s="342"/>
      <c r="M220" s="342"/>
      <c r="N220" s="342"/>
      <c r="O220" s="342"/>
      <c r="P220" s="342"/>
      <c r="Q220" s="342"/>
      <c r="R220" s="342"/>
      <c r="S220" s="342"/>
      <c r="T220" s="342"/>
      <c r="U220" s="342"/>
      <c r="V220" s="342"/>
    </row>
    <row r="221" spans="3:22" s="273" customFormat="1" ht="14.1" hidden="1" customHeight="1" outlineLevel="1" x14ac:dyDescent="0.2">
      <c r="C221" s="342"/>
      <c r="D221" s="342"/>
      <c r="E221" s="342"/>
      <c r="F221" s="342"/>
      <c r="G221" s="342"/>
      <c r="H221" s="342"/>
      <c r="I221" s="342"/>
      <c r="J221" s="342"/>
      <c r="K221" s="342"/>
      <c r="L221" s="342"/>
      <c r="M221" s="342"/>
      <c r="N221" s="342"/>
      <c r="O221" s="342"/>
      <c r="P221" s="342"/>
      <c r="Q221" s="342"/>
      <c r="R221" s="342"/>
      <c r="S221" s="342"/>
      <c r="T221" s="342"/>
      <c r="U221" s="342"/>
      <c r="V221" s="342"/>
    </row>
    <row r="222" spans="3:22" s="273" customFormat="1" ht="14.1" hidden="1" customHeight="1" outlineLevel="1" x14ac:dyDescent="0.2">
      <c r="C222" s="342"/>
      <c r="D222" s="342"/>
      <c r="E222" s="342"/>
      <c r="F222" s="342"/>
      <c r="G222" s="342"/>
      <c r="H222" s="342"/>
      <c r="I222" s="342"/>
      <c r="J222" s="342"/>
      <c r="K222" s="342"/>
      <c r="L222" s="342"/>
      <c r="M222" s="342"/>
      <c r="N222" s="342"/>
      <c r="O222" s="342"/>
      <c r="P222" s="342"/>
      <c r="Q222" s="342"/>
      <c r="R222" s="342"/>
      <c r="S222" s="342"/>
      <c r="T222" s="342"/>
      <c r="U222" s="342"/>
      <c r="V222" s="342"/>
    </row>
    <row r="223" spans="3:22" s="273" customFormat="1" ht="14.1" hidden="1" customHeight="1" outlineLevel="1" x14ac:dyDescent="0.2">
      <c r="C223" s="342"/>
      <c r="D223" s="342"/>
      <c r="E223" s="342"/>
      <c r="F223" s="342"/>
      <c r="G223" s="342"/>
      <c r="H223" s="342"/>
      <c r="I223" s="342"/>
      <c r="J223" s="342"/>
      <c r="K223" s="342"/>
      <c r="L223" s="342"/>
      <c r="M223" s="342"/>
      <c r="N223" s="342"/>
      <c r="O223" s="342"/>
      <c r="P223" s="342"/>
      <c r="Q223" s="342"/>
      <c r="R223" s="342"/>
      <c r="S223" s="342"/>
      <c r="T223" s="342"/>
      <c r="U223" s="342"/>
      <c r="V223" s="342"/>
    </row>
    <row r="224" spans="3:22" s="273" customFormat="1" ht="14.1" hidden="1" customHeight="1" outlineLevel="1" x14ac:dyDescent="0.2">
      <c r="C224" s="342"/>
      <c r="D224" s="342"/>
      <c r="E224" s="342"/>
      <c r="F224" s="342"/>
      <c r="G224" s="342"/>
      <c r="H224" s="342"/>
      <c r="I224" s="342"/>
      <c r="J224" s="342"/>
      <c r="K224" s="342"/>
      <c r="L224" s="342"/>
      <c r="M224" s="342"/>
      <c r="N224" s="342"/>
      <c r="O224" s="342"/>
      <c r="P224" s="342"/>
      <c r="Q224" s="342"/>
      <c r="R224" s="342"/>
      <c r="S224" s="342"/>
      <c r="T224" s="342"/>
      <c r="U224" s="342"/>
      <c r="V224" s="342"/>
    </row>
    <row r="225" spans="3:22" s="273" customFormat="1" ht="14.1" hidden="1" customHeight="1" outlineLevel="1" x14ac:dyDescent="0.2">
      <c r="C225" s="342"/>
      <c r="D225" s="342"/>
      <c r="E225" s="342"/>
      <c r="F225" s="342"/>
      <c r="G225" s="342"/>
      <c r="H225" s="342"/>
      <c r="I225" s="342"/>
      <c r="J225" s="342"/>
      <c r="K225" s="342"/>
      <c r="L225" s="342"/>
      <c r="M225" s="342"/>
      <c r="N225" s="342"/>
      <c r="O225" s="342"/>
      <c r="P225" s="342"/>
      <c r="Q225" s="342"/>
      <c r="R225" s="342"/>
      <c r="S225" s="342"/>
      <c r="T225" s="342"/>
      <c r="U225" s="342"/>
      <c r="V225" s="342"/>
    </row>
    <row r="226" spans="3:22" s="273" customFormat="1" ht="14.1" hidden="1" customHeight="1" outlineLevel="1" x14ac:dyDescent="0.2">
      <c r="C226" s="342"/>
      <c r="D226" s="342"/>
      <c r="E226" s="342"/>
      <c r="F226" s="342"/>
      <c r="G226" s="342"/>
      <c r="H226" s="342"/>
      <c r="I226" s="342"/>
      <c r="J226" s="342"/>
      <c r="K226" s="342"/>
      <c r="L226" s="342"/>
      <c r="M226" s="342"/>
      <c r="N226" s="342"/>
      <c r="O226" s="342"/>
      <c r="P226" s="342"/>
      <c r="Q226" s="342"/>
      <c r="R226" s="342"/>
      <c r="S226" s="342"/>
      <c r="T226" s="342"/>
      <c r="U226" s="342"/>
      <c r="V226" s="342"/>
    </row>
    <row r="227" spans="3:22" s="273" customFormat="1" ht="14.1" hidden="1" customHeight="1" outlineLevel="1" x14ac:dyDescent="0.2">
      <c r="C227" s="342"/>
      <c r="D227" s="342"/>
      <c r="E227" s="342"/>
      <c r="F227" s="342"/>
      <c r="G227" s="342"/>
      <c r="H227" s="342"/>
      <c r="I227" s="342"/>
      <c r="J227" s="342"/>
      <c r="K227" s="342"/>
      <c r="L227" s="342"/>
      <c r="M227" s="342"/>
      <c r="N227" s="342"/>
      <c r="O227" s="342"/>
      <c r="P227" s="342"/>
      <c r="Q227" s="342"/>
      <c r="R227" s="342"/>
      <c r="S227" s="342"/>
      <c r="T227" s="342"/>
      <c r="U227" s="342"/>
      <c r="V227" s="342"/>
    </row>
    <row r="228" spans="3:22" s="273" customFormat="1" ht="14.1" hidden="1" customHeight="1" outlineLevel="1" x14ac:dyDescent="0.2">
      <c r="C228" s="342"/>
      <c r="D228" s="342"/>
      <c r="E228" s="342"/>
      <c r="F228" s="342"/>
      <c r="G228" s="342"/>
      <c r="H228" s="342"/>
      <c r="I228" s="342"/>
      <c r="J228" s="342"/>
      <c r="K228" s="342"/>
      <c r="L228" s="342"/>
      <c r="M228" s="342"/>
      <c r="N228" s="342"/>
      <c r="O228" s="342"/>
      <c r="P228" s="342"/>
      <c r="Q228" s="342"/>
      <c r="R228" s="342"/>
      <c r="S228" s="342"/>
      <c r="T228" s="342"/>
      <c r="U228" s="342"/>
      <c r="V228" s="342"/>
    </row>
    <row r="229" spans="3:22" s="273" customFormat="1" ht="14.1" hidden="1" customHeight="1" outlineLevel="1" x14ac:dyDescent="0.2">
      <c r="C229" s="342"/>
      <c r="D229" s="342"/>
      <c r="E229" s="342"/>
      <c r="F229" s="342"/>
      <c r="G229" s="342"/>
      <c r="H229" s="342"/>
      <c r="I229" s="342"/>
      <c r="J229" s="342"/>
      <c r="K229" s="342"/>
      <c r="L229" s="342"/>
      <c r="M229" s="342"/>
      <c r="N229" s="342"/>
      <c r="O229" s="342"/>
      <c r="P229" s="342"/>
      <c r="Q229" s="342"/>
      <c r="R229" s="342"/>
      <c r="S229" s="342"/>
      <c r="T229" s="342"/>
      <c r="U229" s="342"/>
      <c r="V229" s="342"/>
    </row>
    <row r="230" spans="3:22" s="273" customFormat="1" ht="14.1" hidden="1" customHeight="1" outlineLevel="1" x14ac:dyDescent="0.2">
      <c r="C230" s="342"/>
      <c r="D230" s="342"/>
      <c r="E230" s="342"/>
      <c r="F230" s="342"/>
      <c r="G230" s="342"/>
      <c r="H230" s="342"/>
      <c r="I230" s="342"/>
      <c r="J230" s="342"/>
      <c r="K230" s="342"/>
      <c r="L230" s="342"/>
      <c r="M230" s="342"/>
      <c r="N230" s="342"/>
      <c r="O230" s="342"/>
      <c r="P230" s="342"/>
      <c r="Q230" s="342"/>
      <c r="R230" s="342"/>
      <c r="S230" s="342"/>
      <c r="T230" s="342"/>
      <c r="U230" s="342"/>
      <c r="V230" s="342"/>
    </row>
    <row r="231" spans="3:22" s="273" customFormat="1" ht="14.1" hidden="1" customHeight="1" outlineLevel="1" x14ac:dyDescent="0.2">
      <c r="C231" s="342"/>
      <c r="D231" s="342"/>
      <c r="E231" s="342"/>
      <c r="F231" s="342"/>
      <c r="G231" s="342"/>
      <c r="H231" s="342"/>
      <c r="I231" s="342"/>
      <c r="J231" s="342"/>
      <c r="K231" s="342"/>
      <c r="L231" s="342"/>
      <c r="M231" s="342"/>
      <c r="N231" s="342"/>
      <c r="O231" s="342"/>
      <c r="P231" s="342"/>
      <c r="Q231" s="342"/>
      <c r="R231" s="342"/>
      <c r="S231" s="342"/>
      <c r="T231" s="342"/>
      <c r="U231" s="342"/>
      <c r="V231" s="342"/>
    </row>
    <row r="232" spans="3:22" s="273" customFormat="1" ht="14.1" hidden="1" customHeight="1" outlineLevel="1" x14ac:dyDescent="0.2">
      <c r="C232" s="342"/>
      <c r="D232" s="342"/>
      <c r="E232" s="342"/>
      <c r="F232" s="342"/>
      <c r="G232" s="342"/>
      <c r="H232" s="342"/>
      <c r="I232" s="342"/>
      <c r="J232" s="342"/>
      <c r="K232" s="342"/>
      <c r="L232" s="342"/>
      <c r="M232" s="342"/>
      <c r="N232" s="342"/>
      <c r="O232" s="342"/>
      <c r="P232" s="342"/>
      <c r="Q232" s="342"/>
      <c r="R232" s="342"/>
      <c r="S232" s="342"/>
      <c r="T232" s="342"/>
      <c r="U232" s="342"/>
      <c r="V232" s="342"/>
    </row>
    <row r="233" spans="3:22" s="273" customFormat="1" ht="14.1" hidden="1" customHeight="1" outlineLevel="1" x14ac:dyDescent="0.2">
      <c r="C233" s="342"/>
      <c r="D233" s="342"/>
      <c r="E233" s="342"/>
      <c r="F233" s="342"/>
      <c r="G233" s="342"/>
      <c r="H233" s="342"/>
      <c r="I233" s="342"/>
      <c r="J233" s="342"/>
      <c r="K233" s="342"/>
      <c r="L233" s="342"/>
      <c r="M233" s="342"/>
      <c r="N233" s="342"/>
      <c r="O233" s="342"/>
      <c r="P233" s="342"/>
      <c r="Q233" s="342"/>
      <c r="R233" s="342"/>
      <c r="S233" s="342"/>
      <c r="T233" s="342"/>
      <c r="U233" s="342"/>
      <c r="V233" s="342"/>
    </row>
    <row r="234" spans="3:22" s="273" customFormat="1" ht="14.1" hidden="1" customHeight="1" outlineLevel="1" x14ac:dyDescent="0.2">
      <c r="C234" s="342"/>
      <c r="D234" s="342"/>
      <c r="E234" s="342"/>
      <c r="F234" s="342"/>
      <c r="G234" s="342"/>
      <c r="H234" s="342"/>
      <c r="I234" s="342"/>
      <c r="J234" s="342"/>
      <c r="K234" s="342"/>
      <c r="L234" s="342"/>
      <c r="M234" s="342"/>
      <c r="N234" s="342"/>
      <c r="O234" s="342"/>
      <c r="P234" s="342"/>
      <c r="Q234" s="342"/>
      <c r="R234" s="342"/>
      <c r="S234" s="342"/>
      <c r="T234" s="342"/>
      <c r="U234" s="342"/>
      <c r="V234" s="342"/>
    </row>
    <row r="235" spans="3:22" s="273" customFormat="1" ht="14.1" hidden="1" customHeight="1" outlineLevel="1" x14ac:dyDescent="0.2">
      <c r="C235" s="342"/>
      <c r="D235" s="342"/>
      <c r="E235" s="342"/>
      <c r="F235" s="342"/>
      <c r="G235" s="342"/>
      <c r="H235" s="342"/>
      <c r="I235" s="342"/>
      <c r="J235" s="342"/>
      <c r="K235" s="342"/>
      <c r="L235" s="342"/>
      <c r="M235" s="342"/>
      <c r="N235" s="342"/>
      <c r="O235" s="342"/>
      <c r="P235" s="342"/>
      <c r="Q235" s="342"/>
      <c r="R235" s="342"/>
      <c r="S235" s="342"/>
      <c r="T235" s="342"/>
      <c r="U235" s="342"/>
      <c r="V235" s="342"/>
    </row>
    <row r="236" spans="3:22" s="273" customFormat="1" ht="14.1" hidden="1" customHeight="1" outlineLevel="1" x14ac:dyDescent="0.2">
      <c r="C236" s="342"/>
      <c r="D236" s="342"/>
      <c r="E236" s="342"/>
      <c r="F236" s="342"/>
      <c r="G236" s="342"/>
      <c r="H236" s="342"/>
      <c r="I236" s="342"/>
      <c r="J236" s="342"/>
      <c r="K236" s="342"/>
      <c r="L236" s="342"/>
      <c r="M236" s="342"/>
      <c r="N236" s="342"/>
      <c r="O236" s="342"/>
      <c r="P236" s="342"/>
      <c r="Q236" s="342"/>
      <c r="R236" s="342"/>
      <c r="S236" s="342"/>
      <c r="T236" s="342"/>
      <c r="U236" s="342"/>
      <c r="V236" s="342"/>
    </row>
    <row r="237" spans="3:22" s="273" customFormat="1" ht="14.1" hidden="1" customHeight="1" outlineLevel="1" x14ac:dyDescent="0.2">
      <c r="C237" s="342"/>
      <c r="D237" s="342"/>
      <c r="E237" s="342"/>
      <c r="F237" s="342"/>
      <c r="G237" s="342"/>
      <c r="H237" s="342"/>
      <c r="I237" s="342"/>
      <c r="J237" s="342"/>
      <c r="K237" s="342"/>
      <c r="L237" s="342"/>
      <c r="M237" s="342"/>
      <c r="N237" s="342"/>
      <c r="O237" s="342"/>
      <c r="P237" s="342"/>
      <c r="Q237" s="342"/>
      <c r="R237" s="342"/>
      <c r="S237" s="342"/>
      <c r="T237" s="342"/>
      <c r="U237" s="342"/>
      <c r="V237" s="342"/>
    </row>
    <row r="238" spans="3:22" s="273" customFormat="1" ht="14.1" hidden="1" customHeight="1" outlineLevel="1" x14ac:dyDescent="0.2">
      <c r="C238" s="342"/>
      <c r="D238" s="342"/>
      <c r="E238" s="342"/>
      <c r="F238" s="342"/>
      <c r="G238" s="342"/>
      <c r="H238" s="342"/>
      <c r="I238" s="342"/>
      <c r="J238" s="342"/>
      <c r="K238" s="342"/>
      <c r="L238" s="342"/>
      <c r="M238" s="342"/>
      <c r="N238" s="342"/>
      <c r="O238" s="342"/>
      <c r="P238" s="342"/>
      <c r="Q238" s="342"/>
      <c r="R238" s="342"/>
      <c r="S238" s="342"/>
      <c r="T238" s="342"/>
      <c r="U238" s="342"/>
      <c r="V238" s="342"/>
    </row>
    <row r="239" spans="3:22" s="273" customFormat="1" ht="14.1" hidden="1" customHeight="1" outlineLevel="1" x14ac:dyDescent="0.2">
      <c r="C239" s="342"/>
      <c r="D239" s="342"/>
      <c r="E239" s="342"/>
      <c r="F239" s="342"/>
      <c r="G239" s="342"/>
      <c r="H239" s="342"/>
      <c r="I239" s="342"/>
      <c r="J239" s="342"/>
      <c r="K239" s="342"/>
      <c r="L239" s="342"/>
      <c r="M239" s="342"/>
      <c r="N239" s="342"/>
      <c r="O239" s="342"/>
      <c r="P239" s="342"/>
      <c r="Q239" s="342"/>
      <c r="R239" s="342"/>
      <c r="S239" s="342"/>
      <c r="T239" s="342"/>
      <c r="U239" s="342"/>
      <c r="V239" s="342"/>
    </row>
    <row r="240" spans="3:22" s="273" customFormat="1" ht="14.1" hidden="1" customHeight="1" outlineLevel="1" x14ac:dyDescent="0.2">
      <c r="C240" s="342"/>
      <c r="D240" s="342"/>
      <c r="E240" s="342"/>
      <c r="F240" s="342"/>
      <c r="G240" s="342"/>
      <c r="H240" s="342"/>
      <c r="I240" s="342"/>
      <c r="J240" s="342"/>
      <c r="K240" s="342"/>
      <c r="L240" s="342"/>
      <c r="M240" s="342"/>
      <c r="N240" s="342"/>
      <c r="O240" s="342"/>
      <c r="P240" s="342"/>
      <c r="Q240" s="342"/>
      <c r="R240" s="342"/>
      <c r="S240" s="342"/>
      <c r="T240" s="342"/>
      <c r="U240" s="342"/>
      <c r="V240" s="342"/>
    </row>
    <row r="241" spans="1:22" s="273" customFormat="1" ht="14.1" hidden="1" customHeight="1" outlineLevel="1" x14ac:dyDescent="0.2">
      <c r="C241" s="342"/>
      <c r="D241" s="342"/>
      <c r="E241" s="342"/>
      <c r="F241" s="342"/>
      <c r="G241" s="342"/>
      <c r="H241" s="342"/>
      <c r="I241" s="342"/>
      <c r="J241" s="342"/>
      <c r="K241" s="342"/>
      <c r="L241" s="342"/>
      <c r="M241" s="342"/>
      <c r="N241" s="342"/>
      <c r="O241" s="342"/>
      <c r="P241" s="342"/>
      <c r="Q241" s="342"/>
      <c r="R241" s="342"/>
      <c r="S241" s="342"/>
      <c r="T241" s="342"/>
      <c r="U241" s="342"/>
      <c r="V241" s="342"/>
    </row>
    <row r="242" spans="1:22" s="273" customFormat="1" ht="14.1" hidden="1" customHeight="1" outlineLevel="1" x14ac:dyDescent="0.2">
      <c r="C242" s="342"/>
      <c r="D242" s="342"/>
      <c r="E242" s="342"/>
      <c r="F242" s="342"/>
      <c r="G242" s="342"/>
      <c r="H242" s="342"/>
      <c r="I242" s="342"/>
      <c r="J242" s="342"/>
      <c r="K242" s="342"/>
      <c r="L242" s="342"/>
      <c r="M242" s="342"/>
      <c r="N242" s="342"/>
      <c r="O242" s="342"/>
      <c r="P242" s="342"/>
      <c r="Q242" s="342"/>
      <c r="R242" s="342"/>
      <c r="S242" s="342"/>
      <c r="T242" s="342"/>
      <c r="U242" s="342"/>
      <c r="V242" s="342"/>
    </row>
    <row r="243" spans="1:22" s="273" customFormat="1" ht="14.1" hidden="1" customHeight="1" outlineLevel="1" x14ac:dyDescent="0.2">
      <c r="C243" s="342"/>
      <c r="D243" s="342"/>
      <c r="E243" s="342"/>
      <c r="F243" s="342"/>
      <c r="G243" s="342"/>
      <c r="H243" s="342"/>
      <c r="I243" s="342"/>
      <c r="J243" s="342"/>
      <c r="K243" s="342"/>
      <c r="L243" s="342"/>
      <c r="M243" s="342"/>
      <c r="N243" s="342"/>
      <c r="O243" s="342"/>
      <c r="P243" s="342"/>
      <c r="Q243" s="342"/>
      <c r="R243" s="342"/>
      <c r="S243" s="342"/>
      <c r="T243" s="342"/>
      <c r="U243" s="342"/>
      <c r="V243" s="342"/>
    </row>
    <row r="244" spans="1:22" s="273" customFormat="1" ht="14.1" hidden="1" customHeight="1" outlineLevel="1" x14ac:dyDescent="0.2">
      <c r="C244" s="342"/>
      <c r="D244" s="342"/>
      <c r="E244" s="342"/>
      <c r="F244" s="342"/>
      <c r="G244" s="342"/>
      <c r="H244" s="342"/>
      <c r="I244" s="342"/>
      <c r="J244" s="342"/>
      <c r="K244" s="342"/>
      <c r="L244" s="342"/>
      <c r="M244" s="342"/>
      <c r="N244" s="342"/>
      <c r="O244" s="342"/>
      <c r="P244" s="342"/>
      <c r="Q244" s="342"/>
      <c r="R244" s="342"/>
      <c r="S244" s="342"/>
      <c r="T244" s="342"/>
      <c r="U244" s="342"/>
      <c r="V244" s="342"/>
    </row>
    <row r="245" spans="1:22" s="273" customFormat="1" ht="14.1" hidden="1" customHeight="1" outlineLevel="1" x14ac:dyDescent="0.2">
      <c r="C245" s="342"/>
      <c r="D245" s="342"/>
      <c r="E245" s="342"/>
      <c r="F245" s="342"/>
      <c r="G245" s="342"/>
      <c r="H245" s="342"/>
      <c r="I245" s="342"/>
      <c r="J245" s="342"/>
      <c r="K245" s="342"/>
      <c r="L245" s="342"/>
      <c r="M245" s="342"/>
      <c r="N245" s="342"/>
      <c r="O245" s="342"/>
      <c r="P245" s="342"/>
      <c r="Q245" s="342"/>
      <c r="R245" s="342"/>
      <c r="S245" s="342"/>
      <c r="T245" s="342"/>
      <c r="U245" s="342"/>
      <c r="V245" s="342"/>
    </row>
    <row r="246" spans="1:22" s="273" customFormat="1" ht="14.1" hidden="1" customHeight="1" outlineLevel="1" x14ac:dyDescent="0.2">
      <c r="C246" s="342"/>
      <c r="D246" s="342"/>
      <c r="E246" s="342"/>
      <c r="F246" s="342"/>
      <c r="G246" s="342"/>
      <c r="H246" s="342"/>
      <c r="I246" s="342"/>
      <c r="J246" s="342"/>
      <c r="K246" s="342"/>
      <c r="L246" s="342"/>
      <c r="M246" s="342"/>
      <c r="N246" s="342"/>
      <c r="O246" s="342"/>
      <c r="P246" s="342"/>
      <c r="Q246" s="342"/>
      <c r="R246" s="342"/>
      <c r="S246" s="342"/>
      <c r="T246" s="342"/>
      <c r="U246" s="342"/>
      <c r="V246" s="342"/>
    </row>
    <row r="247" spans="1:22" s="273" customFormat="1" ht="14.1" hidden="1" customHeight="1" outlineLevel="1" x14ac:dyDescent="0.2">
      <c r="C247" s="342"/>
      <c r="D247" s="342"/>
      <c r="E247" s="342"/>
      <c r="F247" s="342"/>
      <c r="G247" s="342"/>
      <c r="H247" s="342"/>
      <c r="I247" s="342"/>
      <c r="J247" s="342"/>
      <c r="K247" s="342"/>
      <c r="L247" s="342"/>
      <c r="M247" s="342"/>
      <c r="N247" s="342"/>
      <c r="O247" s="342"/>
      <c r="P247" s="342"/>
      <c r="Q247" s="342"/>
      <c r="R247" s="342"/>
      <c r="S247" s="342"/>
      <c r="T247" s="342"/>
      <c r="U247" s="342"/>
      <c r="V247" s="342"/>
    </row>
    <row r="248" spans="1:22" s="273" customFormat="1" ht="14.1" hidden="1" customHeight="1" outlineLevel="1" x14ac:dyDescent="0.2">
      <c r="C248" s="342"/>
      <c r="D248" s="342"/>
      <c r="E248" s="342"/>
      <c r="F248" s="342"/>
      <c r="G248" s="342"/>
      <c r="H248" s="342"/>
      <c r="I248" s="342"/>
      <c r="J248" s="342"/>
      <c r="K248" s="342"/>
      <c r="L248" s="342"/>
      <c r="M248" s="342"/>
      <c r="N248" s="342"/>
      <c r="O248" s="342"/>
      <c r="P248" s="342"/>
      <c r="Q248" s="342"/>
      <c r="R248" s="342"/>
      <c r="S248" s="342"/>
      <c r="T248" s="342"/>
      <c r="U248" s="342"/>
      <c r="V248" s="342"/>
    </row>
    <row r="249" spans="1:22" s="273" customFormat="1" ht="14.1" hidden="1" customHeight="1" outlineLevel="1" x14ac:dyDescent="0.2">
      <c r="C249" s="342"/>
      <c r="D249" s="342"/>
      <c r="E249" s="342"/>
      <c r="F249" s="342"/>
      <c r="G249" s="342"/>
      <c r="H249" s="342"/>
      <c r="I249" s="342"/>
      <c r="J249" s="342"/>
      <c r="K249" s="342"/>
      <c r="L249" s="342"/>
      <c r="M249" s="342"/>
      <c r="N249" s="342"/>
      <c r="O249" s="342"/>
      <c r="P249" s="342"/>
      <c r="Q249" s="342"/>
      <c r="R249" s="342"/>
      <c r="S249" s="342"/>
      <c r="T249" s="342"/>
      <c r="U249" s="342"/>
      <c r="V249" s="342"/>
    </row>
    <row r="250" spans="1:22" s="273" customFormat="1" ht="14.1" hidden="1" customHeight="1" outlineLevel="1" x14ac:dyDescent="0.2">
      <c r="C250" s="342"/>
      <c r="D250" s="342"/>
      <c r="E250" s="342"/>
      <c r="F250" s="342"/>
      <c r="G250" s="342"/>
      <c r="H250" s="342"/>
      <c r="I250" s="342"/>
      <c r="J250" s="342"/>
      <c r="K250" s="342"/>
      <c r="L250" s="342"/>
      <c r="M250" s="342"/>
      <c r="N250" s="342"/>
      <c r="O250" s="342"/>
      <c r="P250" s="342"/>
      <c r="Q250" s="342"/>
      <c r="R250" s="342"/>
      <c r="S250" s="342"/>
      <c r="T250" s="342"/>
      <c r="U250" s="342"/>
      <c r="V250" s="342"/>
    </row>
    <row r="251" spans="1:22" s="273" customFormat="1" ht="14.1" customHeight="1" collapsed="1" x14ac:dyDescent="0.2"/>
    <row r="252" spans="1:22" ht="13.5" thickBot="1" x14ac:dyDescent="0.25">
      <c r="A252" s="121" t="s">
        <v>8</v>
      </c>
    </row>
    <row r="253" spans="1:22" x14ac:dyDescent="0.2">
      <c r="A253" s="128" t="str">
        <f>CONCATENATE(IF(FcCheckMoneda,"US$","S/."),IF(FcCheckIgv,"con IGV"," sin IGV"))</f>
        <v>S/. sin IGV</v>
      </c>
      <c r="B253" s="103"/>
      <c r="C253" s="104">
        <f t="shared" ref="C253:O253" si="27">C12</f>
        <v>41548</v>
      </c>
      <c r="D253" s="104">
        <f t="shared" si="27"/>
        <v>41579</v>
      </c>
      <c r="E253" s="104">
        <f t="shared" si="27"/>
        <v>41609</v>
      </c>
      <c r="F253" s="104">
        <f t="shared" si="27"/>
        <v>41640</v>
      </c>
      <c r="G253" s="104">
        <f t="shared" si="27"/>
        <v>41671</v>
      </c>
      <c r="H253" s="104">
        <f t="shared" si="27"/>
        <v>41699</v>
      </c>
      <c r="I253" s="104">
        <f t="shared" si="27"/>
        <v>41730</v>
      </c>
      <c r="J253" s="104">
        <f t="shared" si="27"/>
        <v>41760</v>
      </c>
      <c r="K253" s="104">
        <f t="shared" si="27"/>
        <v>41791</v>
      </c>
      <c r="L253" s="104">
        <f t="shared" si="27"/>
        <v>41821</v>
      </c>
      <c r="M253" s="104">
        <f t="shared" si="27"/>
        <v>41852</v>
      </c>
      <c r="N253" s="104">
        <f t="shared" si="27"/>
        <v>41883</v>
      </c>
      <c r="O253" s="105">
        <f t="shared" si="27"/>
        <v>41913</v>
      </c>
    </row>
    <row r="254" spans="1:22" x14ac:dyDescent="0.2">
      <c r="A254" s="51" t="str">
        <f>IF(FcGrafLys,A23,"")</f>
        <v>Lys</v>
      </c>
      <c r="B254" s="107"/>
      <c r="C254" s="52">
        <f t="shared" ref="C254:O254" si="28">IF(FcGrafLys,IF(FcTipoGrafico=1,C101,C23),"")</f>
        <v>0</v>
      </c>
      <c r="D254" s="52">
        <f t="shared" si="28"/>
        <v>0</v>
      </c>
      <c r="E254" s="52">
        <f t="shared" si="28"/>
        <v>0</v>
      </c>
      <c r="F254" s="52">
        <f t="shared" si="28"/>
        <v>0</v>
      </c>
      <c r="G254" s="52">
        <f t="shared" si="28"/>
        <v>0</v>
      </c>
      <c r="H254" s="52">
        <f t="shared" si="28"/>
        <v>0</v>
      </c>
      <c r="I254" s="52">
        <f t="shared" si="28"/>
        <v>0</v>
      </c>
      <c r="J254" s="52">
        <f t="shared" si="28"/>
        <v>0</v>
      </c>
      <c r="K254" s="52">
        <f t="shared" si="28"/>
        <v>0</v>
      </c>
      <c r="L254" s="52">
        <f t="shared" si="28"/>
        <v>0</v>
      </c>
      <c r="M254" s="52">
        <f t="shared" si="28"/>
        <v>0</v>
      </c>
      <c r="N254" s="52">
        <f t="shared" si="28"/>
        <v>0</v>
      </c>
      <c r="O254" s="53">
        <f t="shared" si="28"/>
        <v>0</v>
      </c>
    </row>
    <row r="255" spans="1:22" x14ac:dyDescent="0.2">
      <c r="A255" s="51" t="str">
        <f>IF(FcGrafHP,A34,"")</f>
        <v>HP</v>
      </c>
      <c r="B255" s="107"/>
      <c r="C255" s="52">
        <f>IF(FcGrafHP,IF(FcTipoGrafico=1,C112,C34),"")</f>
        <v>0</v>
      </c>
      <c r="D255" s="52">
        <f>IF(FcGrafHP,IF(FcTipoGrafico=1,D112,D34),"")</f>
        <v>0</v>
      </c>
      <c r="E255" s="52">
        <f>IF(FcGrafHP,IF(FcTipoGrafico=1,E112,E34),"")</f>
        <v>0</v>
      </c>
      <c r="F255" s="52">
        <f t="shared" ref="F255:O255" si="29">IF(FcGrafHP,IF(FcTipoGrafico=1,F112,F34),"")</f>
        <v>0</v>
      </c>
      <c r="G255" s="52">
        <f t="shared" si="29"/>
        <v>0</v>
      </c>
      <c r="H255" s="52">
        <f t="shared" si="29"/>
        <v>0</v>
      </c>
      <c r="I255" s="52">
        <f t="shared" si="29"/>
        <v>0</v>
      </c>
      <c r="J255" s="52">
        <f t="shared" si="29"/>
        <v>0</v>
      </c>
      <c r="K255" s="52">
        <f t="shared" si="29"/>
        <v>0</v>
      </c>
      <c r="L255" s="52">
        <f t="shared" si="29"/>
        <v>0</v>
      </c>
      <c r="M255" s="52">
        <f t="shared" si="29"/>
        <v>0</v>
      </c>
      <c r="N255" s="52">
        <f t="shared" si="29"/>
        <v>0</v>
      </c>
      <c r="O255" s="53">
        <f t="shared" si="29"/>
        <v>0</v>
      </c>
    </row>
    <row r="256" spans="1:22" x14ac:dyDescent="0.2">
      <c r="A256" s="51" t="str">
        <f>IF(FcGrafGT,A45,"")</f>
        <v>GT</v>
      </c>
      <c r="B256" s="107"/>
      <c r="C256" s="52">
        <f t="shared" ref="C256:O256" si="30">IF(FcGrafGT,IF(FcTipoGrafico=1,C123,C45),"")</f>
        <v>0</v>
      </c>
      <c r="D256" s="52">
        <f t="shared" si="30"/>
        <v>0</v>
      </c>
      <c r="E256" s="52">
        <f t="shared" si="30"/>
        <v>0</v>
      </c>
      <c r="F256" s="52">
        <f t="shared" si="30"/>
        <v>0</v>
      </c>
      <c r="G256" s="52">
        <f t="shared" si="30"/>
        <v>0</v>
      </c>
      <c r="H256" s="52">
        <f t="shared" si="30"/>
        <v>0</v>
      </c>
      <c r="I256" s="52">
        <f t="shared" si="30"/>
        <v>0</v>
      </c>
      <c r="J256" s="52">
        <f t="shared" si="30"/>
        <v>0</v>
      </c>
      <c r="K256" s="52">
        <f t="shared" si="30"/>
        <v>0</v>
      </c>
      <c r="L256" s="52">
        <f t="shared" si="30"/>
        <v>0</v>
      </c>
      <c r="M256" s="52">
        <f t="shared" si="30"/>
        <v>0</v>
      </c>
      <c r="N256" s="52">
        <f t="shared" si="30"/>
        <v>0</v>
      </c>
      <c r="O256" s="53">
        <f t="shared" si="30"/>
        <v>0</v>
      </c>
    </row>
    <row r="257" spans="1:15" x14ac:dyDescent="0.2">
      <c r="A257" s="51" t="str">
        <f>IF(FcGrafCapsa,A56,"")</f>
        <v/>
      </c>
      <c r="B257" s="107"/>
      <c r="C257" s="52" t="str">
        <f t="shared" ref="C257:O257" si="31">IF(FcGrafCapsa,IF(FcTipoGrafico=1,C134,C56),"")</f>
        <v/>
      </c>
      <c r="D257" s="52" t="str">
        <f t="shared" si="31"/>
        <v/>
      </c>
      <c r="E257" s="52" t="str">
        <f t="shared" si="31"/>
        <v/>
      </c>
      <c r="F257" s="52" t="str">
        <f t="shared" si="31"/>
        <v/>
      </c>
      <c r="G257" s="52" t="str">
        <f t="shared" si="31"/>
        <v/>
      </c>
      <c r="H257" s="52" t="str">
        <f t="shared" si="31"/>
        <v/>
      </c>
      <c r="I257" s="52" t="str">
        <f t="shared" si="31"/>
        <v/>
      </c>
      <c r="J257" s="52" t="str">
        <f t="shared" si="31"/>
        <v/>
      </c>
      <c r="K257" s="52" t="str">
        <f t="shared" si="31"/>
        <v/>
      </c>
      <c r="L257" s="52" t="str">
        <f t="shared" si="31"/>
        <v/>
      </c>
      <c r="M257" s="52" t="str">
        <f t="shared" si="31"/>
        <v/>
      </c>
      <c r="N257" s="52" t="str">
        <f t="shared" si="31"/>
        <v/>
      </c>
      <c r="O257" s="53" t="str">
        <f t="shared" si="31"/>
        <v/>
      </c>
    </row>
    <row r="258" spans="1:15" x14ac:dyDescent="0.2">
      <c r="A258" s="106" t="str">
        <f>IF(FcGrafTotal,A57,"")</f>
        <v/>
      </c>
      <c r="B258" s="107"/>
      <c r="C258" s="172" t="str">
        <f t="shared" ref="C258:O258" si="32">IF(FcGrafTotal,IF(FcTipoGrafico=1,C135,C57),"")</f>
        <v/>
      </c>
      <c r="D258" s="172" t="str">
        <f t="shared" si="32"/>
        <v/>
      </c>
      <c r="E258" s="172" t="str">
        <f t="shared" si="32"/>
        <v/>
      </c>
      <c r="F258" s="172" t="str">
        <f t="shared" si="32"/>
        <v/>
      </c>
      <c r="G258" s="172" t="str">
        <f t="shared" si="32"/>
        <v/>
      </c>
      <c r="H258" s="172" t="str">
        <f t="shared" si="32"/>
        <v/>
      </c>
      <c r="I258" s="172" t="str">
        <f t="shared" si="32"/>
        <v/>
      </c>
      <c r="J258" s="172" t="str">
        <f t="shared" si="32"/>
        <v/>
      </c>
      <c r="K258" s="172" t="str">
        <f t="shared" si="32"/>
        <v/>
      </c>
      <c r="L258" s="172" t="str">
        <f t="shared" si="32"/>
        <v/>
      </c>
      <c r="M258" s="172" t="str">
        <f t="shared" si="32"/>
        <v/>
      </c>
      <c r="N258" s="172" t="str">
        <f t="shared" si="32"/>
        <v/>
      </c>
      <c r="O258" s="173" t="str">
        <f t="shared" si="32"/>
        <v/>
      </c>
    </row>
    <row r="259" spans="1:15" s="7" customFormat="1" x14ac:dyDescent="0.2">
      <c r="A259" s="51" t="str">
        <f>IF(FcPromMovil,IF(FcGrafLys,A73,""),"")</f>
        <v/>
      </c>
      <c r="B259" s="108"/>
      <c r="C259" s="52" t="str">
        <f t="shared" ref="C259:N259" si="33">IF(FcPromMovil,IF(FcGrafLys,IF(FcTipoGrafico=1,C136,C73),""),"")</f>
        <v/>
      </c>
      <c r="D259" s="52" t="str">
        <f t="shared" si="33"/>
        <v/>
      </c>
      <c r="E259" s="52" t="str">
        <f t="shared" si="33"/>
        <v/>
      </c>
      <c r="F259" s="52" t="str">
        <f t="shared" si="33"/>
        <v/>
      </c>
      <c r="G259" s="52" t="str">
        <f t="shared" si="33"/>
        <v/>
      </c>
      <c r="H259" s="52" t="str">
        <f t="shared" si="33"/>
        <v/>
      </c>
      <c r="I259" s="52" t="str">
        <f t="shared" si="33"/>
        <v/>
      </c>
      <c r="J259" s="52" t="str">
        <f t="shared" si="33"/>
        <v/>
      </c>
      <c r="K259" s="52" t="str">
        <f t="shared" si="33"/>
        <v/>
      </c>
      <c r="L259" s="52" t="str">
        <f t="shared" si="33"/>
        <v/>
      </c>
      <c r="M259" s="52" t="str">
        <f t="shared" si="33"/>
        <v/>
      </c>
      <c r="N259" s="52" t="str">
        <f t="shared" si="33"/>
        <v/>
      </c>
      <c r="O259" s="53"/>
    </row>
    <row r="260" spans="1:15" s="7" customFormat="1" x14ac:dyDescent="0.2">
      <c r="A260" s="51" t="str">
        <f>IF(FcPromMovil,IF(FcGrafHP,A74,""),"")</f>
        <v/>
      </c>
      <c r="B260" s="108"/>
      <c r="C260" s="52" t="str">
        <f t="shared" ref="C260:N260" si="34">IF(FcPromMovil,IF(FcGrafHP,IF(FcTipoGrafico=1,C137,C74),""),"")</f>
        <v/>
      </c>
      <c r="D260" s="52" t="str">
        <f t="shared" si="34"/>
        <v/>
      </c>
      <c r="E260" s="52" t="str">
        <f t="shared" si="34"/>
        <v/>
      </c>
      <c r="F260" s="52" t="str">
        <f t="shared" si="34"/>
        <v/>
      </c>
      <c r="G260" s="52" t="str">
        <f t="shared" si="34"/>
        <v/>
      </c>
      <c r="H260" s="52" t="str">
        <f t="shared" si="34"/>
        <v/>
      </c>
      <c r="I260" s="52" t="str">
        <f t="shared" si="34"/>
        <v/>
      </c>
      <c r="J260" s="52" t="str">
        <f t="shared" si="34"/>
        <v/>
      </c>
      <c r="K260" s="52" t="str">
        <f t="shared" si="34"/>
        <v/>
      </c>
      <c r="L260" s="52" t="str">
        <f t="shared" si="34"/>
        <v/>
      </c>
      <c r="M260" s="52" t="str">
        <f t="shared" si="34"/>
        <v/>
      </c>
      <c r="N260" s="52" t="str">
        <f t="shared" si="34"/>
        <v/>
      </c>
      <c r="O260" s="53"/>
    </row>
    <row r="261" spans="1:15" s="7" customFormat="1" ht="13.5" customHeight="1" x14ac:dyDescent="0.2">
      <c r="A261" s="51" t="str">
        <f>IF(FcPromMovil,IF(FcGrafGT,A75,""),"")</f>
        <v/>
      </c>
      <c r="B261" s="165"/>
      <c r="C261" s="52" t="str">
        <f t="shared" ref="C261:N261" si="35">IF(FcPromMovil,IF(FcGrafGT,IF(FcTipoGrafico=1,C138,C75),""),"")</f>
        <v/>
      </c>
      <c r="D261" s="52" t="str">
        <f t="shared" si="35"/>
        <v/>
      </c>
      <c r="E261" s="52" t="str">
        <f t="shared" si="35"/>
        <v/>
      </c>
      <c r="F261" s="52" t="str">
        <f t="shared" si="35"/>
        <v/>
      </c>
      <c r="G261" s="52" t="str">
        <f t="shared" si="35"/>
        <v/>
      </c>
      <c r="H261" s="52" t="str">
        <f t="shared" si="35"/>
        <v/>
      </c>
      <c r="I261" s="52" t="str">
        <f t="shared" si="35"/>
        <v/>
      </c>
      <c r="J261" s="52" t="str">
        <f t="shared" si="35"/>
        <v/>
      </c>
      <c r="K261" s="52" t="str">
        <f t="shared" si="35"/>
        <v/>
      </c>
      <c r="L261" s="52" t="str">
        <f t="shared" si="35"/>
        <v/>
      </c>
      <c r="M261" s="52" t="str">
        <f t="shared" si="35"/>
        <v/>
      </c>
      <c r="N261" s="52" t="str">
        <f t="shared" si="35"/>
        <v/>
      </c>
      <c r="O261" s="166"/>
    </row>
    <row r="262" spans="1:15" s="7" customFormat="1" ht="13.5" customHeight="1" x14ac:dyDescent="0.2">
      <c r="A262" s="164" t="str">
        <f>IF(FcPromMovil,IF(FcGrafCapsa,A76,""),"")</f>
        <v/>
      </c>
      <c r="B262" s="165"/>
      <c r="C262" s="52" t="str">
        <f t="shared" ref="C262:N262" si="36">IF(FcPromMovil,IF(FcGrafCapsa,IF(FcTipoGrafico=1,C139,C76),""),"")</f>
        <v/>
      </c>
      <c r="D262" s="52" t="str">
        <f t="shared" si="36"/>
        <v/>
      </c>
      <c r="E262" s="52" t="str">
        <f t="shared" si="36"/>
        <v/>
      </c>
      <c r="F262" s="52" t="str">
        <f t="shared" si="36"/>
        <v/>
      </c>
      <c r="G262" s="52" t="str">
        <f t="shared" si="36"/>
        <v/>
      </c>
      <c r="H262" s="52" t="str">
        <f t="shared" si="36"/>
        <v/>
      </c>
      <c r="I262" s="52" t="str">
        <f t="shared" si="36"/>
        <v/>
      </c>
      <c r="J262" s="52" t="str">
        <f t="shared" si="36"/>
        <v/>
      </c>
      <c r="K262" s="52" t="str">
        <f t="shared" si="36"/>
        <v/>
      </c>
      <c r="L262" s="52" t="str">
        <f t="shared" si="36"/>
        <v/>
      </c>
      <c r="M262" s="52" t="str">
        <f t="shared" si="36"/>
        <v/>
      </c>
      <c r="N262" s="52" t="str">
        <f t="shared" si="36"/>
        <v/>
      </c>
      <c r="O262" s="166"/>
    </row>
    <row r="263" spans="1:15" s="7" customFormat="1" ht="13.5" thickBot="1" x14ac:dyDescent="0.25">
      <c r="A263" s="170" t="str">
        <f>IF(FcPromMovil,IF(FcGrafTotal,A77,""),"")</f>
        <v/>
      </c>
      <c r="B263" s="171"/>
      <c r="C263" s="253" t="str">
        <f t="shared" ref="C263:N263" si="37">IF(FcPromMovil,IF(FcGrafTotal,IF(FcTipoGrafico=1,C140,C77),""),"")</f>
        <v/>
      </c>
      <c r="D263" s="253" t="str">
        <f t="shared" si="37"/>
        <v/>
      </c>
      <c r="E263" s="253" t="str">
        <f t="shared" si="37"/>
        <v/>
      </c>
      <c r="F263" s="253" t="str">
        <f t="shared" si="37"/>
        <v/>
      </c>
      <c r="G263" s="253" t="str">
        <f t="shared" si="37"/>
        <v/>
      </c>
      <c r="H263" s="253" t="str">
        <f t="shared" si="37"/>
        <v/>
      </c>
      <c r="I263" s="253" t="str">
        <f t="shared" si="37"/>
        <v/>
      </c>
      <c r="J263" s="253" t="str">
        <f t="shared" si="37"/>
        <v/>
      </c>
      <c r="K263" s="253" t="str">
        <f t="shared" si="37"/>
        <v/>
      </c>
      <c r="L263" s="253" t="str">
        <f t="shared" si="37"/>
        <v/>
      </c>
      <c r="M263" s="253" t="str">
        <f t="shared" si="37"/>
        <v/>
      </c>
      <c r="N263" s="253" t="str">
        <f t="shared" si="37"/>
        <v/>
      </c>
      <c r="O263" s="109"/>
    </row>
    <row r="264" spans="1:15" ht="13.5" thickBot="1" x14ac:dyDescent="0.25"/>
    <row r="265" spans="1:15" x14ac:dyDescent="0.2">
      <c r="A265" s="128"/>
      <c r="B265" s="167"/>
      <c r="C265" s="168">
        <f>Q12</f>
        <v>2010</v>
      </c>
      <c r="D265" s="168">
        <f>R12</f>
        <v>2011</v>
      </c>
      <c r="E265" s="168">
        <f>S12</f>
        <v>2012</v>
      </c>
      <c r="F265" s="168">
        <f>T12</f>
        <v>2013</v>
      </c>
      <c r="G265" s="169">
        <f>U12</f>
        <v>2014</v>
      </c>
    </row>
    <row r="266" spans="1:15" x14ac:dyDescent="0.2">
      <c r="A266" s="51" t="str">
        <f>IF(FcGrafLys,A23,"")</f>
        <v>Lys</v>
      </c>
      <c r="B266" s="7"/>
      <c r="C266" s="52">
        <f>IF(FcGrafLys,IF(FcTipoGrafico=1,Q101,Q23),"")</f>
        <v>0</v>
      </c>
      <c r="D266" s="52">
        <f>IF(FcGrafLys,IF(FcTipoGrafico=1,R101,R23),"")</f>
        <v>0</v>
      </c>
      <c r="E266" s="52">
        <f>IF(FcGrafLys,IF(FcTipoGrafico=1,S101,S23),"")</f>
        <v>0</v>
      </c>
      <c r="F266" s="52">
        <f>IF(FcGrafLys,IF(FcTipoGrafico=1,T101,T23),"")</f>
        <v>0</v>
      </c>
      <c r="G266" s="53">
        <f>IF(FcGrafLys,IF(FcTipoGrafico=1,U101,U23),"")</f>
        <v>0</v>
      </c>
    </row>
    <row r="267" spans="1:15" x14ac:dyDescent="0.2">
      <c r="A267" s="51" t="str">
        <f>IF(FcGrafHP,A34,"")</f>
        <v>HP</v>
      </c>
      <c r="B267" s="7"/>
      <c r="C267" s="52">
        <f>IF(FcGrafHP,IF(FcTipoGrafico=1,Q112,Q34),"")</f>
        <v>0</v>
      </c>
      <c r="D267" s="52">
        <f>IF(FcGrafHP,IF(FcTipoGrafico=1,R112,R34),"")</f>
        <v>0</v>
      </c>
      <c r="E267" s="52">
        <f>IF(FcGrafHP,IF(FcTipoGrafico=1,S112,S34),"")</f>
        <v>0</v>
      </c>
      <c r="F267" s="52">
        <f>IF(FcGrafHP,IF(FcTipoGrafico=1,T112,T34),"")</f>
        <v>0</v>
      </c>
      <c r="G267" s="53">
        <f>IF(FcGrafHP,IF(FcTipoGrafico=1,U112,U34),"")</f>
        <v>0</v>
      </c>
    </row>
    <row r="268" spans="1:15" x14ac:dyDescent="0.2">
      <c r="A268" s="51" t="str">
        <f>IF(FcGrafGT,A45,"")</f>
        <v>GT</v>
      </c>
      <c r="B268" s="107"/>
      <c r="C268" s="52">
        <f>IF(FcGrafGT,IF(FcTipoGrafico=1,Q123,Q45),"")</f>
        <v>0</v>
      </c>
      <c r="D268" s="52">
        <f>IF(FcGrafGT,IF(FcTipoGrafico=1,R123,R45),"")</f>
        <v>0</v>
      </c>
      <c r="E268" s="52">
        <f>IF(FcGrafGT,IF(FcTipoGrafico=1,S123,S45),"")</f>
        <v>0</v>
      </c>
      <c r="F268" s="52">
        <f>IF(FcGrafGT,IF(FcTipoGrafico=1,T123,T45),"")</f>
        <v>0</v>
      </c>
      <c r="G268" s="53">
        <f>IF(FcGrafGT,IF(FcTipoGrafico=1,U123,U45),"")</f>
        <v>0</v>
      </c>
    </row>
    <row r="269" spans="1:15" x14ac:dyDescent="0.2">
      <c r="A269" s="51" t="str">
        <f>IF(FcGrafCapsa,A56,"")</f>
        <v/>
      </c>
      <c r="B269" s="107"/>
      <c r="C269" s="52" t="str">
        <f>IF(FcGrafCapsa,IF(FcTipoGrafico=1,Q134,Q56),"")</f>
        <v/>
      </c>
      <c r="D269" s="52" t="str">
        <f>IF(FcGrafCapsa,IF(FcTipoGrafico=1,R134,R56),"")</f>
        <v/>
      </c>
      <c r="E269" s="52" t="str">
        <f>IF(FcGrafCapsa,IF(FcTipoGrafico=1,S134,S56),"")</f>
        <v/>
      </c>
      <c r="F269" s="52" t="str">
        <f>IF(FcGrafCapsa,IF(FcTipoGrafico=1,T134,T56),"")</f>
        <v/>
      </c>
      <c r="G269" s="53" t="str">
        <f>IF(FcGrafCapsa,IF(FcTipoGrafico=1,U134,U56),"")</f>
        <v/>
      </c>
    </row>
    <row r="270" spans="1:15" ht="13.5" thickBot="1" x14ac:dyDescent="0.25">
      <c r="A270" s="170" t="str">
        <f>IF(FcGrafTotal,A57,"")</f>
        <v/>
      </c>
      <c r="B270" s="171"/>
      <c r="C270" s="174" t="str">
        <f>IF(FcGrafTotal,IF(FcTipoGrafico=1,Q135,Q57),"")</f>
        <v/>
      </c>
      <c r="D270" s="174" t="str">
        <f>IF(FcGrafTotal,IF(FcTipoGrafico=1,R135,R57),"")</f>
        <v/>
      </c>
      <c r="E270" s="174" t="str">
        <f>IF(FcGrafTotal,IF(FcTipoGrafico=1,S135,S57),"")</f>
        <v/>
      </c>
      <c r="F270" s="174" t="str">
        <f>IF(FcGrafTotal,IF(FcTipoGrafico=1,T135,T57),"")</f>
        <v/>
      </c>
      <c r="G270" s="175" t="str">
        <f>IF(FcGrafTotal,IF(FcTipoGrafico=1,U135,U57),"")</f>
        <v/>
      </c>
    </row>
  </sheetData>
  <dataConsolidate/>
  <mergeCells count="114">
    <mergeCell ref="C237:V237"/>
    <mergeCell ref="C238:V238"/>
    <mergeCell ref="C239:V239"/>
    <mergeCell ref="C240:V240"/>
    <mergeCell ref="C241:V241"/>
    <mergeCell ref="C242:V242"/>
    <mergeCell ref="C249:V249"/>
    <mergeCell ref="C250:V250"/>
    <mergeCell ref="C243:V243"/>
    <mergeCell ref="C244:V244"/>
    <mergeCell ref="C245:V245"/>
    <mergeCell ref="C246:V246"/>
    <mergeCell ref="C247:V247"/>
    <mergeCell ref="C248:V248"/>
    <mergeCell ref="C228:V228"/>
    <mergeCell ref="C229:V229"/>
    <mergeCell ref="C230:V230"/>
    <mergeCell ref="C231:V231"/>
    <mergeCell ref="C232:V232"/>
    <mergeCell ref="C233:V233"/>
    <mergeCell ref="C234:V234"/>
    <mergeCell ref="C235:V235"/>
    <mergeCell ref="C236:V236"/>
    <mergeCell ref="C219:V219"/>
    <mergeCell ref="C220:V220"/>
    <mergeCell ref="C221:V221"/>
    <mergeCell ref="C222:V222"/>
    <mergeCell ref="C223:V223"/>
    <mergeCell ref="C224:V224"/>
    <mergeCell ref="C225:V225"/>
    <mergeCell ref="C226:V226"/>
    <mergeCell ref="C227:V227"/>
    <mergeCell ref="C210:V210"/>
    <mergeCell ref="C211:V211"/>
    <mergeCell ref="C212:V212"/>
    <mergeCell ref="C213:V213"/>
    <mergeCell ref="C214:V214"/>
    <mergeCell ref="C215:V215"/>
    <mergeCell ref="C216:V216"/>
    <mergeCell ref="C217:V217"/>
    <mergeCell ref="C218:V218"/>
    <mergeCell ref="C201:V201"/>
    <mergeCell ref="C202:V202"/>
    <mergeCell ref="C203:V203"/>
    <mergeCell ref="C204:V204"/>
    <mergeCell ref="C205:V205"/>
    <mergeCell ref="C206:V206"/>
    <mergeCell ref="C207:V207"/>
    <mergeCell ref="C208:V208"/>
    <mergeCell ref="C209:V209"/>
    <mergeCell ref="C192:V192"/>
    <mergeCell ref="C193:V193"/>
    <mergeCell ref="C194:V194"/>
    <mergeCell ref="C195:V195"/>
    <mergeCell ref="C196:V196"/>
    <mergeCell ref="C197:V197"/>
    <mergeCell ref="C198:V198"/>
    <mergeCell ref="C199:V199"/>
    <mergeCell ref="C200:V200"/>
    <mergeCell ref="C183:V183"/>
    <mergeCell ref="C184:V184"/>
    <mergeCell ref="C185:V185"/>
    <mergeCell ref="C186:V186"/>
    <mergeCell ref="C187:V187"/>
    <mergeCell ref="C188:V188"/>
    <mergeCell ref="C189:V189"/>
    <mergeCell ref="C190:V190"/>
    <mergeCell ref="C191:V191"/>
    <mergeCell ref="C174:V174"/>
    <mergeCell ref="C175:V175"/>
    <mergeCell ref="C176:V176"/>
    <mergeCell ref="C177:V177"/>
    <mergeCell ref="C178:V178"/>
    <mergeCell ref="C179:V179"/>
    <mergeCell ref="C180:V180"/>
    <mergeCell ref="C181:V181"/>
    <mergeCell ref="C182:V182"/>
    <mergeCell ref="C165:V165"/>
    <mergeCell ref="C166:V166"/>
    <mergeCell ref="C167:V167"/>
    <mergeCell ref="C168:V168"/>
    <mergeCell ref="C169:V169"/>
    <mergeCell ref="C170:V170"/>
    <mergeCell ref="C171:V171"/>
    <mergeCell ref="C172:V172"/>
    <mergeCell ref="C173:V173"/>
    <mergeCell ref="C156:V156"/>
    <mergeCell ref="C157:V157"/>
    <mergeCell ref="C158:V158"/>
    <mergeCell ref="C159:V159"/>
    <mergeCell ref="C160:V160"/>
    <mergeCell ref="C161:V161"/>
    <mergeCell ref="C162:V162"/>
    <mergeCell ref="C163:V163"/>
    <mergeCell ref="C164:V164"/>
    <mergeCell ref="A146:V146"/>
    <mergeCell ref="B147:V147"/>
    <mergeCell ref="B148:V148"/>
    <mergeCell ref="C150:V150"/>
    <mergeCell ref="C151:V151"/>
    <mergeCell ref="C152:V152"/>
    <mergeCell ref="C153:V153"/>
    <mergeCell ref="C154:V154"/>
    <mergeCell ref="C155:V155"/>
    <mergeCell ref="Q11:U11"/>
    <mergeCell ref="Q89:U89"/>
    <mergeCell ref="C3:D3"/>
    <mergeCell ref="C4:D4"/>
    <mergeCell ref="L10:M10"/>
    <mergeCell ref="L9:M9"/>
    <mergeCell ref="C9:D9"/>
    <mergeCell ref="C10:D10"/>
    <mergeCell ref="L3:M3"/>
    <mergeCell ref="L4:M4"/>
  </mergeCells>
  <phoneticPr fontId="0" type="noConversion"/>
  <conditionalFormatting sqref="C72">
    <cfRule type="cellIs" dxfId="9" priority="13" stopIfTrue="1" operator="equal">
      <formula>"Alerta"</formula>
    </cfRule>
  </conditionalFormatting>
  <conditionalFormatting sqref="C9 E10:F10 A9:A10 G9:K10">
    <cfRule type="expression" dxfId="8" priority="14" stopIfTrue="1">
      <formula>$A$9&lt;&gt;""</formula>
    </cfRule>
  </conditionalFormatting>
  <conditionalFormatting sqref="E9:F9">
    <cfRule type="expression" dxfId="7" priority="15" stopIfTrue="1">
      <formula>$A$9&lt;&gt;""</formula>
    </cfRule>
  </conditionalFormatting>
  <conditionalFormatting sqref="M8">
    <cfRule type="expression" dxfId="6" priority="17" stopIfTrue="1">
      <formula>#REF!="I"</formula>
    </cfRule>
  </conditionalFormatting>
  <conditionalFormatting sqref="D72:O72">
    <cfRule type="cellIs" dxfId="5" priority="18" stopIfTrue="1" operator="equal">
      <formula>"Alerta"</formula>
    </cfRule>
  </conditionalFormatting>
  <dataValidations xWindow="45" yWindow="136" count="2">
    <dataValidation type="date" operator="lessThanOrEqual" allowBlank="1" showInputMessage="1" showErrorMessage="1" errorTitle="Mensaje" error="Ingresar una fecha anterior al mes actual." sqref="B4">
      <formula1>DATE(YEAR(TODAY()),MONTH(TODAY())-1,DAY(TODAY()))</formula1>
    </dataValidation>
    <dataValidation operator="lessThanOrEqual" allowBlank="1" showInputMessage="1" showErrorMessage="1" errorTitle="Mensaje" error="Ingresar una fecha anterior al mes actual." sqref="A4"/>
  </dataValidations>
  <printOptions horizontalCentered="1"/>
  <pageMargins left="0.78740157480314965" right="0.78740157480314965" top="0.78740157480314965" bottom="0.78740157480314965" header="0.39370078740157483" footer="0.39370078740157483"/>
  <pageSetup paperSize="256" scale="89" orientation="landscape" blackAndWhite="1" r:id="rId1"/>
  <headerFooter alignWithMargins="0"/>
  <cellWatches>
    <cellWatch r="A4"/>
  </cellWatches>
  <ignoredErrors>
    <ignoredError sqref="C45:O45 Q45:U45 C34:O34 Q34:U34 U101 U112 U123" formula="1"/>
  </ignoredErrors>
  <drawing r:id="rId2"/>
  <legacyDrawing r:id="rId3"/>
  <controls>
    <mc:AlternateContent xmlns:mc="http://schemas.openxmlformats.org/markup-compatibility/2006">
      <mc:Choice Requires="x14">
        <control shapeId="1069055" r:id="rId4" name="cmdVerHojas">
          <controlPr defaultSize="0" autoLine="0" r:id="rId5">
            <anchor moveWithCells="1">
              <from>
                <xdr:col>19</xdr:col>
                <xdr:colOff>257175</xdr:colOff>
                <xdr:row>2</xdr:row>
                <xdr:rowOff>57150</xdr:rowOff>
              </from>
              <to>
                <xdr:col>21</xdr:col>
                <xdr:colOff>9525</xdr:colOff>
                <xdr:row>8</xdr:row>
                <xdr:rowOff>66675</xdr:rowOff>
              </to>
            </anchor>
          </controlPr>
        </control>
      </mc:Choice>
      <mc:Fallback>
        <control shapeId="1069055" r:id="rId4" name="cmdVerHojas"/>
      </mc:Fallback>
    </mc:AlternateContent>
    <mc:AlternateContent xmlns:mc="http://schemas.openxmlformats.org/markup-compatibility/2006">
      <mc:Choice Requires="x14">
        <control shapeId="156684" r:id="rId6" name="Check Box 12">
          <controlPr locked="0" defaultSize="0" autoFill="0" autoLine="0" autoPict="0">
            <anchor moveWithCells="1" sizeWithCells="1">
              <from>
                <xdr:col>13</xdr:col>
                <xdr:colOff>161925</xdr:colOff>
                <xdr:row>81</xdr:row>
                <xdr:rowOff>38100</xdr:rowOff>
              </from>
              <to>
                <xdr:col>14</xdr:col>
                <xdr:colOff>333375</xdr:colOff>
                <xdr:row>82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85" r:id="rId7" name="Check Box 13">
          <controlPr defaultSize="0" autoFill="0" autoLine="0" autoPict="0">
            <anchor moveWithCells="1" sizeWithCells="1">
              <from>
                <xdr:col>13</xdr:col>
                <xdr:colOff>161925</xdr:colOff>
                <xdr:row>82</xdr:row>
                <xdr:rowOff>38100</xdr:rowOff>
              </from>
              <to>
                <xdr:col>14</xdr:col>
                <xdr:colOff>342900</xdr:colOff>
                <xdr:row>83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86" r:id="rId8" name="Check Box 14">
          <controlPr defaultSize="0" autoFill="0" autoLine="0" autoPict="0">
            <anchor moveWithCells="1" sizeWithCells="1">
              <from>
                <xdr:col>13</xdr:col>
                <xdr:colOff>161925</xdr:colOff>
                <xdr:row>85</xdr:row>
                <xdr:rowOff>19050</xdr:rowOff>
              </from>
              <to>
                <xdr:col>14</xdr:col>
                <xdr:colOff>304800</xdr:colOff>
                <xdr:row>86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87" r:id="rId9" name="Group Box 15">
          <controlPr defaultSize="0" autoFill="0" autoPict="0">
            <anchor moveWithCells="1" sizeWithCells="1">
              <from>
                <xdr:col>13</xdr:col>
                <xdr:colOff>28575</xdr:colOff>
                <xdr:row>80</xdr:row>
                <xdr:rowOff>133350</xdr:rowOff>
              </from>
              <to>
                <xdr:col>15</xdr:col>
                <xdr:colOff>28575</xdr:colOff>
                <xdr:row>86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88" r:id="rId10" name="Check Box 16">
          <controlPr defaultSize="0" autoFill="0" autoLine="0" autoPict="0">
            <anchor moveWithCells="1">
              <from>
                <xdr:col>13</xdr:col>
                <xdr:colOff>38100</xdr:colOff>
                <xdr:row>86</xdr:row>
                <xdr:rowOff>104775</xdr:rowOff>
              </from>
              <to>
                <xdr:col>15</xdr:col>
                <xdr:colOff>28575</xdr:colOff>
                <xdr:row>88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89" r:id="rId11" name="Option Button 17">
          <controlPr defaultSize="0" autoFill="0" autoLine="0" autoPict="0" altText="Unidadades">
            <anchor moveWithCells="1">
              <from>
                <xdr:col>13</xdr:col>
                <xdr:colOff>47625</xdr:colOff>
                <xdr:row>77</xdr:row>
                <xdr:rowOff>104775</xdr:rowOff>
              </from>
              <to>
                <xdr:col>15</xdr:col>
                <xdr:colOff>38100</xdr:colOff>
                <xdr:row>79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90" r:id="rId12" name="Option Button 18">
          <controlPr defaultSize="0" autoFill="0" autoLine="0" autoPict="0">
            <anchor moveWithCells="1">
              <from>
                <xdr:col>13</xdr:col>
                <xdr:colOff>47625</xdr:colOff>
                <xdr:row>79</xdr:row>
                <xdr:rowOff>9525</xdr:rowOff>
              </from>
              <to>
                <xdr:col>15</xdr:col>
                <xdr:colOff>28575</xdr:colOff>
                <xdr:row>80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91" r:id="rId13" name="Check Box 19">
          <controlPr defaultSize="0" autoFill="0" autoLine="0" autoPict="0">
            <anchor moveWithCells="1" sizeWithCells="1">
              <from>
                <xdr:col>13</xdr:col>
                <xdr:colOff>161925</xdr:colOff>
                <xdr:row>84</xdr:row>
                <xdr:rowOff>19050</xdr:rowOff>
              </from>
              <to>
                <xdr:col>14</xdr:col>
                <xdr:colOff>304800</xdr:colOff>
                <xdr:row>85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693" r:id="rId14" name="Check Box 21">
          <controlPr defaultSize="0" autoFill="0" autoLine="0" autoPict="0">
            <anchor moveWithCells="1">
              <from>
                <xdr:col>20</xdr:col>
                <xdr:colOff>0</xdr:colOff>
                <xdr:row>8</xdr:row>
                <xdr:rowOff>142875</xdr:rowOff>
              </from>
              <to>
                <xdr:col>20</xdr:col>
                <xdr:colOff>428625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6832" r:id="rId15" name="Check Box 160">
          <controlPr defaultSize="0" autoFill="0" autoLine="0" autoPict="0">
            <anchor moveWithCells="1">
              <from>
                <xdr:col>16</xdr:col>
                <xdr:colOff>76200</xdr:colOff>
                <xdr:row>2</xdr:row>
                <xdr:rowOff>104775</xdr:rowOff>
              </from>
              <to>
                <xdr:col>17</xdr:col>
                <xdr:colOff>476250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205" r:id="rId16" name="Check Box 1197">
          <controlPr defaultSize="0" autoFill="0" autoLine="0" autoPict="0">
            <anchor moveWithCells="1">
              <from>
                <xdr:col>16</xdr:col>
                <xdr:colOff>76200</xdr:colOff>
                <xdr:row>3</xdr:row>
                <xdr:rowOff>123825</xdr:rowOff>
              </from>
              <to>
                <xdr:col>17</xdr:col>
                <xdr:colOff>476250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054" r:id="rId17" name="Check Box 2046">
          <controlPr defaultSize="0" autoFill="0" autoLine="0" autoPict="0" altText="GT">
            <anchor moveWithCells="1" sizeWithCells="1">
              <from>
                <xdr:col>13</xdr:col>
                <xdr:colOff>161925</xdr:colOff>
                <xdr:row>83</xdr:row>
                <xdr:rowOff>28575</xdr:rowOff>
              </from>
              <to>
                <xdr:col>14</xdr:col>
                <xdr:colOff>304800</xdr:colOff>
                <xdr:row>84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_visorrk">
    <pageSetUpPr fitToPage="1"/>
  </sheetPr>
  <dimension ref="A1:W270"/>
  <sheetViews>
    <sheetView showGridLines="0" workbookViewId="0">
      <selection activeCell="L8" sqref="L8"/>
    </sheetView>
  </sheetViews>
  <sheetFormatPr baseColWidth="10" defaultRowHeight="12.75" outlineLevelRow="1" outlineLevelCol="1" x14ac:dyDescent="0.2"/>
  <cols>
    <col min="1" max="1" width="11.7109375" style="1" customWidth="1"/>
    <col min="2" max="2" width="26.7109375" style="1" hidden="1" customWidth="1" outlineLevel="1"/>
    <col min="3" max="3" width="7" style="1" customWidth="1" collapsed="1"/>
    <col min="4" max="15" width="7" style="1" customWidth="1"/>
    <col min="16" max="16" width="3.7109375" style="1" customWidth="1"/>
    <col min="17" max="21" width="7.85546875" style="1" customWidth="1"/>
    <col min="22" max="22" width="13.140625" style="1" bestFit="1" customWidth="1"/>
    <col min="23" max="23" width="16" style="1" customWidth="1"/>
    <col min="24" max="24" width="0" style="1" hidden="1" customWidth="1"/>
    <col min="25" max="16384" width="11.42578125" style="1"/>
  </cols>
  <sheetData>
    <row r="1" spans="1:22" ht="15" customHeight="1" x14ac:dyDescent="0.2">
      <c r="A1" s="62" t="s">
        <v>26</v>
      </c>
      <c r="B1" s="62"/>
      <c r="D1" s="2"/>
      <c r="E1" s="45"/>
      <c r="G1" s="54"/>
      <c r="H1" s="178" t="s">
        <v>32</v>
      </c>
      <c r="J1" s="178" t="s">
        <v>38</v>
      </c>
      <c r="K1" s="130"/>
      <c r="L1" s="179" t="s">
        <v>3</v>
      </c>
      <c r="N1" s="130"/>
      <c r="O1" s="179" t="s">
        <v>15</v>
      </c>
      <c r="P1" s="179"/>
      <c r="Q1" s="132"/>
      <c r="R1" s="132"/>
      <c r="S1" s="179" t="s">
        <v>27</v>
      </c>
      <c r="T1" s="132"/>
    </row>
    <row r="2" spans="1:22" ht="15" customHeight="1" thickBot="1" x14ac:dyDescent="0.25">
      <c r="A2" s="62"/>
      <c r="B2" s="62"/>
      <c r="D2" s="2"/>
      <c r="E2" s="45"/>
      <c r="G2" s="54"/>
      <c r="H2" s="178"/>
      <c r="J2" s="178"/>
      <c r="K2" s="130"/>
      <c r="L2" s="179"/>
      <c r="N2" s="130"/>
      <c r="O2" s="179"/>
      <c r="P2" s="179"/>
      <c r="Q2" s="132"/>
      <c r="R2" s="132"/>
      <c r="S2" s="131"/>
      <c r="T2" s="132"/>
    </row>
    <row r="3" spans="1:22" ht="12" customHeight="1" x14ac:dyDescent="0.15">
      <c r="A3" s="10" t="s">
        <v>30</v>
      </c>
      <c r="B3" s="76"/>
      <c r="C3" s="324" t="s">
        <v>17</v>
      </c>
      <c r="D3" s="325"/>
      <c r="E3" s="18" t="s">
        <v>28</v>
      </c>
      <c r="F3" s="17"/>
      <c r="G3" s="17"/>
      <c r="H3" s="17"/>
      <c r="I3" s="19"/>
      <c r="J3" s="19"/>
      <c r="K3" s="19"/>
      <c r="L3" s="336" t="s">
        <v>3</v>
      </c>
      <c r="M3" s="337"/>
      <c r="N3" s="122" t="s">
        <v>29</v>
      </c>
      <c r="O3" s="20" t="s">
        <v>38</v>
      </c>
      <c r="P3" s="179"/>
      <c r="Q3" s="4"/>
      <c r="R3" s="4"/>
    </row>
    <row r="4" spans="1:22" ht="12" customHeight="1" x14ac:dyDescent="0.2">
      <c r="A4" s="123">
        <v>41913</v>
      </c>
      <c r="B4" s="79"/>
      <c r="C4" s="343" t="str">
        <f>IFERROR(INDEX(Rankin!FcDetalle,MATCH($N$4,Rankin!FcRankinFiltro,0),2),"")</f>
        <v/>
      </c>
      <c r="D4" s="344"/>
      <c r="E4" s="176" t="str">
        <f>IFERROR(INDEX(Maestro!FcDetalle,MATCH($C$4,Maestro!FcClave,0),5),"-")</f>
        <v>-</v>
      </c>
      <c r="F4" s="21"/>
      <c r="G4" s="21"/>
      <c r="H4" s="21"/>
      <c r="I4" s="22"/>
      <c r="J4" s="22"/>
      <c r="K4" s="22"/>
      <c r="L4" s="338" t="str">
        <f>IFERROR(INDEX(Maestro!FcDetalle,MATCH($C$4,Maestro!FcClave,0),9)&amp;"("&amp; INDEX(Maestro!FcDetalle,MATCH($C$4,Maestro!FcClave,0),33) &amp; ")","-")</f>
        <v>-</v>
      </c>
      <c r="M4" s="339"/>
      <c r="N4" s="124">
        <v>1</v>
      </c>
      <c r="O4" s="59" t="str">
        <f>IFERROR(INDEX(Maestro!FcDetalle,MATCH($C$4,Maestro!FcClave,0),10),"-")</f>
        <v>-</v>
      </c>
      <c r="P4" s="177"/>
      <c r="Q4" s="4"/>
      <c r="R4" s="4"/>
      <c r="V4" s="183"/>
    </row>
    <row r="5" spans="1:22" ht="12" hidden="1" customHeight="1" outlineLevel="1" x14ac:dyDescent="0.2">
      <c r="A5" s="23" t="s">
        <v>5</v>
      </c>
      <c r="B5" s="24"/>
      <c r="C5" s="24"/>
      <c r="D5" s="24"/>
      <c r="E5" s="24"/>
      <c r="F5" s="24"/>
      <c r="G5" s="24"/>
      <c r="H5" s="25"/>
      <c r="I5" s="26" t="s">
        <v>2</v>
      </c>
      <c r="J5" s="26"/>
      <c r="K5" s="27"/>
      <c r="L5" s="26" t="s">
        <v>1</v>
      </c>
      <c r="M5" s="28"/>
      <c r="N5" s="24" t="s">
        <v>0</v>
      </c>
      <c r="O5" s="29"/>
      <c r="P5" s="3"/>
      <c r="Q5" s="4"/>
      <c r="V5" s="183"/>
    </row>
    <row r="6" spans="1:22" ht="12" hidden="1" customHeight="1" outlineLevel="1" x14ac:dyDescent="0.2">
      <c r="A6" s="30" t="str">
        <f>IFERROR(INDEX(Maestro!FcDetalle,MATCH($C$4,Maestro!FcClave,0),11),"-")</f>
        <v>-</v>
      </c>
      <c r="B6" s="31"/>
      <c r="C6" s="32"/>
      <c r="D6" s="32"/>
      <c r="E6" s="32"/>
      <c r="F6" s="32"/>
      <c r="G6" s="32"/>
      <c r="H6" s="33"/>
      <c r="I6" s="31" t="str">
        <f>IFERROR(INDEX(Maestro!FcDetalle,MATCH($C$4,Maestro!FcClave,0),12),"-")</f>
        <v>-</v>
      </c>
      <c r="J6" s="31"/>
      <c r="K6" s="34"/>
      <c r="L6" s="31" t="str">
        <f>IFERROR(INDEX(Maestro!FcDetalle,MATCH($C$4,Maestro!FcClave,0),13),"-")</f>
        <v>-</v>
      </c>
      <c r="M6" s="34"/>
      <c r="N6" s="31" t="str">
        <f>IFERROR(INDEX(Maestro!FcDetalle,MATCH($C$4,Maestro!FcClave,0),14),"-")</f>
        <v>-</v>
      </c>
      <c r="O6" s="35"/>
      <c r="P6" s="3"/>
      <c r="Q6" s="4"/>
      <c r="V6" s="183"/>
    </row>
    <row r="7" spans="1:22" ht="12" hidden="1" customHeight="1" outlineLevel="1" x14ac:dyDescent="0.2">
      <c r="A7" s="36" t="s">
        <v>14</v>
      </c>
      <c r="B7" s="26"/>
      <c r="C7" s="26"/>
      <c r="D7" s="26"/>
      <c r="E7" s="27"/>
      <c r="F7" s="26" t="s">
        <v>12</v>
      </c>
      <c r="G7" s="25"/>
      <c r="H7" s="26" t="s">
        <v>11</v>
      </c>
      <c r="I7" s="27"/>
      <c r="J7" s="26" t="s">
        <v>15</v>
      </c>
      <c r="K7" s="37"/>
      <c r="L7" s="27"/>
      <c r="M7" s="90" t="s">
        <v>16</v>
      </c>
      <c r="N7" s="90" t="s">
        <v>19</v>
      </c>
      <c r="O7" s="125" t="s">
        <v>13</v>
      </c>
      <c r="P7" s="3"/>
      <c r="V7" s="183"/>
    </row>
    <row r="8" spans="1:22" ht="12" hidden="1" customHeight="1" outlineLevel="1" x14ac:dyDescent="0.2">
      <c r="A8" s="30" t="str">
        <f>IFERROR(INDEX(Maestro!FcDetalle,MATCH($C$4,Maestro!FcClave,0),16),"-")</f>
        <v>-</v>
      </c>
      <c r="B8" s="77"/>
      <c r="C8" s="77"/>
      <c r="D8" s="77"/>
      <c r="E8" s="78"/>
      <c r="F8" s="86" t="str">
        <f>IFERROR(INDEX(Maestro!FcDetalle,MATCH($C$4,Maestro!FcClave,0),17),"-")</f>
        <v>-</v>
      </c>
      <c r="G8" s="87"/>
      <c r="H8" s="77" t="str">
        <f>IFERROR(INDEX(Maestro!FcDetalle,MATCH($C$4,Maestro!FcClave,0),18),"-")</f>
        <v>-</v>
      </c>
      <c r="I8" s="78"/>
      <c r="J8" s="77" t="str">
        <f>IFERROR(INDEX(Maestro!FcDetalle,MATCH($C$4,Maestro!FcClave,0),22),"-")</f>
        <v>-</v>
      </c>
      <c r="K8" s="77"/>
      <c r="L8" s="34"/>
      <c r="M8" s="91" t="str">
        <f>IFERROR(INDEX(Maestro!FcDetalle,MATCH($C$4,Maestro!FcClave,0),23),"-")</f>
        <v>-</v>
      </c>
      <c r="N8" s="91">
        <f>COUNTIF(D57:O57,"&gt;0")/12</f>
        <v>0</v>
      </c>
      <c r="O8" s="133" t="str">
        <f>IF(ISERROR(ROUND(SUM(D57:O57)/SUM(D135:O135),1))=TRUE,"-",ROUND(SUM(D57:O57)/SUM(D135:O135),1))</f>
        <v>-</v>
      </c>
      <c r="P8" s="3"/>
      <c r="V8" s="317"/>
    </row>
    <row r="9" spans="1:22" ht="12" customHeight="1" collapsed="1" x14ac:dyDescent="0.2">
      <c r="A9" s="92" t="s">
        <v>34</v>
      </c>
      <c r="B9" s="95"/>
      <c r="C9" s="332" t="s">
        <v>35</v>
      </c>
      <c r="D9" s="333"/>
      <c r="E9" s="88" t="s">
        <v>37</v>
      </c>
      <c r="F9" s="89"/>
      <c r="G9" s="75"/>
      <c r="H9" s="75"/>
      <c r="I9" s="75" t="str">
        <f>IFERROR(VALUE(MID(INDEX(Maestro!FcDetalle,MATCH($C$4,Maestro!FcClave,0),7),(11*9)+1,10)),"-")</f>
        <v>-</v>
      </c>
      <c r="J9" s="75" t="str">
        <f>IFERROR(VALUE(MID(INDEX(Maestro!FcDetalle,MATCH($C$4,Maestro!FcClave,0),7),(11*8)+1,10)),"-")</f>
        <v>-</v>
      </c>
      <c r="K9" s="75" t="str">
        <f>IFERROR(VALUE(MID(INDEX(Maestro!FcDetalle,MATCH($C$4,Maestro!FcClave,0),7),(11*7)+1,10)),"-")</f>
        <v>-</v>
      </c>
      <c r="L9" s="330" t="s">
        <v>36</v>
      </c>
      <c r="M9" s="331"/>
      <c r="N9" s="126" t="s">
        <v>20</v>
      </c>
      <c r="O9" s="93" t="s">
        <v>27</v>
      </c>
      <c r="P9" s="179"/>
      <c r="Q9" s="131"/>
      <c r="V9" s="315" t="b">
        <v>0</v>
      </c>
    </row>
    <row r="10" spans="1:22" ht="12" customHeight="1" thickBot="1" x14ac:dyDescent="0.25">
      <c r="A10" s="61" t="str">
        <f>IFERROR(INDEX(Maestro!FcDetalle,MATCH($C$4,Maestro!FcClave,0),3),FcCliente)</f>
        <v/>
      </c>
      <c r="B10" s="96"/>
      <c r="C10" s="334" t="str">
        <f>IFERROR(INDEX(Maestro!FcDetalle,MATCH($C$4,Maestro!FcClave,0),6),"-")</f>
        <v>-</v>
      </c>
      <c r="D10" s="335"/>
      <c r="E10" s="56" t="str">
        <f>IFERROR(VALUE(MID(INDEX(Maestro!FcDetalle,MATCH($C$4,Maestro!FcClave,0),7),(11*0)+1,10)),"-")</f>
        <v>-</v>
      </c>
      <c r="F10" s="58" t="str">
        <f>IFERROR(VALUE(MID(INDEX(Maestro!FcDetalle,MATCH($C$4,Maestro!FcClave,0),7),(11*1)+1,10)),"-")</f>
        <v>-</v>
      </c>
      <c r="G10" s="58" t="str">
        <f>IFERROR(VALUE(MID(INDEX(Maestro!FcDetalle,MATCH($C$4,Maestro!FcClave,0),7),(11*2)+1,10)),"-")</f>
        <v>-</v>
      </c>
      <c r="H10" s="58" t="str">
        <f>IFERROR(VALUE(MID(INDEX(Maestro!FcDetalle,MATCH($C$4,Maestro!FcClave,0),7),(11*3)+1,10)),"-")</f>
        <v>-</v>
      </c>
      <c r="I10" s="58" t="str">
        <f>IFERROR(VALUE(MID(INDEX(Maestro!FcDetalle,MATCH($C$4,Maestro!FcClave,0),7),(11*4)+1,10)),"-")</f>
        <v>-</v>
      </c>
      <c r="J10" s="58" t="str">
        <f>IFERROR(VALUE(MID(INDEX(Maestro!FcDetalle,MATCH($C$4,Maestro!FcClave,0),7),(11*5)+1,10)),"-")</f>
        <v>-</v>
      </c>
      <c r="K10" s="57" t="str">
        <f>IFERROR(VALUE(MID(INDEX(Maestro!FcDetalle,MATCH($C$4,Maestro!FcClave,0),7),(11*6)+1,10)),"-")</f>
        <v>-</v>
      </c>
      <c r="L10" s="328" t="str">
        <f>IFERROR(INDEX(Maestro!FcDetalle,MATCH($C$4,Maestro!FcClave,0),24),"-")</f>
        <v>-</v>
      </c>
      <c r="M10" s="329"/>
      <c r="N10" s="127">
        <f>IF(ISERROR(AVERAGE(D57:O57))=TRUE,"-",AVERAGE(D57:O57))</f>
        <v>0</v>
      </c>
      <c r="O10" s="94" t="str">
        <f>IFERROR(INDEX(Maestro!FcDetalle,MATCH($C$4,Maestro!FcClave,0),8),"-")</f>
        <v>-</v>
      </c>
      <c r="P10" s="3"/>
      <c r="Q10" s="4"/>
      <c r="V10" s="251" t="b">
        <v>0</v>
      </c>
    </row>
    <row r="11" spans="1:22" ht="8.25" customHeight="1" thickBo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3"/>
      <c r="Q11" s="323" t="str">
        <f>CONCATENATE("compras anuales ",IF(FcCheckMoneda,"US$ aprox","S/."))</f>
        <v>compras anuales S/.</v>
      </c>
      <c r="R11" s="323"/>
      <c r="S11" s="323"/>
      <c r="T11" s="323"/>
      <c r="U11" s="323"/>
      <c r="V11" s="315">
        <f>IF(AND(FcCheckMoneda=FALSE,FcCheckIgv=FALSE),21,IF(AND(FcCheckMoneda=TRUE,FcCheckIgv=FALSE),53,IF(AND(FcCheckMoneda=FALSE,FcCheckIgv=TRUE),40,66)))</f>
        <v>21</v>
      </c>
    </row>
    <row r="12" spans="1:22" ht="12" customHeight="1" thickBot="1" x14ac:dyDescent="0.25">
      <c r="A12" s="12" t="str">
        <f>CONCATENATE(IF(FcCheckMoneda,"US$","S/."),IF(FcCheckIgv,"con IGV"," sin IGV"))</f>
        <v>S/. sin IGV</v>
      </c>
      <c r="B12" s="13" t="s">
        <v>31</v>
      </c>
      <c r="C12" s="13">
        <f t="shared" ref="C12:N12" si="0">DATE(IF(MONTH(D12)=1,YEAR(D12)-1,YEAR(D12)),IF(MONTH(D12)=1,12,MONTH(D12)-1),1)</f>
        <v>41548</v>
      </c>
      <c r="D12" s="13">
        <f t="shared" si="0"/>
        <v>41579</v>
      </c>
      <c r="E12" s="13">
        <f t="shared" si="0"/>
        <v>41609</v>
      </c>
      <c r="F12" s="13">
        <f t="shared" si="0"/>
        <v>41640</v>
      </c>
      <c r="G12" s="13">
        <f t="shared" si="0"/>
        <v>41671</v>
      </c>
      <c r="H12" s="13">
        <f t="shared" si="0"/>
        <v>41699</v>
      </c>
      <c r="I12" s="13">
        <f t="shared" si="0"/>
        <v>41730</v>
      </c>
      <c r="J12" s="13">
        <f t="shared" si="0"/>
        <v>41760</v>
      </c>
      <c r="K12" s="13">
        <f t="shared" si="0"/>
        <v>41791</v>
      </c>
      <c r="L12" s="13">
        <f t="shared" si="0"/>
        <v>41821</v>
      </c>
      <c r="M12" s="13">
        <f t="shared" si="0"/>
        <v>41852</v>
      </c>
      <c r="N12" s="13">
        <f t="shared" si="0"/>
        <v>41883</v>
      </c>
      <c r="O12" s="14">
        <f>DATE(YEAR(FcFecha),MONTH(FcFecha),1)</f>
        <v>41913</v>
      </c>
      <c r="P12" s="3"/>
      <c r="Q12" s="139">
        <f>R12-1</f>
        <v>2010</v>
      </c>
      <c r="R12" s="140">
        <f>S12-1</f>
        <v>2011</v>
      </c>
      <c r="S12" s="140">
        <f>T12-1</f>
        <v>2012</v>
      </c>
      <c r="T12" s="140">
        <f>U12-1</f>
        <v>2013</v>
      </c>
      <c r="U12" s="141">
        <f>YEAR($A$4)</f>
        <v>2014</v>
      </c>
      <c r="V12" s="315">
        <f>IF(AND(FcCheckMoneda=FALSE,FcCheckIgv=FALSE),85,IF(AND(FcCheckMoneda=TRUE,FcCheckIgv=FALSE),97,IF(AND(FcCheckMoneda=FALSE,FcCheckIgv=TRUE),91,103)))</f>
        <v>85</v>
      </c>
    </row>
    <row r="13" spans="1:22" ht="12" hidden="1" customHeight="1" outlineLevel="1" x14ac:dyDescent="0.2">
      <c r="A13" s="43" t="str">
        <f>IF($E$10="-",$C$4,$E$10)</f>
        <v/>
      </c>
      <c r="B13" s="98" t="str">
        <f>IFERROR(INDEX(Maestro!FcDetalle,MATCH(A13,Maestro!FcClave,0),5),"")</f>
        <v/>
      </c>
      <c r="C13" s="111" t="str">
        <f>IFERROR(INDEX(Venta!FcDetalle,MATCH(CONCATENATE(A13,"LYS"),Venta!FcClave,0),FcInicioVtaMes+0),"")</f>
        <v/>
      </c>
      <c r="D13" s="111" t="str">
        <f>IFERROR(INDEX(Venta!FcDetalle,MATCH(CONCATENATE(A13,"LYS"),Venta!FcClave,0),FcInicioVtaMes+1),"")</f>
        <v/>
      </c>
      <c r="E13" s="111" t="str">
        <f>IFERROR(INDEX(Venta!FcDetalle,MATCH(CONCATENATE(A13,"LYS"),Venta!FcClave,0),FcInicioVtaMes+2),"")</f>
        <v/>
      </c>
      <c r="F13" s="111" t="str">
        <f>IFERROR(INDEX(Venta!FcDetalle,MATCH(CONCATENATE(A13,"LYS"),Venta!FcClave,0),FcInicioVtaMes+3),"")</f>
        <v/>
      </c>
      <c r="G13" s="111" t="str">
        <f>IFERROR(INDEX(Venta!FcDetalle,MATCH(CONCATENATE(A13,"LYS"),Venta!FcClave,0),FcInicioVtaMes+4),"")</f>
        <v/>
      </c>
      <c r="H13" s="111" t="str">
        <f>IFERROR(INDEX(Venta!FcDetalle,MATCH(CONCATENATE(A13,"LYS"),Venta!FcClave,0),FcInicioVtaMes+5),"")</f>
        <v/>
      </c>
      <c r="I13" s="111" t="str">
        <f>IFERROR(INDEX(Venta!FcDetalle,MATCH(CONCATENATE(A13,"LYS"),Venta!FcClave,0),FcInicioVtaMes+6),"")</f>
        <v/>
      </c>
      <c r="J13" s="111" t="str">
        <f>IFERROR(INDEX(Venta!FcDetalle,MATCH(CONCATENATE(A13,"LYS"),Venta!FcClave,0),FcInicioVtaMes+7),"")</f>
        <v/>
      </c>
      <c r="K13" s="111" t="str">
        <f>IFERROR(INDEX(Venta!FcDetalle,MATCH(CONCATENATE(A13,"LYS"),Venta!FcClave,0),FcInicioVtaMes+8),"")</f>
        <v/>
      </c>
      <c r="L13" s="111" t="str">
        <f>IFERROR(INDEX(Venta!FcDetalle,MATCH(CONCATENATE(A13,"LYS"),Venta!FcClave,0),FcInicioVtaMes+9),"")</f>
        <v/>
      </c>
      <c r="M13" s="111" t="str">
        <f>IFERROR(INDEX(Venta!FcDetalle,MATCH(CONCATENATE(A13,"LYS"),Venta!FcClave,0),FcInicioVtaMes+10),"")</f>
        <v/>
      </c>
      <c r="N13" s="111" t="str">
        <f>IFERROR(INDEX(Venta!FcDetalle,MATCH(CONCATENATE(A13,"LYS"),Venta!FcClave,0),FcInicioVtaMes+11),"")</f>
        <v/>
      </c>
      <c r="O13" s="111" t="str">
        <f>IFERROR(INDEX(Venta!FcDetalle,MATCH(CONCATENATE(A13,"LYS"),Venta!FcClave,0),FcInicioVtaMes+12),"")</f>
        <v/>
      </c>
      <c r="P13" s="3"/>
      <c r="Q13" s="206" t="str">
        <f>IFERROR(INDEX(Venta!FcDetalle,MATCH(CONCATENATE(A13,"LYS"),Venta!FcClave,0),FcInicioVtaAnual+0),"")</f>
        <v/>
      </c>
      <c r="R13" s="63" t="str">
        <f>IFERROR(INDEX(Venta!FcDetalle,MATCH(CONCATENATE(A13,"LYS"),Venta!FcClave,0),FcInicioVtaAnual+1),"")</f>
        <v/>
      </c>
      <c r="S13" s="63" t="str">
        <f>IFERROR(INDEX(Venta!FcDetalle,MATCH(CONCATENATE(A13,"LYS"),Venta!FcClave,0),FcInicioVtaAnual+2),"")</f>
        <v/>
      </c>
      <c r="T13" s="63" t="str">
        <f>IFERROR(INDEX(Venta!FcDetalle,MATCH(CONCATENATE(A13,"LYS"),Venta!FcClave,0),FcInicioVtaAnual+3),"")</f>
        <v/>
      </c>
      <c r="U13" s="64" t="str">
        <f>IFERROR(IF(FcCheckProy=FALSE,INDEX(Venta!FcDetalle,MATCH(CONCATENATE(A13,"LYS"),Venta!FcClave,0),FcInicioVtaAnual+4),INDEX(Venta!FcDetalle,MATCH(CONCATENATE(A13,"LYS"),Venta!FcClave,0),FcInicioVtaAnual+5)),"")</f>
        <v/>
      </c>
      <c r="V13" s="315">
        <v>8</v>
      </c>
    </row>
    <row r="14" spans="1:22" ht="12" hidden="1" customHeight="1" outlineLevel="1" x14ac:dyDescent="0.2">
      <c r="A14" s="43" t="str">
        <f>IF($F$10="-","",$F$10)</f>
        <v/>
      </c>
      <c r="B14" s="98" t="str">
        <f>IFERROR(INDEX(Maestro!FcDetalle,MATCH(A14,Maestro!FcClave,0),5),"")</f>
        <v/>
      </c>
      <c r="C14" s="111" t="str">
        <f>IFERROR(INDEX(Venta!FcDetalle,MATCH(CONCATENATE(A14,"LYS"),Venta!FcClave,0),FcInicioVtaMes+0),"")</f>
        <v/>
      </c>
      <c r="D14" s="111" t="str">
        <f>IFERROR(INDEX(Venta!FcDetalle,MATCH(CONCATENATE(A14,"LYS"),Venta!FcClave,0),FcInicioVtaMes+1),"")</f>
        <v/>
      </c>
      <c r="E14" s="111" t="str">
        <f>IFERROR(INDEX(Venta!FcDetalle,MATCH(CONCATENATE(A14,"LYS"),Venta!FcClave,0),FcInicioVtaMes+2),"")</f>
        <v/>
      </c>
      <c r="F14" s="111" t="str">
        <f>IFERROR(INDEX(Venta!FcDetalle,MATCH(CONCATENATE(A14,"LYS"),Venta!FcClave,0),FcInicioVtaMes+3),"")</f>
        <v/>
      </c>
      <c r="G14" s="111" t="str">
        <f>IFERROR(INDEX(Venta!FcDetalle,MATCH(CONCATENATE(A14,"LYS"),Venta!FcClave,0),FcInicioVtaMes+4),"")</f>
        <v/>
      </c>
      <c r="H14" s="111" t="str">
        <f>IFERROR(INDEX(Venta!FcDetalle,MATCH(CONCATENATE(A14,"LYS"),Venta!FcClave,0),FcInicioVtaMes+5),"")</f>
        <v/>
      </c>
      <c r="I14" s="111" t="str">
        <f>IFERROR(INDEX(Venta!FcDetalle,MATCH(CONCATENATE(A14,"LYS"),Venta!FcClave,0),FcInicioVtaMes+6),"")</f>
        <v/>
      </c>
      <c r="J14" s="111" t="str">
        <f>IFERROR(INDEX(Venta!FcDetalle,MATCH(CONCATENATE(A14,"LYS"),Venta!FcClave,0),FcInicioVtaMes+7),"")</f>
        <v/>
      </c>
      <c r="K14" s="111" t="str">
        <f>IFERROR(INDEX(Venta!FcDetalle,MATCH(CONCATENATE(A14,"LYS"),Venta!FcClave,0),FcInicioVtaMes+8),"")</f>
        <v/>
      </c>
      <c r="L14" s="111" t="str">
        <f>IFERROR(INDEX(Venta!FcDetalle,MATCH(CONCATENATE(A14,"LYS"),Venta!FcClave,0),FcInicioVtaMes+9),"")</f>
        <v/>
      </c>
      <c r="M14" s="111" t="str">
        <f>IFERROR(INDEX(Venta!FcDetalle,MATCH(CONCATENATE(A14,"LYS"),Venta!FcClave,0),FcInicioVtaMes+10),"")</f>
        <v/>
      </c>
      <c r="N14" s="111" t="str">
        <f>IFERROR(INDEX(Venta!FcDetalle,MATCH(CONCATENATE(A14,"LYS"),Venta!FcClave,0),FcInicioVtaMes+11),"")</f>
        <v/>
      </c>
      <c r="O14" s="111" t="str">
        <f>IFERROR(INDEX(Venta!FcDetalle,MATCH(CONCATENATE(A14,"LYS"),Venta!FcClave,0),FcInicioVtaMes+12),"")</f>
        <v/>
      </c>
      <c r="P14" s="3"/>
      <c r="Q14" s="206" t="str">
        <f>IFERROR(INDEX(Venta!FcDetalle,MATCH(CONCATENATE(A14,"LYS"),Venta!FcClave,0),FcInicioVtaAnual+0),"")</f>
        <v/>
      </c>
      <c r="R14" s="63" t="str">
        <f>IFERROR(INDEX(Venta!FcDetalle,MATCH(CONCATENATE(A14,"LYS"),Venta!FcClave,0),FcInicioVtaAnual+1),"")</f>
        <v/>
      </c>
      <c r="S14" s="63" t="str">
        <f>IFERROR(INDEX(Venta!FcDetalle,MATCH(CONCATENATE(A14,"LYS"),Venta!FcClave,0),FcInicioVtaAnual+2),"")</f>
        <v/>
      </c>
      <c r="T14" s="63" t="str">
        <f>IFERROR(INDEX(Venta!FcDetalle,MATCH(CONCATENATE(A14,"LYS"),Venta!FcClave,0),FcInicioVtaAnual+3),"")</f>
        <v/>
      </c>
      <c r="U14" s="64" t="str">
        <f>IFERROR(IF(FcCheckProy=FALSE,INDEX(Venta!FcDetalle,MATCH(CONCATENATE(A14,"LYS"),Venta!FcClave,0),FcInicioVtaAnual+4),INDEX(Venta!FcDetalle,MATCH(CONCATENATE(A14,"LYS"),Venta!FcClave,0),FcInicioVtaAnual+5)),"")</f>
        <v/>
      </c>
      <c r="V14" s="315">
        <v>79</v>
      </c>
    </row>
    <row r="15" spans="1:22" ht="12" hidden="1" customHeight="1" outlineLevel="1" x14ac:dyDescent="0.2">
      <c r="A15" s="43" t="str">
        <f>IF($G$10="-","",$G$10)</f>
        <v/>
      </c>
      <c r="B15" s="98" t="str">
        <f>IFERROR(INDEX(Maestro!FcDetalle,MATCH(A15,Maestro!FcClave,0),5),"")</f>
        <v/>
      </c>
      <c r="C15" s="111" t="str">
        <f>IFERROR(INDEX(Venta!FcDetalle,MATCH(CONCATENATE(A15,"LYS"),Venta!FcClave,0),FcInicioVtaMes+0),"")</f>
        <v/>
      </c>
      <c r="D15" s="111" t="str">
        <f>IFERROR(INDEX(Venta!FcDetalle,MATCH(CONCATENATE(A15,"LYS"),Venta!FcClave,0),FcInicioVtaMes+1),"")</f>
        <v/>
      </c>
      <c r="E15" s="111" t="str">
        <f>IFERROR(INDEX(Venta!FcDetalle,MATCH(CONCATENATE(A15,"LYS"),Venta!FcClave,0),FcInicioVtaMes+2),"")</f>
        <v/>
      </c>
      <c r="F15" s="111" t="str">
        <f>IFERROR(INDEX(Venta!FcDetalle,MATCH(CONCATENATE(A15,"LYS"),Venta!FcClave,0),FcInicioVtaMes+3),"")</f>
        <v/>
      </c>
      <c r="G15" s="111" t="str">
        <f>IFERROR(INDEX(Venta!FcDetalle,MATCH(CONCATENATE(A15,"LYS"),Venta!FcClave,0),FcInicioVtaMes+4),"")</f>
        <v/>
      </c>
      <c r="H15" s="111" t="str">
        <f>IFERROR(INDEX(Venta!FcDetalle,MATCH(CONCATENATE(A15,"LYS"),Venta!FcClave,0),FcInicioVtaMes+5),"")</f>
        <v/>
      </c>
      <c r="I15" s="111" t="str">
        <f>IFERROR(INDEX(Venta!FcDetalle,MATCH(CONCATENATE(A15,"LYS"),Venta!FcClave,0),FcInicioVtaMes+6),"")</f>
        <v/>
      </c>
      <c r="J15" s="111" t="str">
        <f>IFERROR(INDEX(Venta!FcDetalle,MATCH(CONCATENATE(A15,"LYS"),Venta!FcClave,0),FcInicioVtaMes+7),"")</f>
        <v/>
      </c>
      <c r="K15" s="111" t="str">
        <f>IFERROR(INDEX(Venta!FcDetalle,MATCH(CONCATENATE(A15,"LYS"),Venta!FcClave,0),FcInicioVtaMes+8),"")</f>
        <v/>
      </c>
      <c r="L15" s="111" t="str">
        <f>IFERROR(INDEX(Venta!FcDetalle,MATCH(CONCATENATE(A15,"LYS"),Venta!FcClave,0),FcInicioVtaMes+9),"")</f>
        <v/>
      </c>
      <c r="M15" s="111" t="str">
        <f>IFERROR(INDEX(Venta!FcDetalle,MATCH(CONCATENATE(A15,"LYS"),Venta!FcClave,0),FcInicioVtaMes+10),"")</f>
        <v/>
      </c>
      <c r="N15" s="111" t="str">
        <f>IFERROR(INDEX(Venta!FcDetalle,MATCH(CONCATENATE(A15,"LYS"),Venta!FcClave,0),FcInicioVtaMes+11),"")</f>
        <v/>
      </c>
      <c r="O15" s="111" t="str">
        <f>IFERROR(INDEX(Venta!FcDetalle,MATCH(CONCATENATE(A15,"LYS"),Venta!FcClave,0),FcInicioVtaMes+12),"")</f>
        <v/>
      </c>
      <c r="P15" s="3"/>
      <c r="Q15" s="206" t="str">
        <f>IFERROR(INDEX(Venta!FcDetalle,MATCH(CONCATENATE(A15,"LYS"),Venta!FcClave,0),FcInicioVtaAnual+0),"")</f>
        <v/>
      </c>
      <c r="R15" s="63" t="str">
        <f>IFERROR(INDEX(Venta!FcDetalle,MATCH(CONCATENATE(A15,"LYS"),Venta!FcClave,0),FcInicioVtaAnual+1),"")</f>
        <v/>
      </c>
      <c r="S15" s="63" t="str">
        <f>IFERROR(INDEX(Venta!FcDetalle,MATCH(CONCATENATE(A15,"LYS"),Venta!FcClave,0),FcInicioVtaAnual+2),"")</f>
        <v/>
      </c>
      <c r="T15" s="63" t="str">
        <f>IFERROR(INDEX(Venta!FcDetalle,MATCH(CONCATENATE(A15,"LYS"),Venta!FcClave,0),FcInicioVtaAnual+3),"")</f>
        <v/>
      </c>
      <c r="U15" s="64" t="str">
        <f>IFERROR(IF(FcCheckProy=FALSE,INDEX(Venta!FcDetalle,MATCH(CONCATENATE(A15,"LYS"),Venta!FcClave,0),FcInicioVtaAnual+4),INDEX(Venta!FcDetalle,MATCH(CONCATENATE(A15,"LYS"),Venta!FcClave,0),FcInicioVtaAnual+5)),"")</f>
        <v/>
      </c>
      <c r="V15" s="251" t="b">
        <v>0</v>
      </c>
    </row>
    <row r="16" spans="1:22" ht="12" hidden="1" customHeight="1" outlineLevel="1" x14ac:dyDescent="0.2">
      <c r="A16" s="43" t="str">
        <f>IF($H$10="-","",$H$10)</f>
        <v/>
      </c>
      <c r="B16" s="98" t="str">
        <f>IFERROR(INDEX(Maestro!FcDetalle,MATCH(A16,Maestro!FcClave,0),5),"")</f>
        <v/>
      </c>
      <c r="C16" s="111" t="str">
        <f>IFERROR(INDEX(Venta!FcDetalle,MATCH(CONCATENATE(A16,"LYS"),Venta!FcClave,0),FcInicioVtaMes+0),"")</f>
        <v/>
      </c>
      <c r="D16" s="111" t="str">
        <f>IFERROR(INDEX(Venta!FcDetalle,MATCH(CONCATENATE(A16,"LYS"),Venta!FcClave,0),FcInicioVtaMes+1),"")</f>
        <v/>
      </c>
      <c r="E16" s="111" t="str">
        <f>IFERROR(INDEX(Venta!FcDetalle,MATCH(CONCATENATE(A16,"LYS"),Venta!FcClave,0),FcInicioVtaMes+2),"")</f>
        <v/>
      </c>
      <c r="F16" s="111" t="str">
        <f>IFERROR(INDEX(Venta!FcDetalle,MATCH(CONCATENATE(A16,"LYS"),Venta!FcClave,0),FcInicioVtaMes+3),"")</f>
        <v/>
      </c>
      <c r="G16" s="111" t="str">
        <f>IFERROR(INDEX(Venta!FcDetalle,MATCH(CONCATENATE(A16,"LYS"),Venta!FcClave,0),FcInicioVtaMes+4),"")</f>
        <v/>
      </c>
      <c r="H16" s="111" t="str">
        <f>IFERROR(INDEX(Venta!FcDetalle,MATCH(CONCATENATE(A16,"LYS"),Venta!FcClave,0),FcInicioVtaMes+5),"")</f>
        <v/>
      </c>
      <c r="I16" s="111" t="str">
        <f>IFERROR(INDEX(Venta!FcDetalle,MATCH(CONCATENATE(A16,"LYS"),Venta!FcClave,0),FcInicioVtaMes+6),"")</f>
        <v/>
      </c>
      <c r="J16" s="111" t="str">
        <f>IFERROR(INDEX(Venta!FcDetalle,MATCH(CONCATENATE(A16,"LYS"),Venta!FcClave,0),FcInicioVtaMes+7),"")</f>
        <v/>
      </c>
      <c r="K16" s="111" t="str">
        <f>IFERROR(INDEX(Venta!FcDetalle,MATCH(CONCATENATE(A16,"LYS"),Venta!FcClave,0),FcInicioVtaMes+8),"")</f>
        <v/>
      </c>
      <c r="L16" s="111" t="str">
        <f>IFERROR(INDEX(Venta!FcDetalle,MATCH(CONCATENATE(A16,"LYS"),Venta!FcClave,0),FcInicioVtaMes+9),"")</f>
        <v/>
      </c>
      <c r="M16" s="111" t="str">
        <f>IFERROR(INDEX(Venta!FcDetalle,MATCH(CONCATENATE(A16,"LYS"),Venta!FcClave,0),FcInicioVtaMes+10),"")</f>
        <v/>
      </c>
      <c r="N16" s="111" t="str">
        <f>IFERROR(INDEX(Venta!FcDetalle,MATCH(CONCATENATE(A16,"LYS"),Venta!FcClave,0),FcInicioVtaMes+11),"")</f>
        <v/>
      </c>
      <c r="O16" s="111" t="str">
        <f>IFERROR(INDEX(Venta!FcDetalle,MATCH(CONCATENATE(A16,"LYS"),Venta!FcClave,0),FcInicioVtaMes+12),"")</f>
        <v/>
      </c>
      <c r="P16" s="3"/>
      <c r="Q16" s="206" t="str">
        <f>IFERROR(INDEX(Venta!FcDetalle,MATCH(CONCATENATE(A16,"LYS"),Venta!FcClave,0),FcInicioVtaAnual+0),"")</f>
        <v/>
      </c>
      <c r="R16" s="63" t="str">
        <f>IFERROR(INDEX(Venta!FcDetalle,MATCH(CONCATENATE(A16,"LYS"),Venta!FcClave,0),FcInicioVtaAnual+1),"")</f>
        <v/>
      </c>
      <c r="S16" s="63" t="str">
        <f>IFERROR(INDEX(Venta!FcDetalle,MATCH(CONCATENATE(A16,"LYS"),Venta!FcClave,0),FcInicioVtaAnual+2),"")</f>
        <v/>
      </c>
      <c r="T16" s="63" t="str">
        <f>IFERROR(INDEX(Venta!FcDetalle,MATCH(CONCATENATE(A16,"LYS"),Venta!FcClave,0),FcInicioVtaAnual+3),"")</f>
        <v/>
      </c>
      <c r="U16" s="64" t="str">
        <f>IFERROR(IF(FcCheckProy=FALSE,INDEX(Venta!FcDetalle,MATCH(CONCATENATE(A16,"LYS"),Venta!FcClave,0),FcInicioVtaAnual+4),INDEX(Venta!FcDetalle,MATCH(CONCATENATE(A16,"LYS"),Venta!FcClave,0),FcInicioVtaAnual+5)),"")</f>
        <v/>
      </c>
      <c r="V16" s="315">
        <v>6</v>
      </c>
    </row>
    <row r="17" spans="1:22" ht="12" hidden="1" customHeight="1" outlineLevel="1" x14ac:dyDescent="0.2">
      <c r="A17" s="43" t="str">
        <f>IF($I$10="-","",$I$10)</f>
        <v/>
      </c>
      <c r="B17" s="98" t="str">
        <f>IFERROR(INDEX(Maestro!FcDetalle,MATCH(A17,Maestro!FcClave,0),5),"")</f>
        <v/>
      </c>
      <c r="C17" s="111" t="str">
        <f>IFERROR(INDEX(Venta!FcDetalle,MATCH(CONCATENATE(A17,"LYS"),Venta!FcClave,0),FcInicioVtaMes+0),"")</f>
        <v/>
      </c>
      <c r="D17" s="111" t="str">
        <f>IFERROR(INDEX(Venta!FcDetalle,MATCH(CONCATENATE(A17,"LYS"),Venta!FcClave,0),FcInicioVtaMes+1),"")</f>
        <v/>
      </c>
      <c r="E17" s="111" t="str">
        <f>IFERROR(INDEX(Venta!FcDetalle,MATCH(CONCATENATE(A17,"LYS"),Venta!FcClave,0),FcInicioVtaMes+2),"")</f>
        <v/>
      </c>
      <c r="F17" s="111" t="str">
        <f>IFERROR(INDEX(Venta!FcDetalle,MATCH(CONCATENATE(A17,"LYS"),Venta!FcClave,0),FcInicioVtaMes+3),"")</f>
        <v/>
      </c>
      <c r="G17" s="111" t="str">
        <f>IFERROR(INDEX(Venta!FcDetalle,MATCH(CONCATENATE(A17,"LYS"),Venta!FcClave,0),FcInicioVtaMes+4),"")</f>
        <v/>
      </c>
      <c r="H17" s="111" t="str">
        <f>IFERROR(INDEX(Venta!FcDetalle,MATCH(CONCATENATE(A17,"LYS"),Venta!FcClave,0),FcInicioVtaMes+5),"")</f>
        <v/>
      </c>
      <c r="I17" s="111" t="str">
        <f>IFERROR(INDEX(Venta!FcDetalle,MATCH(CONCATENATE(A17,"LYS"),Venta!FcClave,0),FcInicioVtaMes+6),"")</f>
        <v/>
      </c>
      <c r="J17" s="111" t="str">
        <f>IFERROR(INDEX(Venta!FcDetalle,MATCH(CONCATENATE(A17,"LYS"),Venta!FcClave,0),FcInicioVtaMes+7),"")</f>
        <v/>
      </c>
      <c r="K17" s="111" t="str">
        <f>IFERROR(INDEX(Venta!FcDetalle,MATCH(CONCATENATE(A17,"LYS"),Venta!FcClave,0),FcInicioVtaMes+8),"")</f>
        <v/>
      </c>
      <c r="L17" s="111" t="str">
        <f>IFERROR(INDEX(Venta!FcDetalle,MATCH(CONCATENATE(A17,"LYS"),Venta!FcClave,0),FcInicioVtaMes+9),"")</f>
        <v/>
      </c>
      <c r="M17" s="111" t="str">
        <f>IFERROR(INDEX(Venta!FcDetalle,MATCH(CONCATENATE(A17,"LYS"),Venta!FcClave,0),FcInicioVtaMes+10),"")</f>
        <v/>
      </c>
      <c r="N17" s="111" t="str">
        <f>IFERROR(INDEX(Venta!FcDetalle,MATCH(CONCATENATE(A17,"LYS"),Venta!FcClave,0),FcInicioVtaMes+11),"")</f>
        <v/>
      </c>
      <c r="O17" s="111" t="str">
        <f>IFERROR(INDEX(Venta!FcDetalle,MATCH(CONCATENATE(A17,"LYS"),Venta!FcClave,0),FcInicioVtaMes+12),"")</f>
        <v/>
      </c>
      <c r="P17" s="3"/>
      <c r="Q17" s="206" t="str">
        <f>IFERROR(INDEX(Venta!FcDetalle,MATCH(CONCATENATE(A17,"LYS"),Venta!FcClave,0),FcInicioVtaAnual+0),"")</f>
        <v/>
      </c>
      <c r="R17" s="63" t="str">
        <f>IFERROR(INDEX(Venta!FcDetalle,MATCH(CONCATENATE(A17,"LYS"),Venta!FcClave,0),FcInicioVtaAnual+1),"")</f>
        <v/>
      </c>
      <c r="S17" s="63" t="str">
        <f>IFERROR(INDEX(Venta!FcDetalle,MATCH(CONCATENATE(A17,"LYS"),Venta!FcClave,0),FcInicioVtaAnual+2),"")</f>
        <v/>
      </c>
      <c r="T17" s="63" t="str">
        <f>IFERROR(INDEX(Venta!FcDetalle,MATCH(CONCATENATE(A17,"LYS"),Venta!FcClave,0),FcInicioVtaAnual+3),"")</f>
        <v/>
      </c>
      <c r="U17" s="64" t="str">
        <f>IFERROR(IF(FcCheckProy=FALSE,INDEX(Venta!FcDetalle,MATCH(CONCATENATE(A17,"LYS"),Venta!FcClave,0),FcInicioVtaAnual+4),INDEX(Venta!FcDetalle,MATCH(CONCATENATE(A17,"LYS"),Venta!FcClave,0),FcInicioVtaAnual+5)),"")</f>
        <v/>
      </c>
      <c r="V17" s="315">
        <v>19</v>
      </c>
    </row>
    <row r="18" spans="1:22" ht="12" hidden="1" customHeight="1" outlineLevel="1" x14ac:dyDescent="0.2">
      <c r="A18" s="43" t="str">
        <f>IF($J$10="-","",$J$10)</f>
        <v/>
      </c>
      <c r="B18" s="98" t="str">
        <f>IFERROR(INDEX(Maestro!FcDetalle,MATCH(A18,Maestro!FcClave,0),5),"")</f>
        <v/>
      </c>
      <c r="C18" s="111" t="str">
        <f>IFERROR(INDEX(Venta!FcDetalle,MATCH(CONCATENATE(A18,"LYS"),Venta!FcClave,0),FcInicioVtaMes+0),"")</f>
        <v/>
      </c>
      <c r="D18" s="111" t="str">
        <f>IFERROR(INDEX(Venta!FcDetalle,MATCH(CONCATENATE(A18,"LYS"),Venta!FcClave,0),FcInicioVtaMes+1),"")</f>
        <v/>
      </c>
      <c r="E18" s="111" t="str">
        <f>IFERROR(INDEX(Venta!FcDetalle,MATCH(CONCATENATE(A18,"LYS"),Venta!FcClave,0),FcInicioVtaMes+2),"")</f>
        <v/>
      </c>
      <c r="F18" s="111" t="str">
        <f>IFERROR(INDEX(Venta!FcDetalle,MATCH(CONCATENATE(A18,"LYS"),Venta!FcClave,0),FcInicioVtaMes+3),"")</f>
        <v/>
      </c>
      <c r="G18" s="111" t="str">
        <f>IFERROR(INDEX(Venta!FcDetalle,MATCH(CONCATENATE(A18,"LYS"),Venta!FcClave,0),FcInicioVtaMes+4),"")</f>
        <v/>
      </c>
      <c r="H18" s="111" t="str">
        <f>IFERROR(INDEX(Venta!FcDetalle,MATCH(CONCATENATE(A18,"LYS"),Venta!FcClave,0),FcInicioVtaMes+5),"")</f>
        <v/>
      </c>
      <c r="I18" s="111" t="str">
        <f>IFERROR(INDEX(Venta!FcDetalle,MATCH(CONCATENATE(A18,"LYS"),Venta!FcClave,0),FcInicioVtaMes+6),"")</f>
        <v/>
      </c>
      <c r="J18" s="111" t="str">
        <f>IFERROR(INDEX(Venta!FcDetalle,MATCH(CONCATENATE(A18,"LYS"),Venta!FcClave,0),FcInicioVtaMes+7),"")</f>
        <v/>
      </c>
      <c r="K18" s="111" t="str">
        <f>IFERROR(INDEX(Venta!FcDetalle,MATCH(CONCATENATE(A18,"LYS"),Venta!FcClave,0),FcInicioVtaMes+8),"")</f>
        <v/>
      </c>
      <c r="L18" s="111" t="str">
        <f>IFERROR(INDEX(Venta!FcDetalle,MATCH(CONCATENATE(A18,"LYS"),Venta!FcClave,0),FcInicioVtaMes+9),"")</f>
        <v/>
      </c>
      <c r="M18" s="111" t="str">
        <f>IFERROR(INDEX(Venta!FcDetalle,MATCH(CONCATENATE(A18,"LYS"),Venta!FcClave,0),FcInicioVtaMes+10),"")</f>
        <v/>
      </c>
      <c r="N18" s="111" t="str">
        <f>IFERROR(INDEX(Venta!FcDetalle,MATCH(CONCATENATE(A18,"LYS"),Venta!FcClave,0),FcInicioVtaMes+11),"")</f>
        <v/>
      </c>
      <c r="O18" s="111" t="str">
        <f>IFERROR(INDEX(Venta!FcDetalle,MATCH(CONCATENATE(A18,"LYS"),Venta!FcClave,0),FcInicioVtaMes+12),"")</f>
        <v/>
      </c>
      <c r="P18" s="3"/>
      <c r="Q18" s="206" t="str">
        <f>IFERROR(INDEX(Venta!FcDetalle,MATCH(CONCATENATE(A18,"LYS"),Venta!FcClave,0),FcInicioVtaAnual+0),"")</f>
        <v/>
      </c>
      <c r="R18" s="63" t="str">
        <f>IFERROR(INDEX(Venta!FcDetalle,MATCH(CONCATENATE(A18,"LYS"),Venta!FcClave,0),FcInicioVtaAnual+1),"")</f>
        <v/>
      </c>
      <c r="S18" s="63" t="str">
        <f>IFERROR(INDEX(Venta!FcDetalle,MATCH(CONCATENATE(A18,"LYS"),Venta!FcClave,0),FcInicioVtaAnual+2),"")</f>
        <v/>
      </c>
      <c r="T18" s="63" t="str">
        <f>IFERROR(INDEX(Venta!FcDetalle,MATCH(CONCATENATE(A18,"LYS"),Venta!FcClave,0),FcInicioVtaAnual+3),"")</f>
        <v/>
      </c>
      <c r="U18" s="64" t="str">
        <f>IFERROR(IF(FcCheckProy=FALSE,INDEX(Venta!FcDetalle,MATCH(CONCATENATE(A18,"LYS"),Venta!FcClave,0),FcInicioVtaAnual+4),INDEX(Venta!FcDetalle,MATCH(CONCATENATE(A18,"LYS"),Venta!FcClave,0),FcInicioVtaAnual+5)),"")</f>
        <v/>
      </c>
      <c r="V18" s="251" t="str">
        <f>IF(AND(ISNUMBER($A$10),$A$10&gt;0),$A$10,FcCliente)</f>
        <v/>
      </c>
    </row>
    <row r="19" spans="1:22" ht="12" hidden="1" customHeight="1" outlineLevel="1" x14ac:dyDescent="0.2">
      <c r="A19" s="43" t="str">
        <f>IF($K$10="-","",$K$10)</f>
        <v/>
      </c>
      <c r="B19" s="98" t="str">
        <f>IFERROR(INDEX(Maestro!FcDetalle,MATCH(A19,Maestro!FcClave,0),5),"")</f>
        <v/>
      </c>
      <c r="C19" s="111" t="str">
        <f>IFERROR(INDEX(Venta!FcDetalle,MATCH(CONCATENATE(A19,"LYS"),Venta!FcClave,0),FcInicioVtaMes+0),"")</f>
        <v/>
      </c>
      <c r="D19" s="111" t="str">
        <f>IFERROR(INDEX(Venta!FcDetalle,MATCH(CONCATENATE(A19,"LYS"),Venta!FcClave,0),FcInicioVtaMes+1),"")</f>
        <v/>
      </c>
      <c r="E19" s="111" t="str">
        <f>IFERROR(INDEX(Venta!FcDetalle,MATCH(CONCATENATE(A19,"LYS"),Venta!FcClave,0),FcInicioVtaMes+2),"")</f>
        <v/>
      </c>
      <c r="F19" s="111" t="str">
        <f>IFERROR(INDEX(Venta!FcDetalle,MATCH(CONCATENATE(A19,"LYS"),Venta!FcClave,0),FcInicioVtaMes+3),"")</f>
        <v/>
      </c>
      <c r="G19" s="111" t="str">
        <f>IFERROR(INDEX(Venta!FcDetalle,MATCH(CONCATENATE(A19,"LYS"),Venta!FcClave,0),FcInicioVtaMes+4),"")</f>
        <v/>
      </c>
      <c r="H19" s="111" t="str">
        <f>IFERROR(INDEX(Venta!FcDetalle,MATCH(CONCATENATE(A19,"LYS"),Venta!FcClave,0),FcInicioVtaMes+5),"")</f>
        <v/>
      </c>
      <c r="I19" s="111" t="str">
        <f>IFERROR(INDEX(Venta!FcDetalle,MATCH(CONCATENATE(A19,"LYS"),Venta!FcClave,0),FcInicioVtaMes+6),"")</f>
        <v/>
      </c>
      <c r="J19" s="111" t="str">
        <f>IFERROR(INDEX(Venta!FcDetalle,MATCH(CONCATENATE(A19,"LYS"),Venta!FcClave,0),FcInicioVtaMes+7),"")</f>
        <v/>
      </c>
      <c r="K19" s="111" t="str">
        <f>IFERROR(INDEX(Venta!FcDetalle,MATCH(CONCATENATE(A19,"LYS"),Venta!FcClave,0),FcInicioVtaMes+8),"")</f>
        <v/>
      </c>
      <c r="L19" s="111" t="str">
        <f>IFERROR(INDEX(Venta!FcDetalle,MATCH(CONCATENATE(A19,"LYS"),Venta!FcClave,0),FcInicioVtaMes+9),"")</f>
        <v/>
      </c>
      <c r="M19" s="111" t="str">
        <f>IFERROR(INDEX(Venta!FcDetalle,MATCH(CONCATENATE(A19,"LYS"),Venta!FcClave,0),FcInicioVtaMes+10),"")</f>
        <v/>
      </c>
      <c r="N19" s="111" t="str">
        <f>IFERROR(INDEX(Venta!FcDetalle,MATCH(CONCATENATE(A19,"LYS"),Venta!FcClave,0),FcInicioVtaMes+11),"")</f>
        <v/>
      </c>
      <c r="O19" s="111" t="str">
        <f>IFERROR(INDEX(Venta!FcDetalle,MATCH(CONCATENATE(A19,"LYS"),Venta!FcClave,0),FcInicioVtaMes+12),"")</f>
        <v/>
      </c>
      <c r="P19" s="3"/>
      <c r="Q19" s="206" t="str">
        <f>IFERROR(INDEX(Venta!FcDetalle,MATCH(CONCATENATE(A19,"LYS"),Venta!FcClave,0),FcInicioVtaAnual+0),"")</f>
        <v/>
      </c>
      <c r="R19" s="63" t="str">
        <f>IFERROR(INDEX(Venta!FcDetalle,MATCH(CONCATENATE(A19,"LYS"),Venta!FcClave,0),FcInicioVtaAnual+1),"")</f>
        <v/>
      </c>
      <c r="S19" s="63" t="str">
        <f>IFERROR(INDEX(Venta!FcDetalle,MATCH(CONCATENATE(A19,"LYS"),Venta!FcClave,0),FcInicioVtaAnual+2),"")</f>
        <v/>
      </c>
      <c r="T19" s="63" t="str">
        <f>IFERROR(INDEX(Venta!FcDetalle,MATCH(CONCATENATE(A19,"LYS"),Venta!FcClave,0),FcInicioVtaAnual+3),"")</f>
        <v/>
      </c>
      <c r="U19" s="64" t="str">
        <f>IFERROR(IF(FcCheckProy=FALSE,INDEX(Venta!FcDetalle,MATCH(CONCATENATE(A19,"LYS"),Venta!FcClave,0),FcInicioVtaAnual+4),INDEX(Venta!FcDetalle,MATCH(CONCATENATE(A19,"LYS"),Venta!FcClave,0),FcInicioVtaAnual+5)),"")</f>
        <v/>
      </c>
      <c r="V19" s="183"/>
    </row>
    <row r="20" spans="1:22" ht="12" hidden="1" customHeight="1" outlineLevel="1" x14ac:dyDescent="0.2">
      <c r="A20" s="43" t="str">
        <f>IF($I$9="-","",$I$9)</f>
        <v/>
      </c>
      <c r="B20" s="98" t="str">
        <f>IFERROR(INDEX(Maestro!FcDetalle,MATCH(A20,Maestro!FcClave,0),5),"")</f>
        <v/>
      </c>
      <c r="C20" s="111" t="str">
        <f>IFERROR(INDEX(Venta!FcDetalle,MATCH(CONCATENATE(A20,"LYS"),Venta!FcClave,0),FcInicioVtaMes+0),"")</f>
        <v/>
      </c>
      <c r="D20" s="111" t="str">
        <f>IFERROR(INDEX(Venta!FcDetalle,MATCH(CONCATENATE(A20,"LYS"),Venta!FcClave,0),FcInicioVtaMes+1),"")</f>
        <v/>
      </c>
      <c r="E20" s="111" t="str">
        <f>IFERROR(INDEX(Venta!FcDetalle,MATCH(CONCATENATE(A20,"LYS"),Venta!FcClave,0),FcInicioVtaMes+2),"")</f>
        <v/>
      </c>
      <c r="F20" s="111" t="str">
        <f>IFERROR(INDEX(Venta!FcDetalle,MATCH(CONCATENATE(A20,"LYS"),Venta!FcClave,0),FcInicioVtaMes+3),"")</f>
        <v/>
      </c>
      <c r="G20" s="111" t="str">
        <f>IFERROR(INDEX(Venta!FcDetalle,MATCH(CONCATENATE(A20,"LYS"),Venta!FcClave,0),FcInicioVtaMes+4),"")</f>
        <v/>
      </c>
      <c r="H20" s="111" t="str">
        <f>IFERROR(INDEX(Venta!FcDetalle,MATCH(CONCATENATE(A20,"LYS"),Venta!FcClave,0),FcInicioVtaMes+5),"")</f>
        <v/>
      </c>
      <c r="I20" s="111" t="str">
        <f>IFERROR(INDEX(Venta!FcDetalle,MATCH(CONCATENATE(A20,"LYS"),Venta!FcClave,0),FcInicioVtaMes+6),"")</f>
        <v/>
      </c>
      <c r="J20" s="111" t="str">
        <f>IFERROR(INDEX(Venta!FcDetalle,MATCH(CONCATENATE(A20,"LYS"),Venta!FcClave,0),FcInicioVtaMes+7),"")</f>
        <v/>
      </c>
      <c r="K20" s="111" t="str">
        <f>IFERROR(INDEX(Venta!FcDetalle,MATCH(CONCATENATE(A20,"LYS"),Venta!FcClave,0),FcInicioVtaMes+8),"")</f>
        <v/>
      </c>
      <c r="L20" s="111" t="str">
        <f>IFERROR(INDEX(Venta!FcDetalle,MATCH(CONCATENATE(A20,"LYS"),Venta!FcClave,0),FcInicioVtaMes+9),"")</f>
        <v/>
      </c>
      <c r="M20" s="111" t="str">
        <f>IFERROR(INDEX(Venta!FcDetalle,MATCH(CONCATENATE(A20,"LYS"),Venta!FcClave,0),FcInicioVtaMes+10),"")</f>
        <v/>
      </c>
      <c r="N20" s="111" t="str">
        <f>IFERROR(INDEX(Venta!FcDetalle,MATCH(CONCATENATE(A20,"LYS"),Venta!FcClave,0),FcInicioVtaMes+11),"")</f>
        <v/>
      </c>
      <c r="O20" s="111" t="str">
        <f>IFERROR(INDEX(Venta!FcDetalle,MATCH(CONCATENATE(A20,"LYS"),Venta!FcClave,0),FcInicioVtaMes+12),"")</f>
        <v/>
      </c>
      <c r="P20" s="3"/>
      <c r="Q20" s="206" t="str">
        <f>IFERROR(INDEX(Venta!FcDetalle,MATCH(CONCATENATE(A20,"LYS"),Venta!FcClave,0),FcInicioVtaAnual+0),"")</f>
        <v/>
      </c>
      <c r="R20" s="63" t="str">
        <f>IFERROR(INDEX(Venta!FcDetalle,MATCH(CONCATENATE(A20,"LYS"),Venta!FcClave,0),FcInicioVtaAnual+1),"")</f>
        <v/>
      </c>
      <c r="S20" s="63" t="str">
        <f>IFERROR(INDEX(Venta!FcDetalle,MATCH(CONCATENATE(A20,"LYS"),Venta!FcClave,0),FcInicioVtaAnual+2),"")</f>
        <v/>
      </c>
      <c r="T20" s="63" t="str">
        <f>IFERROR(INDEX(Venta!FcDetalle,MATCH(CONCATENATE(A20,"LYS"),Venta!FcClave,0),FcInicioVtaAnual+3),"")</f>
        <v/>
      </c>
      <c r="U20" s="64" t="str">
        <f>IFERROR(IF(FcCheckProy=FALSE,INDEX(Venta!FcDetalle,MATCH(CONCATENATE(A20,"LYS"),Venta!FcClave,0),FcInicioVtaAnual+4),INDEX(Venta!FcDetalle,MATCH(CONCATENATE(A20,"LYS"),Venta!FcClave,0),FcInicioVtaAnual+5)),"")</f>
        <v/>
      </c>
      <c r="V20" s="316"/>
    </row>
    <row r="21" spans="1:22" ht="12" hidden="1" customHeight="1" outlineLevel="1" x14ac:dyDescent="0.2">
      <c r="A21" s="43" t="str">
        <f>IF($J$9="-","",$J$9)</f>
        <v/>
      </c>
      <c r="B21" s="98" t="str">
        <f>IFERROR(INDEX(Maestro!FcDetalle,MATCH(A21,Maestro!FcClave,0),5),"")</f>
        <v/>
      </c>
      <c r="C21" s="111" t="str">
        <f>IFERROR(INDEX(Venta!FcDetalle,MATCH(CONCATENATE(A21,"LYS"),Venta!FcClave,0),FcInicioVtaMes+0),"")</f>
        <v/>
      </c>
      <c r="D21" s="111" t="str">
        <f>IFERROR(INDEX(Venta!FcDetalle,MATCH(CONCATENATE(A21,"LYS"),Venta!FcClave,0),FcInicioVtaMes+1),"")</f>
        <v/>
      </c>
      <c r="E21" s="111" t="str">
        <f>IFERROR(INDEX(Venta!FcDetalle,MATCH(CONCATENATE(A21,"LYS"),Venta!FcClave,0),FcInicioVtaMes+2),"")</f>
        <v/>
      </c>
      <c r="F21" s="111" t="str">
        <f>IFERROR(INDEX(Venta!FcDetalle,MATCH(CONCATENATE(A21,"LYS"),Venta!FcClave,0),FcInicioVtaMes+3),"")</f>
        <v/>
      </c>
      <c r="G21" s="111" t="str">
        <f>IFERROR(INDEX(Venta!FcDetalle,MATCH(CONCATENATE(A21,"LYS"),Venta!FcClave,0),FcInicioVtaMes+4),"")</f>
        <v/>
      </c>
      <c r="H21" s="111" t="str">
        <f>IFERROR(INDEX(Venta!FcDetalle,MATCH(CONCATENATE(A21,"LYS"),Venta!FcClave,0),FcInicioVtaMes+5),"")</f>
        <v/>
      </c>
      <c r="I21" s="111" t="str">
        <f>IFERROR(INDEX(Venta!FcDetalle,MATCH(CONCATENATE(A21,"LYS"),Venta!FcClave,0),FcInicioVtaMes+6),"")</f>
        <v/>
      </c>
      <c r="J21" s="111" t="str">
        <f>IFERROR(INDEX(Venta!FcDetalle,MATCH(CONCATENATE(A21,"LYS"),Venta!FcClave,0),FcInicioVtaMes+7),"")</f>
        <v/>
      </c>
      <c r="K21" s="111" t="str">
        <f>IFERROR(INDEX(Venta!FcDetalle,MATCH(CONCATENATE(A21,"LYS"),Venta!FcClave,0),FcInicioVtaMes+8),"")</f>
        <v/>
      </c>
      <c r="L21" s="111" t="str">
        <f>IFERROR(INDEX(Venta!FcDetalle,MATCH(CONCATENATE(A21,"LYS"),Venta!FcClave,0),FcInicioVtaMes+9),"")</f>
        <v/>
      </c>
      <c r="M21" s="111" t="str">
        <f>IFERROR(INDEX(Venta!FcDetalle,MATCH(CONCATENATE(A21,"LYS"),Venta!FcClave,0),FcInicioVtaMes+10),"")</f>
        <v/>
      </c>
      <c r="N21" s="111" t="str">
        <f>IFERROR(INDEX(Venta!FcDetalle,MATCH(CONCATENATE(A21,"LYS"),Venta!FcClave,0),FcInicioVtaMes+11),"")</f>
        <v/>
      </c>
      <c r="O21" s="111" t="str">
        <f>IFERROR(INDEX(Venta!FcDetalle,MATCH(CONCATENATE(A21,"LYS"),Venta!FcClave,0),FcInicioVtaMes+12),"")</f>
        <v/>
      </c>
      <c r="P21" s="3"/>
      <c r="Q21" s="206" t="str">
        <f>IFERROR(INDEX(Venta!FcDetalle,MATCH(CONCATENATE(A21,"LYS"),Venta!FcClave,0),FcInicioVtaAnual+0),"")</f>
        <v/>
      </c>
      <c r="R21" s="63" t="str">
        <f>IFERROR(INDEX(Venta!FcDetalle,MATCH(CONCATENATE(A21,"LYS"),Venta!FcClave,0),FcInicioVtaAnual+1),"")</f>
        <v/>
      </c>
      <c r="S21" s="63" t="str">
        <f>IFERROR(INDEX(Venta!FcDetalle,MATCH(CONCATENATE(A21,"LYS"),Venta!FcClave,0),FcInicioVtaAnual+2),"")</f>
        <v/>
      </c>
      <c r="T21" s="63" t="str">
        <f>IFERROR(INDEX(Venta!FcDetalle,MATCH(CONCATENATE(A21,"LYS"),Venta!FcClave,0),FcInicioVtaAnual+3),"")</f>
        <v/>
      </c>
      <c r="U21" s="64" t="str">
        <f>IFERROR(IF(FcCheckProy=FALSE,INDEX(Venta!FcDetalle,MATCH(CONCATENATE(A21,"LYS"),Venta!FcClave,0),FcInicioVtaAnual+4),INDEX(Venta!FcDetalle,MATCH(CONCATENATE(A21,"LYS"),Venta!FcClave,0),FcInicioVtaAnual+5)),"")</f>
        <v/>
      </c>
      <c r="V21" s="316"/>
    </row>
    <row r="22" spans="1:22" ht="12" hidden="1" customHeight="1" outlineLevel="1" thickBot="1" x14ac:dyDescent="0.25">
      <c r="A22" s="97" t="str">
        <f>IF($K$9="-","",$K$9)</f>
        <v/>
      </c>
      <c r="B22" s="98" t="str">
        <f>IFERROR(INDEX(Maestro!FcDetalle,MATCH(A22,Maestro!FcClave,0),5),"")</f>
        <v/>
      </c>
      <c r="C22" s="111" t="str">
        <f>IFERROR(INDEX(Venta!FcDetalle,MATCH(CONCATENATE(A22,"LYS"),Venta!FcClave,0),FcInicioVtaMes+0),"")</f>
        <v/>
      </c>
      <c r="D22" s="111" t="str">
        <f>IFERROR(INDEX(Venta!FcDetalle,MATCH(CONCATENATE(A22,"LYS"),Venta!FcClave,0),FcInicioVtaMes+1),"")</f>
        <v/>
      </c>
      <c r="E22" s="111" t="str">
        <f>IFERROR(INDEX(Venta!FcDetalle,MATCH(CONCATENATE(A22,"LYS"),Venta!FcClave,0),FcInicioVtaMes+2),"")</f>
        <v/>
      </c>
      <c r="F22" s="111" t="str">
        <f>IFERROR(INDEX(Venta!FcDetalle,MATCH(CONCATENATE(A22,"LYS"),Venta!FcClave,0),FcInicioVtaMes+3),"")</f>
        <v/>
      </c>
      <c r="G22" s="111" t="str">
        <f>IFERROR(INDEX(Venta!FcDetalle,MATCH(CONCATENATE(A22,"LYS"),Venta!FcClave,0),FcInicioVtaMes+4),"")</f>
        <v/>
      </c>
      <c r="H22" s="111" t="str">
        <f>IFERROR(INDEX(Venta!FcDetalle,MATCH(CONCATENATE(A22,"LYS"),Venta!FcClave,0),FcInicioVtaMes+5),"")</f>
        <v/>
      </c>
      <c r="I22" s="111" t="str">
        <f>IFERROR(INDEX(Venta!FcDetalle,MATCH(CONCATENATE(A22,"LYS"),Venta!FcClave,0),FcInicioVtaMes+6),"")</f>
        <v/>
      </c>
      <c r="J22" s="111" t="str">
        <f>IFERROR(INDEX(Venta!FcDetalle,MATCH(CONCATENATE(A22,"LYS"),Venta!FcClave,0),FcInicioVtaMes+7),"")</f>
        <v/>
      </c>
      <c r="K22" s="111" t="str">
        <f>IFERROR(INDEX(Venta!FcDetalle,MATCH(CONCATENATE(A22,"LYS"),Venta!FcClave,0),FcInicioVtaMes+8),"")</f>
        <v/>
      </c>
      <c r="L22" s="111" t="str">
        <f>IFERROR(INDEX(Venta!FcDetalle,MATCH(CONCATENATE(A22,"LYS"),Venta!FcClave,0),FcInicioVtaMes+9),"")</f>
        <v/>
      </c>
      <c r="M22" s="111" t="str">
        <f>IFERROR(INDEX(Venta!FcDetalle,MATCH(CONCATENATE(A22,"LYS"),Venta!FcClave,0),FcInicioVtaMes+10),"")</f>
        <v/>
      </c>
      <c r="N22" s="111" t="str">
        <f>IFERROR(INDEX(Venta!FcDetalle,MATCH(CONCATENATE(A22,"LYS"),Venta!FcClave,0),FcInicioVtaMes+11),"")</f>
        <v/>
      </c>
      <c r="O22" s="111" t="str">
        <f>IFERROR(INDEX(Venta!FcDetalle,MATCH(CONCATENATE(A22,"LYS"),Venta!FcClave,0),FcInicioVtaMes+12),"")</f>
        <v/>
      </c>
      <c r="P22" s="3"/>
      <c r="Q22" s="206" t="str">
        <f>IFERROR(INDEX(Venta!FcDetalle,MATCH(CONCATENATE(A22,"LYS"),Venta!FcClave,0),FcInicioVtaAnual+0),"")</f>
        <v/>
      </c>
      <c r="R22" s="63" t="str">
        <f>IFERROR(INDEX(Venta!FcDetalle,MATCH(CONCATENATE(A22,"LYS"),Venta!FcClave,0),FcInicioVtaAnual+1),"")</f>
        <v/>
      </c>
      <c r="S22" s="63" t="str">
        <f>IFERROR(INDEX(Venta!FcDetalle,MATCH(CONCATENATE(A22,"LYS"),Venta!FcClave,0),FcInicioVtaAnual+2),"")</f>
        <v/>
      </c>
      <c r="T22" s="63" t="str">
        <f>IFERROR(INDEX(Venta!FcDetalle,MATCH(CONCATENATE(A22,"LYS"),Venta!FcClave,0),FcInicioVtaAnual+3),"")</f>
        <v/>
      </c>
      <c r="U22" s="64" t="str">
        <f>IFERROR(IF(FcCheckProy=FALSE,INDEX(Venta!FcDetalle,MATCH(CONCATENATE(A22,"LYS"),Venta!FcClave,0),FcInicioVtaAnual+4),INDEX(Venta!FcDetalle,MATCH(CONCATENATE(A22,"LYS"),Venta!FcClave,0),FcInicioVtaAnual+5)),"")</f>
        <v/>
      </c>
      <c r="V22" s="316"/>
    </row>
    <row r="23" spans="1:22" ht="12" customHeight="1" collapsed="1" thickBot="1" x14ac:dyDescent="0.25">
      <c r="A23" s="113" t="s">
        <v>21</v>
      </c>
      <c r="B23" s="114"/>
      <c r="C23" s="115">
        <f t="shared" ref="C23:O23" si="1">SUM(C13:C22)</f>
        <v>0</v>
      </c>
      <c r="D23" s="115">
        <f t="shared" si="1"/>
        <v>0</v>
      </c>
      <c r="E23" s="115">
        <f t="shared" si="1"/>
        <v>0</v>
      </c>
      <c r="F23" s="115">
        <f t="shared" si="1"/>
        <v>0</v>
      </c>
      <c r="G23" s="115">
        <f t="shared" si="1"/>
        <v>0</v>
      </c>
      <c r="H23" s="115">
        <f t="shared" si="1"/>
        <v>0</v>
      </c>
      <c r="I23" s="115">
        <f t="shared" si="1"/>
        <v>0</v>
      </c>
      <c r="J23" s="115">
        <f t="shared" si="1"/>
        <v>0</v>
      </c>
      <c r="K23" s="115">
        <f t="shared" si="1"/>
        <v>0</v>
      </c>
      <c r="L23" s="115">
        <f t="shared" si="1"/>
        <v>0</v>
      </c>
      <c r="M23" s="115">
        <f t="shared" si="1"/>
        <v>0</v>
      </c>
      <c r="N23" s="115">
        <f t="shared" si="1"/>
        <v>0</v>
      </c>
      <c r="O23" s="116">
        <f t="shared" si="1"/>
        <v>0</v>
      </c>
      <c r="P23" s="5"/>
      <c r="Q23" s="184">
        <f>SUM(Q13:Q22)</f>
        <v>0</v>
      </c>
      <c r="R23" s="185">
        <f>SUM(R13:R22)</f>
        <v>0</v>
      </c>
      <c r="S23" s="185">
        <f>SUM(S13:S22)</f>
        <v>0</v>
      </c>
      <c r="T23" s="185">
        <f>SUM(T13:T22)</f>
        <v>0</v>
      </c>
      <c r="U23" s="186">
        <f>SUM(U13:U22)</f>
        <v>0</v>
      </c>
      <c r="V23" s="316"/>
    </row>
    <row r="24" spans="1:22" ht="12" hidden="1" customHeight="1" outlineLevel="1" x14ac:dyDescent="0.2">
      <c r="A24" s="43" t="str">
        <f>IF($E$10="-",$C$4,$E$10)</f>
        <v/>
      </c>
      <c r="B24" s="98" t="str">
        <f>IFERROR(INDEX(Maestro!FcDetalle,MATCH(A24,Maestro!FcClave,0),5),"")</f>
        <v/>
      </c>
      <c r="C24" s="111" t="str">
        <f>IFERROR(INDEX(Venta!FcDetalle,MATCH(CONCATENATE(A24,"HPE"),Venta!FcClave,0),FcInicioVtaMes+0),"")</f>
        <v/>
      </c>
      <c r="D24" s="111" t="str">
        <f>IFERROR(INDEX(Venta!FcDetalle,MATCH(CONCATENATE(A24,"HPE"),Venta!FcClave,0),FcInicioVtaMes+1),"")</f>
        <v/>
      </c>
      <c r="E24" s="111" t="str">
        <f>IFERROR(INDEX(Venta!FcDetalle,MATCH(CONCATENATE(A24,"HPE"),Venta!FcClave,0),FcInicioVtaMes+2),"")</f>
        <v/>
      </c>
      <c r="F24" s="111" t="str">
        <f>IFERROR(INDEX(Venta!FcDetalle,MATCH(CONCATENATE(A24,"HPE"),Venta!FcClave,0),FcInicioVtaMes+3),"")</f>
        <v/>
      </c>
      <c r="G24" s="111" t="str">
        <f>IFERROR(INDEX(Venta!FcDetalle,MATCH(CONCATENATE(A24,"HPE"),Venta!FcClave,0),FcInicioVtaMes+4),"")</f>
        <v/>
      </c>
      <c r="H24" s="111" t="str">
        <f>IFERROR(INDEX(Venta!FcDetalle,MATCH(CONCATENATE(A24,"HPE"),Venta!FcClave,0),FcInicioVtaMes+5),"")</f>
        <v/>
      </c>
      <c r="I24" s="111" t="str">
        <f>IFERROR(INDEX(Venta!FcDetalle,MATCH(CONCATENATE(A24,"HPE"),Venta!FcClave,0),FcInicioVtaMes+6),"")</f>
        <v/>
      </c>
      <c r="J24" s="111" t="str">
        <f>IFERROR(INDEX(Venta!FcDetalle,MATCH(CONCATENATE(A24,"HPE"),Venta!FcClave,0),FcInicioVtaMes+7),"")</f>
        <v/>
      </c>
      <c r="K24" s="111" t="str">
        <f>IFERROR(INDEX(Venta!FcDetalle,MATCH(CONCATENATE(A24,"HPE"),Venta!FcClave,0),FcInicioVtaMes+8),"")</f>
        <v/>
      </c>
      <c r="L24" s="111" t="str">
        <f>IFERROR(INDEX(Venta!FcDetalle,MATCH(CONCATENATE(A24,"HPE"),Venta!FcClave,0),FcInicioVtaMes+9),"")</f>
        <v/>
      </c>
      <c r="M24" s="111" t="str">
        <f>IFERROR(INDEX(Venta!FcDetalle,MATCH(CONCATENATE(A24,"HPE"),Venta!FcClave,0),FcInicioVtaMes+10),"")</f>
        <v/>
      </c>
      <c r="N24" s="111" t="str">
        <f>IFERROR(INDEX(Venta!FcDetalle,MATCH(CONCATENATE(A24,"HPE"),Venta!FcClave,0),FcInicioVtaMes+11),"")</f>
        <v/>
      </c>
      <c r="O24" s="111" t="str">
        <f>IFERROR(INDEX(Venta!FcDetalle,MATCH(CONCATENATE(A24,"HPE"),Venta!FcClave,0),FcInicioVtaMes+12),"")</f>
        <v/>
      </c>
      <c r="P24" s="3"/>
      <c r="Q24" s="207" t="str">
        <f>IFERROR(INDEX(Venta!FcDetalle,MATCH(CONCATENATE(A24,"HPE"),Venta!FcClave,0),FcInicioVtaAnual+0),"")</f>
        <v/>
      </c>
      <c r="R24" s="111" t="str">
        <f>IFERROR(INDEX(Venta!FcDetalle,MATCH(CONCATENATE(A24,"HPE"),Venta!FcClave,0),FcInicioVtaAnual+1),"")</f>
        <v/>
      </c>
      <c r="S24" s="111" t="str">
        <f>IFERROR(INDEX(Venta!FcDetalle,MATCH(CONCATENATE(A24,"HPE"),Venta!FcClave,0),FcInicioVtaAnual+2),"")</f>
        <v/>
      </c>
      <c r="T24" s="111" t="str">
        <f>IFERROR(INDEX(Venta!FcDetalle,MATCH(CONCATENATE(A24,"HPE"),Venta!FcClave,0),FcInicioVtaAnual+3),"")</f>
        <v/>
      </c>
      <c r="U24" s="112" t="str">
        <f>IFERROR(IF(FcCheckProy=FALSE,INDEX(Venta!FcDetalle,MATCH(CONCATENATE(A24,"HPE"),Venta!FcClave,0),FcInicioVtaAnual+4),INDEX(Venta!FcDetalle,MATCH(CONCATENATE(A24,"HPE"),Venta!FcClave,0),FcInicioVtaAnual+5)),"")</f>
        <v/>
      </c>
      <c r="V24" s="316"/>
    </row>
    <row r="25" spans="1:22" ht="12" hidden="1" customHeight="1" outlineLevel="1" x14ac:dyDescent="0.2">
      <c r="A25" s="43" t="str">
        <f>IF($F$10="-","",$F$10)</f>
        <v/>
      </c>
      <c r="B25" s="98" t="str">
        <f>IFERROR(INDEX(Maestro!FcDetalle,MATCH(A25,Maestro!FcClave,0),5),"")</f>
        <v/>
      </c>
      <c r="C25" s="111" t="str">
        <f>IFERROR(INDEX(Venta!FcDetalle,MATCH(CONCATENATE(A25,"HPE"),Venta!FcClave,0),FcInicioVtaMes+0),"")</f>
        <v/>
      </c>
      <c r="D25" s="111" t="str">
        <f>IFERROR(INDEX(Venta!FcDetalle,MATCH(CONCATENATE(A25,"HPE"),Venta!FcClave,0),FcInicioVtaMes+1),"")</f>
        <v/>
      </c>
      <c r="E25" s="111" t="str">
        <f>IFERROR(INDEX(Venta!FcDetalle,MATCH(CONCATENATE(A25,"HPE"),Venta!FcClave,0),FcInicioVtaMes+2),"")</f>
        <v/>
      </c>
      <c r="F25" s="111" t="str">
        <f>IFERROR(INDEX(Venta!FcDetalle,MATCH(CONCATENATE(A25,"HPE"),Venta!FcClave,0),FcInicioVtaMes+3),"")</f>
        <v/>
      </c>
      <c r="G25" s="111" t="str">
        <f>IFERROR(INDEX(Venta!FcDetalle,MATCH(CONCATENATE(A25,"HPE"),Venta!FcClave,0),FcInicioVtaMes+4),"")</f>
        <v/>
      </c>
      <c r="H25" s="111" t="str">
        <f>IFERROR(INDEX(Venta!FcDetalle,MATCH(CONCATENATE(A25,"HPE"),Venta!FcClave,0),FcInicioVtaMes+5),"")</f>
        <v/>
      </c>
      <c r="I25" s="111" t="str">
        <f>IFERROR(INDEX(Venta!FcDetalle,MATCH(CONCATENATE(A25,"HPE"),Venta!FcClave,0),FcInicioVtaMes+6),"")</f>
        <v/>
      </c>
      <c r="J25" s="111" t="str">
        <f>IFERROR(INDEX(Venta!FcDetalle,MATCH(CONCATENATE(A25,"HPE"),Venta!FcClave,0),FcInicioVtaMes+7),"")</f>
        <v/>
      </c>
      <c r="K25" s="111" t="str">
        <f>IFERROR(INDEX(Venta!FcDetalle,MATCH(CONCATENATE(A25,"HPE"),Venta!FcClave,0),FcInicioVtaMes+8),"")</f>
        <v/>
      </c>
      <c r="L25" s="111" t="str">
        <f>IFERROR(INDEX(Venta!FcDetalle,MATCH(CONCATENATE(A25,"HPE"),Venta!FcClave,0),FcInicioVtaMes+9),"")</f>
        <v/>
      </c>
      <c r="M25" s="111" t="str">
        <f>IFERROR(INDEX(Venta!FcDetalle,MATCH(CONCATENATE(A25,"HPE"),Venta!FcClave,0),FcInicioVtaMes+10),"")</f>
        <v/>
      </c>
      <c r="N25" s="111" t="str">
        <f>IFERROR(INDEX(Venta!FcDetalle,MATCH(CONCATENATE(A25,"HPE"),Venta!FcClave,0),FcInicioVtaMes+11),"")</f>
        <v/>
      </c>
      <c r="O25" s="111" t="str">
        <f>IFERROR(INDEX(Venta!FcDetalle,MATCH(CONCATENATE(A25,"HPE"),Venta!FcClave,0),FcInicioVtaMes+12),"")</f>
        <v/>
      </c>
      <c r="P25" s="3"/>
      <c r="Q25" s="207" t="str">
        <f>IFERROR(INDEX(Venta!FcDetalle,MATCH(CONCATENATE(A25,"HPE"),Venta!FcClave,0),FcInicioVtaAnual+0),"")</f>
        <v/>
      </c>
      <c r="R25" s="111" t="str">
        <f>IFERROR(INDEX(Venta!FcDetalle,MATCH(CONCATENATE(A25,"HPE"),Venta!FcClave,0),FcInicioVtaAnual+1),"")</f>
        <v/>
      </c>
      <c r="S25" s="111" t="str">
        <f>IFERROR(INDEX(Venta!FcDetalle,MATCH(CONCATENATE(A25,"HPE"),Venta!FcClave,0),FcInicioVtaAnual+2),"")</f>
        <v/>
      </c>
      <c r="T25" s="111" t="str">
        <f>IFERROR(INDEX(Venta!FcDetalle,MATCH(CONCATENATE(A25,"HPE"),Venta!FcClave,0),FcInicioVtaAnual+3),"")</f>
        <v/>
      </c>
      <c r="U25" s="112" t="str">
        <f>IFERROR(IF(FcCheckProy=FALSE,INDEX(Venta!FcDetalle,MATCH(CONCATENATE(A25,"HPE"),Venta!FcClave,0),FcInicioVtaAnual+4),INDEX(Venta!FcDetalle,MATCH(CONCATENATE(A25,"HPE"),Venta!FcClave,0),FcInicioVtaAnual+5)),"")</f>
        <v/>
      </c>
      <c r="V25" s="316"/>
    </row>
    <row r="26" spans="1:22" ht="12" hidden="1" customHeight="1" outlineLevel="1" x14ac:dyDescent="0.2">
      <c r="A26" s="43" t="str">
        <f>IF($G$10="-","",$G$10)</f>
        <v/>
      </c>
      <c r="B26" s="98" t="str">
        <f>IFERROR(INDEX(Maestro!FcDetalle,MATCH(A26,Maestro!FcClave,0),5),"")</f>
        <v/>
      </c>
      <c r="C26" s="111" t="str">
        <f>IFERROR(INDEX(Venta!FcDetalle,MATCH(CONCATENATE(A26,"HPE"),Venta!FcClave,0),FcInicioVtaMes+0),"")</f>
        <v/>
      </c>
      <c r="D26" s="111" t="str">
        <f>IFERROR(INDEX(Venta!FcDetalle,MATCH(CONCATENATE(A26,"HPE"),Venta!FcClave,0),FcInicioVtaMes+1),"")</f>
        <v/>
      </c>
      <c r="E26" s="111" t="str">
        <f>IFERROR(INDEX(Venta!FcDetalle,MATCH(CONCATENATE(A26,"HPE"),Venta!FcClave,0),FcInicioVtaMes+2),"")</f>
        <v/>
      </c>
      <c r="F26" s="111" t="str">
        <f>IFERROR(INDEX(Venta!FcDetalle,MATCH(CONCATENATE(A26,"HPE"),Venta!FcClave,0),FcInicioVtaMes+3),"")</f>
        <v/>
      </c>
      <c r="G26" s="111" t="str">
        <f>IFERROR(INDEX(Venta!FcDetalle,MATCH(CONCATENATE(A26,"HPE"),Venta!FcClave,0),FcInicioVtaMes+4),"")</f>
        <v/>
      </c>
      <c r="H26" s="111" t="str">
        <f>IFERROR(INDEX(Venta!FcDetalle,MATCH(CONCATENATE(A26,"HPE"),Venta!FcClave,0),FcInicioVtaMes+5),"")</f>
        <v/>
      </c>
      <c r="I26" s="111" t="str">
        <f>IFERROR(INDEX(Venta!FcDetalle,MATCH(CONCATENATE(A26,"HPE"),Venta!FcClave,0),FcInicioVtaMes+6),"")</f>
        <v/>
      </c>
      <c r="J26" s="111" t="str">
        <f>IFERROR(INDEX(Venta!FcDetalle,MATCH(CONCATENATE(A26,"HPE"),Venta!FcClave,0),FcInicioVtaMes+7),"")</f>
        <v/>
      </c>
      <c r="K26" s="111" t="str">
        <f>IFERROR(INDEX(Venta!FcDetalle,MATCH(CONCATENATE(A26,"HPE"),Venta!FcClave,0),FcInicioVtaMes+8),"")</f>
        <v/>
      </c>
      <c r="L26" s="111" t="str">
        <f>IFERROR(INDEX(Venta!FcDetalle,MATCH(CONCATENATE(A26,"HPE"),Venta!FcClave,0),FcInicioVtaMes+9),"")</f>
        <v/>
      </c>
      <c r="M26" s="111" t="str">
        <f>IFERROR(INDEX(Venta!FcDetalle,MATCH(CONCATENATE(A26,"HPE"),Venta!FcClave,0),FcInicioVtaMes+10),"")</f>
        <v/>
      </c>
      <c r="N26" s="111" t="str">
        <f>IFERROR(INDEX(Venta!FcDetalle,MATCH(CONCATENATE(A26,"HPE"),Venta!FcClave,0),FcInicioVtaMes+11),"")</f>
        <v/>
      </c>
      <c r="O26" s="111" t="str">
        <f>IFERROR(INDEX(Venta!FcDetalle,MATCH(CONCATENATE(A26,"HPE"),Venta!FcClave,0),FcInicioVtaMes+12),"")</f>
        <v/>
      </c>
      <c r="P26" s="3"/>
      <c r="Q26" s="207" t="str">
        <f>IFERROR(INDEX(Venta!FcDetalle,MATCH(CONCATENATE(A26,"HPE"),Venta!FcClave,0),FcInicioVtaAnual+0),"")</f>
        <v/>
      </c>
      <c r="R26" s="111" t="str">
        <f>IFERROR(INDEX(Venta!FcDetalle,MATCH(CONCATENATE(A26,"HPE"),Venta!FcClave,0),FcInicioVtaAnual+1),"")</f>
        <v/>
      </c>
      <c r="S26" s="111" t="str">
        <f>IFERROR(INDEX(Venta!FcDetalle,MATCH(CONCATENATE(A26,"HPE"),Venta!FcClave,0),FcInicioVtaAnual+2),"")</f>
        <v/>
      </c>
      <c r="T26" s="111" t="str">
        <f>IFERROR(INDEX(Venta!FcDetalle,MATCH(CONCATENATE(A26,"HPE"),Venta!FcClave,0),FcInicioVtaAnual+3),"")</f>
        <v/>
      </c>
      <c r="U26" s="112" t="str">
        <f>IFERROR(IF(FcCheckProy=FALSE,INDEX(Venta!FcDetalle,MATCH(CONCATENATE(A26,"HPE"),Venta!FcClave,0),FcInicioVtaAnual+4),INDEX(Venta!FcDetalle,MATCH(CONCATENATE(A26,"HPE"),Venta!FcClave,0),FcInicioVtaAnual+5)),"")</f>
        <v/>
      </c>
      <c r="V26" s="316"/>
    </row>
    <row r="27" spans="1:22" ht="12" hidden="1" customHeight="1" outlineLevel="1" x14ac:dyDescent="0.2">
      <c r="A27" s="43" t="str">
        <f>IF($H$10="-","",$H$10)</f>
        <v/>
      </c>
      <c r="B27" s="98" t="str">
        <f>IFERROR(INDEX(Maestro!FcDetalle,MATCH(A27,Maestro!FcClave,0),5),"")</f>
        <v/>
      </c>
      <c r="C27" s="111" t="str">
        <f>IFERROR(INDEX(Venta!FcDetalle,MATCH(CONCATENATE(A27,"HPE"),Venta!FcClave,0),FcInicioVtaMes+0),"")</f>
        <v/>
      </c>
      <c r="D27" s="111" t="str">
        <f>IFERROR(INDEX(Venta!FcDetalle,MATCH(CONCATENATE(A27,"HPE"),Venta!FcClave,0),FcInicioVtaMes+1),"")</f>
        <v/>
      </c>
      <c r="E27" s="111" t="str">
        <f>IFERROR(INDEX(Venta!FcDetalle,MATCH(CONCATENATE(A27,"HPE"),Venta!FcClave,0),FcInicioVtaMes+2),"")</f>
        <v/>
      </c>
      <c r="F27" s="111" t="str">
        <f>IFERROR(INDEX(Venta!FcDetalle,MATCH(CONCATENATE(A27,"HPE"),Venta!FcClave,0),FcInicioVtaMes+3),"")</f>
        <v/>
      </c>
      <c r="G27" s="111" t="str">
        <f>IFERROR(INDEX(Venta!FcDetalle,MATCH(CONCATENATE(A27,"HPE"),Venta!FcClave,0),FcInicioVtaMes+4),"")</f>
        <v/>
      </c>
      <c r="H27" s="111" t="str">
        <f>IFERROR(INDEX(Venta!FcDetalle,MATCH(CONCATENATE(A27,"HPE"),Venta!FcClave,0),FcInicioVtaMes+5),"")</f>
        <v/>
      </c>
      <c r="I27" s="111" t="str">
        <f>IFERROR(INDEX(Venta!FcDetalle,MATCH(CONCATENATE(A27,"HPE"),Venta!FcClave,0),FcInicioVtaMes+6),"")</f>
        <v/>
      </c>
      <c r="J27" s="111" t="str">
        <f>IFERROR(INDEX(Venta!FcDetalle,MATCH(CONCATENATE(A27,"HPE"),Venta!FcClave,0),FcInicioVtaMes+7),"")</f>
        <v/>
      </c>
      <c r="K27" s="111" t="str">
        <f>IFERROR(INDEX(Venta!FcDetalle,MATCH(CONCATENATE(A27,"HPE"),Venta!FcClave,0),FcInicioVtaMes+8),"")</f>
        <v/>
      </c>
      <c r="L27" s="111" t="str">
        <f>IFERROR(INDEX(Venta!FcDetalle,MATCH(CONCATENATE(A27,"HPE"),Venta!FcClave,0),FcInicioVtaMes+9),"")</f>
        <v/>
      </c>
      <c r="M27" s="111" t="str">
        <f>IFERROR(INDEX(Venta!FcDetalle,MATCH(CONCATENATE(A27,"HPE"),Venta!FcClave,0),FcInicioVtaMes+10),"")</f>
        <v/>
      </c>
      <c r="N27" s="111" t="str">
        <f>IFERROR(INDEX(Venta!FcDetalle,MATCH(CONCATENATE(A27,"HPE"),Venta!FcClave,0),FcInicioVtaMes+11),"")</f>
        <v/>
      </c>
      <c r="O27" s="111" t="str">
        <f>IFERROR(INDEX(Venta!FcDetalle,MATCH(CONCATENATE(A27,"HPE"),Venta!FcClave,0),FcInicioVtaMes+12),"")</f>
        <v/>
      </c>
      <c r="P27" s="3"/>
      <c r="Q27" s="207" t="str">
        <f>IFERROR(INDEX(Venta!FcDetalle,MATCH(CONCATENATE(A27,"HPE"),Venta!FcClave,0),FcInicioVtaAnual+0),"")</f>
        <v/>
      </c>
      <c r="R27" s="111" t="str">
        <f>IFERROR(INDEX(Venta!FcDetalle,MATCH(CONCATENATE(A27,"HPE"),Venta!FcClave,0),FcInicioVtaAnual+1),"")</f>
        <v/>
      </c>
      <c r="S27" s="111" t="str">
        <f>IFERROR(INDEX(Venta!FcDetalle,MATCH(CONCATENATE(A27,"HPE"),Venta!FcClave,0),FcInicioVtaAnual+2),"")</f>
        <v/>
      </c>
      <c r="T27" s="111" t="str">
        <f>IFERROR(INDEX(Venta!FcDetalle,MATCH(CONCATENATE(A27,"HPE"),Venta!FcClave,0),FcInicioVtaAnual+3),"")</f>
        <v/>
      </c>
      <c r="U27" s="112" t="str">
        <f>IFERROR(IF(FcCheckProy=FALSE,INDEX(Venta!FcDetalle,MATCH(CONCATENATE(A27,"HPE"),Venta!FcClave,0),FcInicioVtaAnual+4),INDEX(Venta!FcDetalle,MATCH(CONCATENATE(A27,"HPE"),Venta!FcClave,0),FcInicioVtaAnual+5)),"")</f>
        <v/>
      </c>
      <c r="V27" s="316"/>
    </row>
    <row r="28" spans="1:22" ht="12" hidden="1" customHeight="1" outlineLevel="1" x14ac:dyDescent="0.2">
      <c r="A28" s="43" t="str">
        <f>IF($I$10="-","",$I$10)</f>
        <v/>
      </c>
      <c r="B28" s="98" t="str">
        <f>IFERROR(INDEX(Maestro!FcDetalle,MATCH(A28,Maestro!FcClave,0),5),"")</f>
        <v/>
      </c>
      <c r="C28" s="111" t="str">
        <f>IFERROR(INDEX(Venta!FcDetalle,MATCH(CONCATENATE(A28,"HPE"),Venta!FcClave,0),FcInicioVtaMes+0),"")</f>
        <v/>
      </c>
      <c r="D28" s="111" t="str">
        <f>IFERROR(INDEX(Venta!FcDetalle,MATCH(CONCATENATE(A28,"HPE"),Venta!FcClave,0),FcInicioVtaMes+1),"")</f>
        <v/>
      </c>
      <c r="E28" s="111" t="str">
        <f>IFERROR(INDEX(Venta!FcDetalle,MATCH(CONCATENATE(A28,"HPE"),Venta!FcClave,0),FcInicioVtaMes+2),"")</f>
        <v/>
      </c>
      <c r="F28" s="111" t="str">
        <f>IFERROR(INDEX(Venta!FcDetalle,MATCH(CONCATENATE(A28,"HPE"),Venta!FcClave,0),FcInicioVtaMes+3),"")</f>
        <v/>
      </c>
      <c r="G28" s="111" t="str">
        <f>IFERROR(INDEX(Venta!FcDetalle,MATCH(CONCATENATE(A28,"HPE"),Venta!FcClave,0),FcInicioVtaMes+4),"")</f>
        <v/>
      </c>
      <c r="H28" s="111" t="str">
        <f>IFERROR(INDEX(Venta!FcDetalle,MATCH(CONCATENATE(A28,"HPE"),Venta!FcClave,0),FcInicioVtaMes+5),"")</f>
        <v/>
      </c>
      <c r="I28" s="111" t="str">
        <f>IFERROR(INDEX(Venta!FcDetalle,MATCH(CONCATENATE(A28,"HPE"),Venta!FcClave,0),FcInicioVtaMes+6),"")</f>
        <v/>
      </c>
      <c r="J28" s="111" t="str">
        <f>IFERROR(INDEX(Venta!FcDetalle,MATCH(CONCATENATE(A28,"HPE"),Venta!FcClave,0),FcInicioVtaMes+7),"")</f>
        <v/>
      </c>
      <c r="K28" s="111" t="str">
        <f>IFERROR(INDEX(Venta!FcDetalle,MATCH(CONCATENATE(A28,"HPE"),Venta!FcClave,0),FcInicioVtaMes+8),"")</f>
        <v/>
      </c>
      <c r="L28" s="111" t="str">
        <f>IFERROR(INDEX(Venta!FcDetalle,MATCH(CONCATENATE(A28,"HPE"),Venta!FcClave,0),FcInicioVtaMes+9),"")</f>
        <v/>
      </c>
      <c r="M28" s="111" t="str">
        <f>IFERROR(INDEX(Venta!FcDetalle,MATCH(CONCATENATE(A28,"HPE"),Venta!FcClave,0),FcInicioVtaMes+10),"")</f>
        <v/>
      </c>
      <c r="N28" s="111" t="str">
        <f>IFERROR(INDEX(Venta!FcDetalle,MATCH(CONCATENATE(A28,"HPE"),Venta!FcClave,0),FcInicioVtaMes+11),"")</f>
        <v/>
      </c>
      <c r="O28" s="111" t="str">
        <f>IFERROR(INDEX(Venta!FcDetalle,MATCH(CONCATENATE(A28,"HPE"),Venta!FcClave,0),FcInicioVtaMes+12),"")</f>
        <v/>
      </c>
      <c r="P28" s="3"/>
      <c r="Q28" s="207" t="str">
        <f>IFERROR(INDEX(Venta!FcDetalle,MATCH(CONCATENATE(A28,"HPE"),Venta!FcClave,0),FcInicioVtaAnual+0),"")</f>
        <v/>
      </c>
      <c r="R28" s="111" t="str">
        <f>IFERROR(INDEX(Venta!FcDetalle,MATCH(CONCATENATE(A28,"HPE"),Venta!FcClave,0),FcInicioVtaAnual+1),"")</f>
        <v/>
      </c>
      <c r="S28" s="111" t="str">
        <f>IFERROR(INDEX(Venta!FcDetalle,MATCH(CONCATENATE(A28,"HPE"),Venta!FcClave,0),FcInicioVtaAnual+2),"")</f>
        <v/>
      </c>
      <c r="T28" s="111" t="str">
        <f>IFERROR(INDEX(Venta!FcDetalle,MATCH(CONCATENATE(A28,"HPE"),Venta!FcClave,0),FcInicioVtaAnual+3),"")</f>
        <v/>
      </c>
      <c r="U28" s="112" t="str">
        <f>IFERROR(IF(FcCheckProy=FALSE,INDEX(Venta!FcDetalle,MATCH(CONCATENATE(A28,"HPE"),Venta!FcClave,0),FcInicioVtaAnual+4),INDEX(Venta!FcDetalle,MATCH(CONCATENATE(A28,"HPE"),Venta!FcClave,0),FcInicioVtaAnual+5)),"")</f>
        <v/>
      </c>
      <c r="V28" s="316"/>
    </row>
    <row r="29" spans="1:22" ht="12" hidden="1" customHeight="1" outlineLevel="1" x14ac:dyDescent="0.2">
      <c r="A29" s="43" t="str">
        <f>IF($J$10="-","",$J$10)</f>
        <v/>
      </c>
      <c r="B29" s="98" t="str">
        <f>IFERROR(INDEX(Maestro!FcDetalle,MATCH(A29,Maestro!FcClave,0),5),"")</f>
        <v/>
      </c>
      <c r="C29" s="111" t="str">
        <f>IFERROR(INDEX(Venta!FcDetalle,MATCH(CONCATENATE(A29,"HPE"),Venta!FcClave,0),FcInicioVtaMes+0),"")</f>
        <v/>
      </c>
      <c r="D29" s="111" t="str">
        <f>IFERROR(INDEX(Venta!FcDetalle,MATCH(CONCATENATE(A29,"HPE"),Venta!FcClave,0),FcInicioVtaMes+1),"")</f>
        <v/>
      </c>
      <c r="E29" s="111" t="str">
        <f>IFERROR(INDEX(Venta!FcDetalle,MATCH(CONCATENATE(A29,"HPE"),Venta!FcClave,0),FcInicioVtaMes+2),"")</f>
        <v/>
      </c>
      <c r="F29" s="111" t="str">
        <f>IFERROR(INDEX(Venta!FcDetalle,MATCH(CONCATENATE(A29,"HPE"),Venta!FcClave,0),FcInicioVtaMes+3),"")</f>
        <v/>
      </c>
      <c r="G29" s="111" t="str">
        <f>IFERROR(INDEX(Venta!FcDetalle,MATCH(CONCATENATE(A29,"HPE"),Venta!FcClave,0),FcInicioVtaMes+4),"")</f>
        <v/>
      </c>
      <c r="H29" s="111" t="str">
        <f>IFERROR(INDEX(Venta!FcDetalle,MATCH(CONCATENATE(A29,"HPE"),Venta!FcClave,0),FcInicioVtaMes+5),"")</f>
        <v/>
      </c>
      <c r="I29" s="111" t="str">
        <f>IFERROR(INDEX(Venta!FcDetalle,MATCH(CONCATENATE(A29,"HPE"),Venta!FcClave,0),FcInicioVtaMes+6),"")</f>
        <v/>
      </c>
      <c r="J29" s="111" t="str">
        <f>IFERROR(INDEX(Venta!FcDetalle,MATCH(CONCATENATE(A29,"HPE"),Venta!FcClave,0),FcInicioVtaMes+7),"")</f>
        <v/>
      </c>
      <c r="K29" s="111" t="str">
        <f>IFERROR(INDEX(Venta!FcDetalle,MATCH(CONCATENATE(A29,"HPE"),Venta!FcClave,0),FcInicioVtaMes+8),"")</f>
        <v/>
      </c>
      <c r="L29" s="111" t="str">
        <f>IFERROR(INDEX(Venta!FcDetalle,MATCH(CONCATENATE(A29,"HPE"),Venta!FcClave,0),FcInicioVtaMes+9),"")</f>
        <v/>
      </c>
      <c r="M29" s="111" t="str">
        <f>IFERROR(INDEX(Venta!FcDetalle,MATCH(CONCATENATE(A29,"HPE"),Venta!FcClave,0),FcInicioVtaMes+10),"")</f>
        <v/>
      </c>
      <c r="N29" s="111" t="str">
        <f>IFERROR(INDEX(Venta!FcDetalle,MATCH(CONCATENATE(A29,"HPE"),Venta!FcClave,0),FcInicioVtaMes+11),"")</f>
        <v/>
      </c>
      <c r="O29" s="111" t="str">
        <f>IFERROR(INDEX(Venta!FcDetalle,MATCH(CONCATENATE(A29,"HPE"),Venta!FcClave,0),FcInicioVtaMes+12),"")</f>
        <v/>
      </c>
      <c r="P29" s="3"/>
      <c r="Q29" s="207" t="str">
        <f>IFERROR(INDEX(Venta!FcDetalle,MATCH(CONCATENATE(A29,"HPE"),Venta!FcClave,0),FcInicioVtaAnual+0),"")</f>
        <v/>
      </c>
      <c r="R29" s="111" t="str">
        <f>IFERROR(INDEX(Venta!FcDetalle,MATCH(CONCATENATE(A29,"HPE"),Venta!FcClave,0),FcInicioVtaAnual+1),"")</f>
        <v/>
      </c>
      <c r="S29" s="111" t="str">
        <f>IFERROR(INDEX(Venta!FcDetalle,MATCH(CONCATENATE(A29,"HPE"),Venta!FcClave,0),FcInicioVtaAnual+2),"")</f>
        <v/>
      </c>
      <c r="T29" s="111" t="str">
        <f>IFERROR(INDEX(Venta!FcDetalle,MATCH(CONCATENATE(A29,"HPE"),Venta!FcClave,0),FcInicioVtaAnual+3),"")</f>
        <v/>
      </c>
      <c r="U29" s="112" t="str">
        <f>IFERROR(IF(FcCheckProy=FALSE,INDEX(Venta!FcDetalle,MATCH(CONCATENATE(A29,"HPE"),Venta!FcClave,0),FcInicioVtaAnual+4),INDEX(Venta!FcDetalle,MATCH(CONCATENATE(A29,"HPE"),Venta!FcClave,0),FcInicioVtaAnual+5)),"")</f>
        <v/>
      </c>
      <c r="V29" s="316"/>
    </row>
    <row r="30" spans="1:22" ht="12" hidden="1" customHeight="1" outlineLevel="1" x14ac:dyDescent="0.2">
      <c r="A30" s="43" t="str">
        <f>IF($K$10="-","",$K$10)</f>
        <v/>
      </c>
      <c r="B30" s="98" t="str">
        <f>IFERROR(INDEX(Maestro!FcDetalle,MATCH(A30,Maestro!FcClave,0),5),"")</f>
        <v/>
      </c>
      <c r="C30" s="111" t="str">
        <f>IFERROR(INDEX(Venta!FcDetalle,MATCH(CONCATENATE(A30,"HPE"),Venta!FcClave,0),FcInicioVtaMes+0),"")</f>
        <v/>
      </c>
      <c r="D30" s="111" t="str">
        <f>IFERROR(INDEX(Venta!FcDetalle,MATCH(CONCATENATE(A30,"HPE"),Venta!FcClave,0),FcInicioVtaMes+1),"")</f>
        <v/>
      </c>
      <c r="E30" s="111" t="str">
        <f>IFERROR(INDEX(Venta!FcDetalle,MATCH(CONCATENATE(A30,"HPE"),Venta!FcClave,0),FcInicioVtaMes+2),"")</f>
        <v/>
      </c>
      <c r="F30" s="111" t="str">
        <f>IFERROR(INDEX(Venta!FcDetalle,MATCH(CONCATENATE(A30,"HPE"),Venta!FcClave,0),FcInicioVtaMes+3),"")</f>
        <v/>
      </c>
      <c r="G30" s="111" t="str">
        <f>IFERROR(INDEX(Venta!FcDetalle,MATCH(CONCATENATE(A30,"HPE"),Venta!FcClave,0),FcInicioVtaMes+4),"")</f>
        <v/>
      </c>
      <c r="H30" s="111" t="str">
        <f>IFERROR(INDEX(Venta!FcDetalle,MATCH(CONCATENATE(A30,"HPE"),Venta!FcClave,0),FcInicioVtaMes+5),"")</f>
        <v/>
      </c>
      <c r="I30" s="111" t="str">
        <f>IFERROR(INDEX(Venta!FcDetalle,MATCH(CONCATENATE(A30,"HPE"),Venta!FcClave,0),FcInicioVtaMes+6),"")</f>
        <v/>
      </c>
      <c r="J30" s="111" t="str">
        <f>IFERROR(INDEX(Venta!FcDetalle,MATCH(CONCATENATE(A30,"HPE"),Venta!FcClave,0),FcInicioVtaMes+7),"")</f>
        <v/>
      </c>
      <c r="K30" s="111" t="str">
        <f>IFERROR(INDEX(Venta!FcDetalle,MATCH(CONCATENATE(A30,"HPE"),Venta!FcClave,0),FcInicioVtaMes+8),"")</f>
        <v/>
      </c>
      <c r="L30" s="111" t="str">
        <f>IFERROR(INDEX(Venta!FcDetalle,MATCH(CONCATENATE(A30,"HPE"),Venta!FcClave,0),FcInicioVtaMes+9),"")</f>
        <v/>
      </c>
      <c r="M30" s="111" t="str">
        <f>IFERROR(INDEX(Venta!FcDetalle,MATCH(CONCATENATE(A30,"HPE"),Venta!FcClave,0),FcInicioVtaMes+10),"")</f>
        <v/>
      </c>
      <c r="N30" s="111" t="str">
        <f>IFERROR(INDEX(Venta!FcDetalle,MATCH(CONCATENATE(A30,"HPE"),Venta!FcClave,0),FcInicioVtaMes+11),"")</f>
        <v/>
      </c>
      <c r="O30" s="111" t="str">
        <f>IFERROR(INDEX(Venta!FcDetalle,MATCH(CONCATENATE(A30,"HPE"),Venta!FcClave,0),FcInicioVtaMes+12),"")</f>
        <v/>
      </c>
      <c r="P30" s="3"/>
      <c r="Q30" s="207" t="str">
        <f>IFERROR(INDEX(Venta!FcDetalle,MATCH(CONCATENATE(A30,"HPE"),Venta!FcClave,0),FcInicioVtaAnual+0),"")</f>
        <v/>
      </c>
      <c r="R30" s="111" t="str">
        <f>IFERROR(INDEX(Venta!FcDetalle,MATCH(CONCATENATE(A30,"HPE"),Venta!FcClave,0),FcInicioVtaAnual+1),"")</f>
        <v/>
      </c>
      <c r="S30" s="111" t="str">
        <f>IFERROR(INDEX(Venta!FcDetalle,MATCH(CONCATENATE(A30,"HPE"),Venta!FcClave,0),FcInicioVtaAnual+2),"")</f>
        <v/>
      </c>
      <c r="T30" s="111" t="str">
        <f>IFERROR(INDEX(Venta!FcDetalle,MATCH(CONCATENATE(A30,"HPE"),Venta!FcClave,0),FcInicioVtaAnual+3),"")</f>
        <v/>
      </c>
      <c r="U30" s="112" t="str">
        <f>IFERROR(IF(FcCheckProy=FALSE,INDEX(Venta!FcDetalle,MATCH(CONCATENATE(A30,"HPE"),Venta!FcClave,0),FcInicioVtaAnual+4),INDEX(Venta!FcDetalle,MATCH(CONCATENATE(A30,"HPE"),Venta!FcClave,0),FcInicioVtaAnual+5)),"")</f>
        <v/>
      </c>
      <c r="V30" s="316"/>
    </row>
    <row r="31" spans="1:22" ht="12" hidden="1" customHeight="1" outlineLevel="1" x14ac:dyDescent="0.2">
      <c r="A31" s="43" t="str">
        <f>IF($I$9="-","",$I$9)</f>
        <v/>
      </c>
      <c r="B31" s="98" t="str">
        <f>IFERROR(INDEX(Maestro!FcDetalle,MATCH(A31,Maestro!FcClave,0),5),"")</f>
        <v/>
      </c>
      <c r="C31" s="111" t="str">
        <f>IFERROR(INDEX(Venta!FcDetalle,MATCH(CONCATENATE(A31,"HPE"),Venta!FcClave,0),FcInicioVtaMes+0),"")</f>
        <v/>
      </c>
      <c r="D31" s="111" t="str">
        <f>IFERROR(INDEX(Venta!FcDetalle,MATCH(CONCATENATE(A31,"HPE"),Venta!FcClave,0),FcInicioVtaMes+1),"")</f>
        <v/>
      </c>
      <c r="E31" s="111" t="str">
        <f>IFERROR(INDEX(Venta!FcDetalle,MATCH(CONCATENATE(A31,"HPE"),Venta!FcClave,0),FcInicioVtaMes+2),"")</f>
        <v/>
      </c>
      <c r="F31" s="111" t="str">
        <f>IFERROR(INDEX(Venta!FcDetalle,MATCH(CONCATENATE(A31,"HPE"),Venta!FcClave,0),FcInicioVtaMes+3),"")</f>
        <v/>
      </c>
      <c r="G31" s="111" t="str">
        <f>IFERROR(INDEX(Venta!FcDetalle,MATCH(CONCATENATE(A31,"HPE"),Venta!FcClave,0),FcInicioVtaMes+4),"")</f>
        <v/>
      </c>
      <c r="H31" s="111" t="str">
        <f>IFERROR(INDEX(Venta!FcDetalle,MATCH(CONCATENATE(A31,"HPE"),Venta!FcClave,0),FcInicioVtaMes+5),"")</f>
        <v/>
      </c>
      <c r="I31" s="111" t="str">
        <f>IFERROR(INDEX(Venta!FcDetalle,MATCH(CONCATENATE(A31,"HPE"),Venta!FcClave,0),FcInicioVtaMes+6),"")</f>
        <v/>
      </c>
      <c r="J31" s="111" t="str">
        <f>IFERROR(INDEX(Venta!FcDetalle,MATCH(CONCATENATE(A31,"HPE"),Venta!FcClave,0),FcInicioVtaMes+7),"")</f>
        <v/>
      </c>
      <c r="K31" s="111" t="str">
        <f>IFERROR(INDEX(Venta!FcDetalle,MATCH(CONCATENATE(A31,"HPE"),Venta!FcClave,0),FcInicioVtaMes+8),"")</f>
        <v/>
      </c>
      <c r="L31" s="111" t="str">
        <f>IFERROR(INDEX(Venta!FcDetalle,MATCH(CONCATENATE(A31,"HPE"),Venta!FcClave,0),FcInicioVtaMes+9),"")</f>
        <v/>
      </c>
      <c r="M31" s="111" t="str">
        <f>IFERROR(INDEX(Venta!FcDetalle,MATCH(CONCATENATE(A31,"HPE"),Venta!FcClave,0),FcInicioVtaMes+10),"")</f>
        <v/>
      </c>
      <c r="N31" s="111" t="str">
        <f>IFERROR(INDEX(Venta!FcDetalle,MATCH(CONCATENATE(A31,"HPE"),Venta!FcClave,0),FcInicioVtaMes+11),"")</f>
        <v/>
      </c>
      <c r="O31" s="111" t="str">
        <f>IFERROR(INDEX(Venta!FcDetalle,MATCH(CONCATENATE(A31,"HPE"),Venta!FcClave,0),FcInicioVtaMes+12),"")</f>
        <v/>
      </c>
      <c r="P31" s="3"/>
      <c r="Q31" s="207" t="str">
        <f>IFERROR(INDEX(Venta!FcDetalle,MATCH(CONCATENATE(A31,"HPE"),Venta!FcClave,0),FcInicioVtaAnual+0),"")</f>
        <v/>
      </c>
      <c r="R31" s="111" t="str">
        <f>IFERROR(INDEX(Venta!FcDetalle,MATCH(CONCATENATE(A31,"HPE"),Venta!FcClave,0),FcInicioVtaAnual+1),"")</f>
        <v/>
      </c>
      <c r="S31" s="111" t="str">
        <f>IFERROR(INDEX(Venta!FcDetalle,MATCH(CONCATENATE(A31,"HPE"),Venta!FcClave,0),FcInicioVtaAnual+2),"")</f>
        <v/>
      </c>
      <c r="T31" s="111" t="str">
        <f>IFERROR(INDEX(Venta!FcDetalle,MATCH(CONCATENATE(A31,"HPE"),Venta!FcClave,0),FcInicioVtaAnual+3),"")</f>
        <v/>
      </c>
      <c r="U31" s="112" t="str">
        <f>IFERROR(IF(FcCheckProy=FALSE,INDEX(Venta!FcDetalle,MATCH(CONCATENATE(A31,"HPE"),Venta!FcClave,0),FcInicioVtaAnual+4),INDEX(Venta!FcDetalle,MATCH(CONCATENATE(A31,"HPE"),Venta!FcClave,0),FcInicioVtaAnual+5)),"")</f>
        <v/>
      </c>
      <c r="V31" s="316"/>
    </row>
    <row r="32" spans="1:22" ht="12" hidden="1" customHeight="1" outlineLevel="1" x14ac:dyDescent="0.2">
      <c r="A32" s="43" t="str">
        <f>IF($J$9="-","",$J$9)</f>
        <v/>
      </c>
      <c r="B32" s="98" t="str">
        <f>IFERROR(INDEX(Maestro!FcDetalle,MATCH(A32,Maestro!FcClave,0),5),"")</f>
        <v/>
      </c>
      <c r="C32" s="111" t="str">
        <f>IFERROR(INDEX(Venta!FcDetalle,MATCH(CONCATENATE(A32,"HPE"),Venta!FcClave,0),FcInicioVtaMes+0),"")</f>
        <v/>
      </c>
      <c r="D32" s="111" t="str">
        <f>IFERROR(INDEX(Venta!FcDetalle,MATCH(CONCATENATE(A32,"HPE"),Venta!FcClave,0),FcInicioVtaMes+1),"")</f>
        <v/>
      </c>
      <c r="E32" s="111" t="str">
        <f>IFERROR(INDEX(Venta!FcDetalle,MATCH(CONCATENATE(A32,"HPE"),Venta!FcClave,0),FcInicioVtaMes+2),"")</f>
        <v/>
      </c>
      <c r="F32" s="111" t="str">
        <f>IFERROR(INDEX(Venta!FcDetalle,MATCH(CONCATENATE(A32,"HPE"),Venta!FcClave,0),FcInicioVtaMes+3),"")</f>
        <v/>
      </c>
      <c r="G32" s="111" t="str">
        <f>IFERROR(INDEX(Venta!FcDetalle,MATCH(CONCATENATE(A32,"HPE"),Venta!FcClave,0),FcInicioVtaMes+4),"")</f>
        <v/>
      </c>
      <c r="H32" s="111" t="str">
        <f>IFERROR(INDEX(Venta!FcDetalle,MATCH(CONCATENATE(A32,"HPE"),Venta!FcClave,0),FcInicioVtaMes+5),"")</f>
        <v/>
      </c>
      <c r="I32" s="111" t="str">
        <f>IFERROR(INDEX(Venta!FcDetalle,MATCH(CONCATENATE(A32,"HPE"),Venta!FcClave,0),FcInicioVtaMes+6),"")</f>
        <v/>
      </c>
      <c r="J32" s="111" t="str">
        <f>IFERROR(INDEX(Venta!FcDetalle,MATCH(CONCATENATE(A32,"HPE"),Venta!FcClave,0),FcInicioVtaMes+7),"")</f>
        <v/>
      </c>
      <c r="K32" s="111" t="str">
        <f>IFERROR(INDEX(Venta!FcDetalle,MATCH(CONCATENATE(A32,"HPE"),Venta!FcClave,0),FcInicioVtaMes+8),"")</f>
        <v/>
      </c>
      <c r="L32" s="111" t="str">
        <f>IFERROR(INDEX(Venta!FcDetalle,MATCH(CONCATENATE(A32,"HPE"),Venta!FcClave,0),FcInicioVtaMes+9),"")</f>
        <v/>
      </c>
      <c r="M32" s="111" t="str">
        <f>IFERROR(INDEX(Venta!FcDetalle,MATCH(CONCATENATE(A32,"HPE"),Venta!FcClave,0),FcInicioVtaMes+10),"")</f>
        <v/>
      </c>
      <c r="N32" s="111" t="str">
        <f>IFERROR(INDEX(Venta!FcDetalle,MATCH(CONCATENATE(A32,"HPE"),Venta!FcClave,0),FcInicioVtaMes+11),"")</f>
        <v/>
      </c>
      <c r="O32" s="111" t="str">
        <f>IFERROR(INDEX(Venta!FcDetalle,MATCH(CONCATENATE(A32,"HPE"),Venta!FcClave,0),FcInicioVtaMes+12),"")</f>
        <v/>
      </c>
      <c r="P32" s="3"/>
      <c r="Q32" s="207" t="str">
        <f>IFERROR(INDEX(Venta!FcDetalle,MATCH(CONCATENATE(A32,"HPE"),Venta!FcClave,0),FcInicioVtaAnual+0),"")</f>
        <v/>
      </c>
      <c r="R32" s="111" t="str">
        <f>IFERROR(INDEX(Venta!FcDetalle,MATCH(CONCATENATE(A32,"HPE"),Venta!FcClave,0),FcInicioVtaAnual+1),"")</f>
        <v/>
      </c>
      <c r="S32" s="111" t="str">
        <f>IFERROR(INDEX(Venta!FcDetalle,MATCH(CONCATENATE(A32,"HPE"),Venta!FcClave,0),FcInicioVtaAnual+2),"")</f>
        <v/>
      </c>
      <c r="T32" s="111" t="str">
        <f>IFERROR(INDEX(Venta!FcDetalle,MATCH(CONCATENATE(A32,"HPE"),Venta!FcClave,0),FcInicioVtaAnual+3),"")</f>
        <v/>
      </c>
      <c r="U32" s="112" t="str">
        <f>IFERROR(IF(FcCheckProy=FALSE,INDEX(Venta!FcDetalle,MATCH(CONCATENATE(A32,"HPE"),Venta!FcClave,0),FcInicioVtaAnual+4),INDEX(Venta!FcDetalle,MATCH(CONCATENATE(A32,"HPE"),Venta!FcClave,0),FcInicioVtaAnual+5)),"")</f>
        <v/>
      </c>
      <c r="V32" s="316"/>
    </row>
    <row r="33" spans="1:22" ht="12" hidden="1" customHeight="1" outlineLevel="1" thickBot="1" x14ac:dyDescent="0.25">
      <c r="A33" s="97" t="str">
        <f>IF($K$9="-","",$K$9)</f>
        <v/>
      </c>
      <c r="B33" s="98" t="str">
        <f>IFERROR(INDEX(Maestro!FcDetalle,MATCH(A33,Maestro!FcClave,0),5),"")</f>
        <v/>
      </c>
      <c r="C33" s="111" t="str">
        <f>IFERROR(INDEX(Venta!FcDetalle,MATCH(CONCATENATE(A33,"HPE"),Venta!FcClave,0),FcInicioVtaMes+0),"")</f>
        <v/>
      </c>
      <c r="D33" s="111" t="str">
        <f>IFERROR(INDEX(Venta!FcDetalle,MATCH(CONCATENATE(A33,"HPE"),Venta!FcClave,0),FcInicioVtaMes+1),"")</f>
        <v/>
      </c>
      <c r="E33" s="111" t="str">
        <f>IFERROR(INDEX(Venta!FcDetalle,MATCH(CONCATENATE(A33,"HPE"),Venta!FcClave,0),FcInicioVtaMes+2),"")</f>
        <v/>
      </c>
      <c r="F33" s="111" t="str">
        <f>IFERROR(INDEX(Venta!FcDetalle,MATCH(CONCATENATE(A33,"HPE"),Venta!FcClave,0),FcInicioVtaMes+3),"")</f>
        <v/>
      </c>
      <c r="G33" s="111" t="str">
        <f>IFERROR(INDEX(Venta!FcDetalle,MATCH(CONCATENATE(A33,"HPE"),Venta!FcClave,0),FcInicioVtaMes+4),"")</f>
        <v/>
      </c>
      <c r="H33" s="111" t="str">
        <f>IFERROR(INDEX(Venta!FcDetalle,MATCH(CONCATENATE(A33,"HPE"),Venta!FcClave,0),FcInicioVtaMes+5),"")</f>
        <v/>
      </c>
      <c r="I33" s="111" t="str">
        <f>IFERROR(INDEX(Venta!FcDetalle,MATCH(CONCATENATE(A33,"HPE"),Venta!FcClave,0),FcInicioVtaMes+6),"")</f>
        <v/>
      </c>
      <c r="J33" s="111" t="str">
        <f>IFERROR(INDEX(Venta!FcDetalle,MATCH(CONCATENATE(A33,"HPE"),Venta!FcClave,0),FcInicioVtaMes+7),"")</f>
        <v/>
      </c>
      <c r="K33" s="111" t="str">
        <f>IFERROR(INDEX(Venta!FcDetalle,MATCH(CONCATENATE(A33,"HPE"),Venta!FcClave,0),FcInicioVtaMes+8),"")</f>
        <v/>
      </c>
      <c r="L33" s="111" t="str">
        <f>IFERROR(INDEX(Venta!FcDetalle,MATCH(CONCATENATE(A33,"HPE"),Venta!FcClave,0),FcInicioVtaMes+9),"")</f>
        <v/>
      </c>
      <c r="M33" s="111" t="str">
        <f>IFERROR(INDEX(Venta!FcDetalle,MATCH(CONCATENATE(A33,"HPE"),Venta!FcClave,0),FcInicioVtaMes+10),"")</f>
        <v/>
      </c>
      <c r="N33" s="111" t="str">
        <f>IFERROR(INDEX(Venta!FcDetalle,MATCH(CONCATENATE(A33,"HPE"),Venta!FcClave,0),FcInicioVtaMes+11),"")</f>
        <v/>
      </c>
      <c r="O33" s="111" t="str">
        <f>IFERROR(INDEX(Venta!FcDetalle,MATCH(CONCATENATE(A33,"HPE"),Venta!FcClave,0),FcInicioVtaMes+12),"")</f>
        <v/>
      </c>
      <c r="P33" s="3"/>
      <c r="Q33" s="207" t="str">
        <f>IFERROR(INDEX(Venta!FcDetalle,MATCH(CONCATENATE(A33,"HPE"),Venta!FcClave,0),FcInicioVtaAnual+0),"")</f>
        <v/>
      </c>
      <c r="R33" s="111" t="str">
        <f>IFERROR(INDEX(Venta!FcDetalle,MATCH(CONCATENATE(A33,"HPE"),Venta!FcClave,0),FcInicioVtaAnual+1),"")</f>
        <v/>
      </c>
      <c r="S33" s="111" t="str">
        <f>IFERROR(INDEX(Venta!FcDetalle,MATCH(CONCATENATE(A33,"HPE"),Venta!FcClave,0),FcInicioVtaAnual+2),"")</f>
        <v/>
      </c>
      <c r="T33" s="111" t="str">
        <f>IFERROR(INDEX(Venta!FcDetalle,MATCH(CONCATENATE(A33,"HPE"),Venta!FcClave,0),FcInicioVtaAnual+3),"")</f>
        <v/>
      </c>
      <c r="U33" s="112" t="str">
        <f>IFERROR(IF(FcCheckProy=FALSE,INDEX(Venta!FcDetalle,MATCH(CONCATENATE(A33,"HPE"),Venta!FcClave,0),FcInicioVtaAnual+4),INDEX(Venta!FcDetalle,MATCH(CONCATENATE(A33,"HPE"),Venta!FcClave,0),FcInicioVtaAnual+5)),"")</f>
        <v/>
      </c>
      <c r="V33" s="316"/>
    </row>
    <row r="34" spans="1:22" ht="12" customHeight="1" collapsed="1" thickBot="1" x14ac:dyDescent="0.25">
      <c r="A34" s="117" t="s">
        <v>22</v>
      </c>
      <c r="B34" s="118"/>
      <c r="C34" s="119">
        <f t="shared" ref="C34:O34" si="2">SUM(C24:C33)</f>
        <v>0</v>
      </c>
      <c r="D34" s="119">
        <f t="shared" si="2"/>
        <v>0</v>
      </c>
      <c r="E34" s="119">
        <f t="shared" si="2"/>
        <v>0</v>
      </c>
      <c r="F34" s="119">
        <f t="shared" si="2"/>
        <v>0</v>
      </c>
      <c r="G34" s="119">
        <f t="shared" si="2"/>
        <v>0</v>
      </c>
      <c r="H34" s="119">
        <f t="shared" si="2"/>
        <v>0</v>
      </c>
      <c r="I34" s="119">
        <f t="shared" si="2"/>
        <v>0</v>
      </c>
      <c r="J34" s="119">
        <f t="shared" si="2"/>
        <v>0</v>
      </c>
      <c r="K34" s="119">
        <f t="shared" si="2"/>
        <v>0</v>
      </c>
      <c r="L34" s="119">
        <f t="shared" si="2"/>
        <v>0</v>
      </c>
      <c r="M34" s="119">
        <f t="shared" si="2"/>
        <v>0</v>
      </c>
      <c r="N34" s="119">
        <f t="shared" si="2"/>
        <v>0</v>
      </c>
      <c r="O34" s="120">
        <f t="shared" si="2"/>
        <v>0</v>
      </c>
      <c r="P34" s="6"/>
      <c r="Q34" s="187">
        <f>SUM(Q24:Q33)</f>
        <v>0</v>
      </c>
      <c r="R34" s="188">
        <f>SUM(R24:R33)</f>
        <v>0</v>
      </c>
      <c r="S34" s="188">
        <f>SUM(S24:S33)</f>
        <v>0</v>
      </c>
      <c r="T34" s="188">
        <f>SUM(T24:T33)</f>
        <v>0</v>
      </c>
      <c r="U34" s="120">
        <f>SUM(U24:U33)</f>
        <v>0</v>
      </c>
      <c r="V34" s="316"/>
    </row>
    <row r="35" spans="1:22" ht="12" hidden="1" customHeight="1" outlineLevel="1" x14ac:dyDescent="0.2">
      <c r="A35" s="43" t="str">
        <f>IF($E$10="-",$C$4,$E$10)</f>
        <v/>
      </c>
      <c r="B35" s="98" t="str">
        <f>IFERROR(INDEX(Maestro!FcDetalle,MATCH(A35,Maestro!FcClave,0),5),"")</f>
        <v/>
      </c>
      <c r="C35" s="111" t="str">
        <f>IFERROR(INDEX(Venta!FcDetalle,MATCH(CONCATENATE(A35,"GT"),Venta!FcClave,0),FcInicioVtaMes+0),"")</f>
        <v/>
      </c>
      <c r="D35" s="111" t="str">
        <f>IFERROR(INDEX(Venta!FcDetalle,MATCH(CONCATENATE(A35,"GT"),Venta!FcClave,0),FcInicioVtaMes+1),"")</f>
        <v/>
      </c>
      <c r="E35" s="111" t="str">
        <f>IFERROR(INDEX(Venta!FcDetalle,MATCH(CONCATENATE(A35,"GT"),Venta!FcClave,0),FcInicioVtaMes+2),"")</f>
        <v/>
      </c>
      <c r="F35" s="111" t="str">
        <f>IFERROR(INDEX(Venta!FcDetalle,MATCH(CONCATENATE(A35,"GT"),Venta!FcClave,0),FcInicioVtaMes+3),"")</f>
        <v/>
      </c>
      <c r="G35" s="111" t="str">
        <f>IFERROR(INDEX(Venta!FcDetalle,MATCH(CONCATENATE(A35,"GT"),Venta!FcClave,0),FcInicioVtaMes+4),"")</f>
        <v/>
      </c>
      <c r="H35" s="111" t="str">
        <f>IFERROR(INDEX(Venta!FcDetalle,MATCH(CONCATENATE(A35,"GT"),Venta!FcClave,0),FcInicioVtaMes+5),"")</f>
        <v/>
      </c>
      <c r="I35" s="111" t="str">
        <f>IFERROR(INDEX(Venta!FcDetalle,MATCH(CONCATENATE(A35,"GT"),Venta!FcClave,0),FcInicioVtaMes+6),"")</f>
        <v/>
      </c>
      <c r="J35" s="111" t="str">
        <f>IFERROR(INDEX(Venta!FcDetalle,MATCH(CONCATENATE(A35,"GT"),Venta!FcClave,0),FcInicioVtaMes+7),"")</f>
        <v/>
      </c>
      <c r="K35" s="111" t="str">
        <f>IFERROR(INDEX(Venta!FcDetalle,MATCH(CONCATENATE(A35,"GT"),Venta!FcClave,0),FcInicioVtaMes+8),"")</f>
        <v/>
      </c>
      <c r="L35" s="111" t="str">
        <f>IFERROR(INDEX(Venta!FcDetalle,MATCH(CONCATENATE(A35,"GT"),Venta!FcClave,0),FcInicioVtaMes+9),"")</f>
        <v/>
      </c>
      <c r="M35" s="111" t="str">
        <f>IFERROR(INDEX(Venta!FcDetalle,MATCH(CONCATENATE(A35,"GT"),Venta!FcClave,0),FcInicioVtaMes+10),"")</f>
        <v/>
      </c>
      <c r="N35" s="111" t="str">
        <f>IFERROR(INDEX(Venta!FcDetalle,MATCH(CONCATENATE(A35,"GT"),Venta!FcClave,0),FcInicioVtaMes+11),"")</f>
        <v/>
      </c>
      <c r="O35" s="111" t="str">
        <f>IFERROR(INDEX(Venta!FcDetalle,MATCH(CONCATENATE(A35,"GT"),Venta!FcClave,0),FcInicioVtaMes+12),"")</f>
        <v/>
      </c>
      <c r="P35" s="6"/>
      <c r="Q35" s="207" t="str">
        <f>IFERROR(INDEX(Venta!FcDetalle,MATCH(CONCATENATE(A35,"GT"),Venta!FcClave,0),FcInicioVtaAnual+0),"")</f>
        <v/>
      </c>
      <c r="R35" s="111" t="str">
        <f>IFERROR(INDEX(Venta!FcDetalle,MATCH(CONCATENATE(A35,"GT"),Venta!FcClave,0),FcInicioVtaAnual+1),"")</f>
        <v/>
      </c>
      <c r="S35" s="111" t="str">
        <f>IFERROR(INDEX(Venta!FcDetalle,MATCH(CONCATENATE(A35,"GT"),Venta!FcClave,0),FcInicioVtaAnual+2),"")</f>
        <v/>
      </c>
      <c r="T35" s="111" t="str">
        <f>IFERROR(INDEX(Venta!FcDetalle,MATCH(CONCATENATE(A35,"GT"),Venta!FcClave,0),FcInicioVtaAnual+3),"")</f>
        <v/>
      </c>
      <c r="U35" s="112" t="str">
        <f>IFERROR(IF(FcCheckProy=FALSE,INDEX(Venta!FcDetalle,MATCH(CONCATENATE(A35,"GT"),Venta!FcClave,0),FcInicioVtaAnual+4),INDEX(Venta!FcDetalle,MATCH(CONCATENATE(A35,"GT"),Venta!FcClave,0),FcInicioVtaAnual+5)),"")</f>
        <v/>
      </c>
      <c r="V35" s="316"/>
    </row>
    <row r="36" spans="1:22" ht="12" hidden="1" customHeight="1" outlineLevel="1" x14ac:dyDescent="0.2">
      <c r="A36" s="43" t="str">
        <f>IF($F$10="-","",$F$10)</f>
        <v/>
      </c>
      <c r="B36" s="98" t="str">
        <f>IFERROR(INDEX(Maestro!FcDetalle,MATCH(A36,Maestro!FcClave,0),5),"")</f>
        <v/>
      </c>
      <c r="C36" s="111" t="str">
        <f>IFERROR(INDEX(Venta!FcDetalle,MATCH(CONCATENATE(A36,"GT"),Venta!FcClave,0),FcInicioVtaMes+0),"")</f>
        <v/>
      </c>
      <c r="D36" s="111" t="str">
        <f>IFERROR(INDEX(Venta!FcDetalle,MATCH(CONCATENATE(A36,"GT"),Venta!FcClave,0),FcInicioVtaMes+1),"")</f>
        <v/>
      </c>
      <c r="E36" s="111" t="str">
        <f>IFERROR(INDEX(Venta!FcDetalle,MATCH(CONCATENATE(A36,"GT"),Venta!FcClave,0),FcInicioVtaMes+2),"")</f>
        <v/>
      </c>
      <c r="F36" s="111" t="str">
        <f>IFERROR(INDEX(Venta!FcDetalle,MATCH(CONCATENATE(A36,"GT"),Venta!FcClave,0),FcInicioVtaMes+3),"")</f>
        <v/>
      </c>
      <c r="G36" s="111" t="str">
        <f>IFERROR(INDEX(Venta!FcDetalle,MATCH(CONCATENATE(A36,"GT"),Venta!FcClave,0),FcInicioVtaMes+4),"")</f>
        <v/>
      </c>
      <c r="H36" s="111" t="str">
        <f>IFERROR(INDEX(Venta!FcDetalle,MATCH(CONCATENATE(A36,"GT"),Venta!FcClave,0),FcInicioVtaMes+5),"")</f>
        <v/>
      </c>
      <c r="I36" s="111" t="str">
        <f>IFERROR(INDEX(Venta!FcDetalle,MATCH(CONCATENATE(A36,"GT"),Venta!FcClave,0),FcInicioVtaMes+6),"")</f>
        <v/>
      </c>
      <c r="J36" s="111" t="str">
        <f>IFERROR(INDEX(Venta!FcDetalle,MATCH(CONCATENATE(A36,"GT"),Venta!FcClave,0),FcInicioVtaMes+7),"")</f>
        <v/>
      </c>
      <c r="K36" s="111" t="str">
        <f>IFERROR(INDEX(Venta!FcDetalle,MATCH(CONCATENATE(A36,"GT"),Venta!FcClave,0),FcInicioVtaMes+8),"")</f>
        <v/>
      </c>
      <c r="L36" s="111" t="str">
        <f>IFERROR(INDEX(Venta!FcDetalle,MATCH(CONCATENATE(A36,"GT"),Venta!FcClave,0),FcInicioVtaMes+9),"")</f>
        <v/>
      </c>
      <c r="M36" s="111" t="str">
        <f>IFERROR(INDEX(Venta!FcDetalle,MATCH(CONCATENATE(A36,"GT"),Venta!FcClave,0),FcInicioVtaMes+10),"")</f>
        <v/>
      </c>
      <c r="N36" s="111" t="str">
        <f>IFERROR(INDEX(Venta!FcDetalle,MATCH(CONCATENATE(A36,"GT"),Venta!FcClave,0),FcInicioVtaMes+11),"")</f>
        <v/>
      </c>
      <c r="O36" s="111" t="str">
        <f>IFERROR(INDEX(Venta!FcDetalle,MATCH(CONCATENATE(A36,"GT"),Venta!FcClave,0),FcInicioVtaMes+12),"")</f>
        <v/>
      </c>
      <c r="P36" s="6"/>
      <c r="Q36" s="207" t="str">
        <f>IFERROR(INDEX(Venta!FcDetalle,MATCH(CONCATENATE(A36,"GT"),Venta!FcClave,0),FcInicioVtaAnual+0),"")</f>
        <v/>
      </c>
      <c r="R36" s="111" t="str">
        <f>IFERROR(INDEX(Venta!FcDetalle,MATCH(CONCATENATE(A36,"GT"),Venta!FcClave,0),FcInicioVtaAnual+1),"")</f>
        <v/>
      </c>
      <c r="S36" s="111" t="str">
        <f>IFERROR(INDEX(Venta!FcDetalle,MATCH(CONCATENATE(A36,"GT"),Venta!FcClave,0),FcInicioVtaAnual+2),"")</f>
        <v/>
      </c>
      <c r="T36" s="111" t="str">
        <f>IFERROR(INDEX(Venta!FcDetalle,MATCH(CONCATENATE(A36,"GT"),Venta!FcClave,0),FcInicioVtaAnual+3),"")</f>
        <v/>
      </c>
      <c r="U36" s="112" t="str">
        <f>IFERROR(IF(FcCheckProy=FALSE,INDEX(Venta!FcDetalle,MATCH(CONCATENATE(A36,"GT"),Venta!FcClave,0),FcInicioVtaAnual+4),INDEX(Venta!FcDetalle,MATCH(CONCATENATE(A36,"GT"),Venta!FcClave,0),FcInicioVtaAnual+5)),"")</f>
        <v/>
      </c>
      <c r="V36" s="316"/>
    </row>
    <row r="37" spans="1:22" ht="12" hidden="1" customHeight="1" outlineLevel="1" x14ac:dyDescent="0.2">
      <c r="A37" s="43" t="str">
        <f>IF($G$10="-","",$G$10)</f>
        <v/>
      </c>
      <c r="B37" s="98" t="str">
        <f>IFERROR(INDEX(Maestro!FcDetalle,MATCH(A37,Maestro!FcClave,0),5),"")</f>
        <v/>
      </c>
      <c r="C37" s="111" t="str">
        <f>IFERROR(INDEX(Venta!FcDetalle,MATCH(CONCATENATE(A37,"GT"),Venta!FcClave,0),FcInicioVtaMes+0),"")</f>
        <v/>
      </c>
      <c r="D37" s="111" t="str">
        <f>IFERROR(INDEX(Venta!FcDetalle,MATCH(CONCATENATE(A37,"GT"),Venta!FcClave,0),FcInicioVtaMes+1),"")</f>
        <v/>
      </c>
      <c r="E37" s="111" t="str">
        <f>IFERROR(INDEX(Venta!FcDetalle,MATCH(CONCATENATE(A37,"GT"),Venta!FcClave,0),FcInicioVtaMes+2),"")</f>
        <v/>
      </c>
      <c r="F37" s="111" t="str">
        <f>IFERROR(INDEX(Venta!FcDetalle,MATCH(CONCATENATE(A37,"GT"),Venta!FcClave,0),FcInicioVtaMes+3),"")</f>
        <v/>
      </c>
      <c r="G37" s="111" t="str">
        <f>IFERROR(INDEX(Venta!FcDetalle,MATCH(CONCATENATE(A37,"GT"),Venta!FcClave,0),FcInicioVtaMes+4),"")</f>
        <v/>
      </c>
      <c r="H37" s="111" t="str">
        <f>IFERROR(INDEX(Venta!FcDetalle,MATCH(CONCATENATE(A37,"GT"),Venta!FcClave,0),FcInicioVtaMes+5),"")</f>
        <v/>
      </c>
      <c r="I37" s="111" t="str">
        <f>IFERROR(INDEX(Venta!FcDetalle,MATCH(CONCATENATE(A37,"GT"),Venta!FcClave,0),FcInicioVtaMes+6),"")</f>
        <v/>
      </c>
      <c r="J37" s="111" t="str">
        <f>IFERROR(INDEX(Venta!FcDetalle,MATCH(CONCATENATE(A37,"GT"),Venta!FcClave,0),FcInicioVtaMes+7),"")</f>
        <v/>
      </c>
      <c r="K37" s="111" t="str">
        <f>IFERROR(INDEX(Venta!FcDetalle,MATCH(CONCATENATE(A37,"GT"),Venta!FcClave,0),FcInicioVtaMes+8),"")</f>
        <v/>
      </c>
      <c r="L37" s="111" t="str">
        <f>IFERROR(INDEX(Venta!FcDetalle,MATCH(CONCATENATE(A37,"GT"),Venta!FcClave,0),FcInicioVtaMes+9),"")</f>
        <v/>
      </c>
      <c r="M37" s="111" t="str">
        <f>IFERROR(INDEX(Venta!FcDetalle,MATCH(CONCATENATE(A37,"GT"),Venta!FcClave,0),FcInicioVtaMes+10),"")</f>
        <v/>
      </c>
      <c r="N37" s="111" t="str">
        <f>IFERROR(INDEX(Venta!FcDetalle,MATCH(CONCATENATE(A37,"GT"),Venta!FcClave,0),FcInicioVtaMes+11),"")</f>
        <v/>
      </c>
      <c r="O37" s="111" t="str">
        <f>IFERROR(INDEX(Venta!FcDetalle,MATCH(CONCATENATE(A37,"GT"),Venta!FcClave,0),FcInicioVtaMes+12),"")</f>
        <v/>
      </c>
      <c r="P37" s="6"/>
      <c r="Q37" s="207" t="str">
        <f>IFERROR(INDEX(Venta!FcDetalle,MATCH(CONCATENATE(A37,"GT"),Venta!FcClave,0),FcInicioVtaAnual+0),"")</f>
        <v/>
      </c>
      <c r="R37" s="111" t="str">
        <f>IFERROR(INDEX(Venta!FcDetalle,MATCH(CONCATENATE(A37,"GT"),Venta!FcClave,0),FcInicioVtaAnual+1),"")</f>
        <v/>
      </c>
      <c r="S37" s="111" t="str">
        <f>IFERROR(INDEX(Venta!FcDetalle,MATCH(CONCATENATE(A37,"GT"),Venta!FcClave,0),FcInicioVtaAnual+2),"")</f>
        <v/>
      </c>
      <c r="T37" s="111" t="str">
        <f>IFERROR(INDEX(Venta!FcDetalle,MATCH(CONCATENATE(A37,"GT"),Venta!FcClave,0),FcInicioVtaAnual+3),"")</f>
        <v/>
      </c>
      <c r="U37" s="112" t="str">
        <f>IFERROR(IF(FcCheckProy=FALSE,INDEX(Venta!FcDetalle,MATCH(CONCATENATE(A37,"GT"),Venta!FcClave,0),FcInicioVtaAnual+4),INDEX(Venta!FcDetalle,MATCH(CONCATENATE(A37,"GT"),Venta!FcClave,0),FcInicioVtaAnual+5)),"")</f>
        <v/>
      </c>
      <c r="V37" s="316"/>
    </row>
    <row r="38" spans="1:22" ht="12" hidden="1" customHeight="1" outlineLevel="1" x14ac:dyDescent="0.2">
      <c r="A38" s="43" t="str">
        <f>IF($H$10="-","",$H$10)</f>
        <v/>
      </c>
      <c r="B38" s="98" t="str">
        <f>IFERROR(INDEX(Maestro!FcDetalle,MATCH(A38,Maestro!FcClave,0),5),"")</f>
        <v/>
      </c>
      <c r="C38" s="111" t="str">
        <f>IFERROR(INDEX(Venta!FcDetalle,MATCH(CONCATENATE(A38,"GT"),Venta!FcClave,0),FcInicioVtaMes+0),"")</f>
        <v/>
      </c>
      <c r="D38" s="111" t="str">
        <f>IFERROR(INDEX(Venta!FcDetalle,MATCH(CONCATENATE(A38,"GT"),Venta!FcClave,0),FcInicioVtaMes+1),"")</f>
        <v/>
      </c>
      <c r="E38" s="111" t="str">
        <f>IFERROR(INDEX(Venta!FcDetalle,MATCH(CONCATENATE(A38,"GT"),Venta!FcClave,0),FcInicioVtaMes+2),"")</f>
        <v/>
      </c>
      <c r="F38" s="111" t="str">
        <f>IFERROR(INDEX(Venta!FcDetalle,MATCH(CONCATENATE(A38,"GT"),Venta!FcClave,0),FcInicioVtaMes+3),"")</f>
        <v/>
      </c>
      <c r="G38" s="111" t="str">
        <f>IFERROR(INDEX(Venta!FcDetalle,MATCH(CONCATENATE(A38,"GT"),Venta!FcClave,0),FcInicioVtaMes+4),"")</f>
        <v/>
      </c>
      <c r="H38" s="111" t="str">
        <f>IFERROR(INDEX(Venta!FcDetalle,MATCH(CONCATENATE(A38,"GT"),Venta!FcClave,0),FcInicioVtaMes+5),"")</f>
        <v/>
      </c>
      <c r="I38" s="111" t="str">
        <f>IFERROR(INDEX(Venta!FcDetalle,MATCH(CONCATENATE(A38,"GT"),Venta!FcClave,0),FcInicioVtaMes+6),"")</f>
        <v/>
      </c>
      <c r="J38" s="111" t="str">
        <f>IFERROR(INDEX(Venta!FcDetalle,MATCH(CONCATENATE(A38,"GT"),Venta!FcClave,0),FcInicioVtaMes+7),"")</f>
        <v/>
      </c>
      <c r="K38" s="111" t="str">
        <f>IFERROR(INDEX(Venta!FcDetalle,MATCH(CONCATENATE(A38,"GT"),Venta!FcClave,0),FcInicioVtaMes+8),"")</f>
        <v/>
      </c>
      <c r="L38" s="111" t="str">
        <f>IFERROR(INDEX(Venta!FcDetalle,MATCH(CONCATENATE(A38,"GT"),Venta!FcClave,0),FcInicioVtaMes+9),"")</f>
        <v/>
      </c>
      <c r="M38" s="111" t="str">
        <f>IFERROR(INDEX(Venta!FcDetalle,MATCH(CONCATENATE(A38,"GT"),Venta!FcClave,0),FcInicioVtaMes+10),"")</f>
        <v/>
      </c>
      <c r="N38" s="111" t="str">
        <f>IFERROR(INDEX(Venta!FcDetalle,MATCH(CONCATENATE(A38,"GT"),Venta!FcClave,0),FcInicioVtaMes+11),"")</f>
        <v/>
      </c>
      <c r="O38" s="111" t="str">
        <f>IFERROR(INDEX(Venta!FcDetalle,MATCH(CONCATENATE(A38,"GT"),Venta!FcClave,0),FcInicioVtaMes+12),"")</f>
        <v/>
      </c>
      <c r="P38" s="6"/>
      <c r="Q38" s="207" t="str">
        <f>IFERROR(INDEX(Venta!FcDetalle,MATCH(CONCATENATE(A38,"GT"),Venta!FcClave,0),FcInicioVtaAnual+0),"")</f>
        <v/>
      </c>
      <c r="R38" s="111" t="str">
        <f>IFERROR(INDEX(Venta!FcDetalle,MATCH(CONCATENATE(A38,"GT"),Venta!FcClave,0),FcInicioVtaAnual+1),"")</f>
        <v/>
      </c>
      <c r="S38" s="111" t="str">
        <f>IFERROR(INDEX(Venta!FcDetalle,MATCH(CONCATENATE(A38,"GT"),Venta!FcClave,0),FcInicioVtaAnual+2),"")</f>
        <v/>
      </c>
      <c r="T38" s="111" t="str">
        <f>IFERROR(INDEX(Venta!FcDetalle,MATCH(CONCATENATE(A38,"GT"),Venta!FcClave,0),FcInicioVtaAnual+3),"")</f>
        <v/>
      </c>
      <c r="U38" s="112" t="str">
        <f>IFERROR(IF(FcCheckProy=FALSE,INDEX(Venta!FcDetalle,MATCH(CONCATENATE(A38,"GT"),Venta!FcClave,0),FcInicioVtaAnual+4),INDEX(Venta!FcDetalle,MATCH(CONCATENATE(A38,"GT"),Venta!FcClave,0),FcInicioVtaAnual+5)),"")</f>
        <v/>
      </c>
      <c r="V38" s="316"/>
    </row>
    <row r="39" spans="1:22" ht="12" hidden="1" customHeight="1" outlineLevel="1" x14ac:dyDescent="0.2">
      <c r="A39" s="43" t="str">
        <f>IF($I$10="-","",$I$10)</f>
        <v/>
      </c>
      <c r="B39" s="98" t="str">
        <f>IFERROR(INDEX(Maestro!FcDetalle,MATCH(A39,Maestro!FcClave,0),5),"")</f>
        <v/>
      </c>
      <c r="C39" s="111" t="str">
        <f>IFERROR(INDEX(Venta!FcDetalle,MATCH(CONCATENATE(A39,"GT"),Venta!FcClave,0),FcInicioVtaMes+0),"")</f>
        <v/>
      </c>
      <c r="D39" s="111" t="str">
        <f>IFERROR(INDEX(Venta!FcDetalle,MATCH(CONCATENATE(A39,"GT"),Venta!FcClave,0),FcInicioVtaMes+1),"")</f>
        <v/>
      </c>
      <c r="E39" s="111" t="str">
        <f>IFERROR(INDEX(Venta!FcDetalle,MATCH(CONCATENATE(A39,"GT"),Venta!FcClave,0),FcInicioVtaMes+2),"")</f>
        <v/>
      </c>
      <c r="F39" s="111" t="str">
        <f>IFERROR(INDEX(Venta!FcDetalle,MATCH(CONCATENATE(A39,"GT"),Venta!FcClave,0),FcInicioVtaMes+3),"")</f>
        <v/>
      </c>
      <c r="G39" s="111" t="str">
        <f>IFERROR(INDEX(Venta!FcDetalle,MATCH(CONCATENATE(A39,"GT"),Venta!FcClave,0),FcInicioVtaMes+4),"")</f>
        <v/>
      </c>
      <c r="H39" s="111" t="str">
        <f>IFERROR(INDEX(Venta!FcDetalle,MATCH(CONCATENATE(A39,"GT"),Venta!FcClave,0),FcInicioVtaMes+5),"")</f>
        <v/>
      </c>
      <c r="I39" s="111" t="str">
        <f>IFERROR(INDEX(Venta!FcDetalle,MATCH(CONCATENATE(A39,"GT"),Venta!FcClave,0),FcInicioVtaMes+6),"")</f>
        <v/>
      </c>
      <c r="J39" s="111" t="str">
        <f>IFERROR(INDEX(Venta!FcDetalle,MATCH(CONCATENATE(A39,"GT"),Venta!FcClave,0),FcInicioVtaMes+7),"")</f>
        <v/>
      </c>
      <c r="K39" s="111" t="str">
        <f>IFERROR(INDEX(Venta!FcDetalle,MATCH(CONCATENATE(A39,"GT"),Venta!FcClave,0),FcInicioVtaMes+8),"")</f>
        <v/>
      </c>
      <c r="L39" s="111" t="str">
        <f>IFERROR(INDEX(Venta!FcDetalle,MATCH(CONCATENATE(A39,"GT"),Venta!FcClave,0),FcInicioVtaMes+9),"")</f>
        <v/>
      </c>
      <c r="M39" s="111" t="str">
        <f>IFERROR(INDEX(Venta!FcDetalle,MATCH(CONCATENATE(A39,"GT"),Venta!FcClave,0),FcInicioVtaMes+10),"")</f>
        <v/>
      </c>
      <c r="N39" s="111" t="str">
        <f>IFERROR(INDEX(Venta!FcDetalle,MATCH(CONCATENATE(A39,"GT"),Venta!FcClave,0),FcInicioVtaMes+11),"")</f>
        <v/>
      </c>
      <c r="O39" s="111" t="str">
        <f>IFERROR(INDEX(Venta!FcDetalle,MATCH(CONCATENATE(A39,"GT"),Venta!FcClave,0),FcInicioVtaMes+12),"")</f>
        <v/>
      </c>
      <c r="P39" s="6"/>
      <c r="Q39" s="207" t="str">
        <f>IFERROR(INDEX(Venta!FcDetalle,MATCH(CONCATENATE(A39,"GT"),Venta!FcClave,0),FcInicioVtaAnual+0),"")</f>
        <v/>
      </c>
      <c r="R39" s="111" t="str">
        <f>IFERROR(INDEX(Venta!FcDetalle,MATCH(CONCATENATE(A39,"GT"),Venta!FcClave,0),FcInicioVtaAnual+1),"")</f>
        <v/>
      </c>
      <c r="S39" s="111" t="str">
        <f>IFERROR(INDEX(Venta!FcDetalle,MATCH(CONCATENATE(A39,"GT"),Venta!FcClave,0),FcInicioVtaAnual+2),"")</f>
        <v/>
      </c>
      <c r="T39" s="111" t="str">
        <f>IFERROR(INDEX(Venta!FcDetalle,MATCH(CONCATENATE(A39,"GT"),Venta!FcClave,0),FcInicioVtaAnual+3),"")</f>
        <v/>
      </c>
      <c r="U39" s="112" t="str">
        <f>IFERROR(IF(FcCheckProy=FALSE,INDEX(Venta!FcDetalle,MATCH(CONCATENATE(A39,"GT"),Venta!FcClave,0),FcInicioVtaAnual+4),INDEX(Venta!FcDetalle,MATCH(CONCATENATE(A39,"GT"),Venta!FcClave,0),FcInicioVtaAnual+5)),"")</f>
        <v/>
      </c>
      <c r="V39" s="316"/>
    </row>
    <row r="40" spans="1:22" ht="12" hidden="1" customHeight="1" outlineLevel="1" x14ac:dyDescent="0.2">
      <c r="A40" s="43" t="str">
        <f>IF($J$10="-","",$J$10)</f>
        <v/>
      </c>
      <c r="B40" s="98" t="str">
        <f>IFERROR(INDEX(Maestro!FcDetalle,MATCH(A40,Maestro!FcClave,0),5),"")</f>
        <v/>
      </c>
      <c r="C40" s="111" t="str">
        <f>IFERROR(INDEX(Venta!FcDetalle,MATCH(CONCATENATE(A40,"GT"),Venta!FcClave,0),FcInicioVtaMes+0),"")</f>
        <v/>
      </c>
      <c r="D40" s="111" t="str">
        <f>IFERROR(INDEX(Venta!FcDetalle,MATCH(CONCATENATE(A40,"GT"),Venta!FcClave,0),FcInicioVtaMes+1),"")</f>
        <v/>
      </c>
      <c r="E40" s="111" t="str">
        <f>IFERROR(INDEX(Venta!FcDetalle,MATCH(CONCATENATE(A40,"GT"),Venta!FcClave,0),FcInicioVtaMes+2),"")</f>
        <v/>
      </c>
      <c r="F40" s="111" t="str">
        <f>IFERROR(INDEX(Venta!FcDetalle,MATCH(CONCATENATE(A40,"GT"),Venta!FcClave,0),FcInicioVtaMes+3),"")</f>
        <v/>
      </c>
      <c r="G40" s="111" t="str">
        <f>IFERROR(INDEX(Venta!FcDetalle,MATCH(CONCATENATE(A40,"GT"),Venta!FcClave,0),FcInicioVtaMes+4),"")</f>
        <v/>
      </c>
      <c r="H40" s="111" t="str">
        <f>IFERROR(INDEX(Venta!FcDetalle,MATCH(CONCATENATE(A40,"GT"),Venta!FcClave,0),FcInicioVtaMes+5),"")</f>
        <v/>
      </c>
      <c r="I40" s="111" t="str">
        <f>IFERROR(INDEX(Venta!FcDetalle,MATCH(CONCATENATE(A40,"GT"),Venta!FcClave,0),FcInicioVtaMes+6),"")</f>
        <v/>
      </c>
      <c r="J40" s="111" t="str">
        <f>IFERROR(INDEX(Venta!FcDetalle,MATCH(CONCATENATE(A40,"GT"),Venta!FcClave,0),FcInicioVtaMes+7),"")</f>
        <v/>
      </c>
      <c r="K40" s="111" t="str">
        <f>IFERROR(INDEX(Venta!FcDetalle,MATCH(CONCATENATE(A40,"GT"),Venta!FcClave,0),FcInicioVtaMes+8),"")</f>
        <v/>
      </c>
      <c r="L40" s="111" t="str">
        <f>IFERROR(INDEX(Venta!FcDetalle,MATCH(CONCATENATE(A40,"GT"),Venta!FcClave,0),FcInicioVtaMes+9),"")</f>
        <v/>
      </c>
      <c r="M40" s="111" t="str">
        <f>IFERROR(INDEX(Venta!FcDetalle,MATCH(CONCATENATE(A40,"GT"),Venta!FcClave,0),FcInicioVtaMes+10),"")</f>
        <v/>
      </c>
      <c r="N40" s="111" t="str">
        <f>IFERROR(INDEX(Venta!FcDetalle,MATCH(CONCATENATE(A40,"GT"),Venta!FcClave,0),FcInicioVtaMes+11),"")</f>
        <v/>
      </c>
      <c r="O40" s="111" t="str">
        <f>IFERROR(INDEX(Venta!FcDetalle,MATCH(CONCATENATE(A40,"GT"),Venta!FcClave,0),FcInicioVtaMes+12),"")</f>
        <v/>
      </c>
      <c r="P40" s="6"/>
      <c r="Q40" s="207" t="str">
        <f>IFERROR(INDEX(Venta!FcDetalle,MATCH(CONCATENATE(A40,"GT"),Venta!FcClave,0),FcInicioVtaAnual+0),"")</f>
        <v/>
      </c>
      <c r="R40" s="111" t="str">
        <f>IFERROR(INDEX(Venta!FcDetalle,MATCH(CONCATENATE(A40,"GT"),Venta!FcClave,0),FcInicioVtaAnual+1),"")</f>
        <v/>
      </c>
      <c r="S40" s="111" t="str">
        <f>IFERROR(INDEX(Venta!FcDetalle,MATCH(CONCATENATE(A40,"GT"),Venta!FcClave,0),FcInicioVtaAnual+2),"")</f>
        <v/>
      </c>
      <c r="T40" s="111" t="str">
        <f>IFERROR(INDEX(Venta!FcDetalle,MATCH(CONCATENATE(A40,"GT"),Venta!FcClave,0),FcInicioVtaAnual+3),"")</f>
        <v/>
      </c>
      <c r="U40" s="112" t="str">
        <f>IFERROR(IF(FcCheckProy=FALSE,INDEX(Venta!FcDetalle,MATCH(CONCATENATE(A40,"GT"),Venta!FcClave,0),FcInicioVtaAnual+4),INDEX(Venta!FcDetalle,MATCH(CONCATENATE(A40,"GT"),Venta!FcClave,0),FcInicioVtaAnual+5)),"")</f>
        <v/>
      </c>
      <c r="V40" s="316"/>
    </row>
    <row r="41" spans="1:22" ht="12" hidden="1" customHeight="1" outlineLevel="1" x14ac:dyDescent="0.2">
      <c r="A41" s="43" t="str">
        <f>IF($K$10="-","",$K$10)</f>
        <v/>
      </c>
      <c r="B41" s="98" t="str">
        <f>IFERROR(INDEX(Maestro!FcDetalle,MATCH(A41,Maestro!FcClave,0),5),"")</f>
        <v/>
      </c>
      <c r="C41" s="111" t="str">
        <f>IFERROR(INDEX(Venta!FcDetalle,MATCH(CONCATENATE(A41,"GT"),Venta!FcClave,0),FcInicioVtaMes+0),"")</f>
        <v/>
      </c>
      <c r="D41" s="111" t="str">
        <f>IFERROR(INDEX(Venta!FcDetalle,MATCH(CONCATENATE(A41,"GT"),Venta!FcClave,0),FcInicioVtaMes+1),"")</f>
        <v/>
      </c>
      <c r="E41" s="111" t="str">
        <f>IFERROR(INDEX(Venta!FcDetalle,MATCH(CONCATENATE(A41,"GT"),Venta!FcClave,0),FcInicioVtaMes+2),"")</f>
        <v/>
      </c>
      <c r="F41" s="111" t="str">
        <f>IFERROR(INDEX(Venta!FcDetalle,MATCH(CONCATENATE(A41,"GT"),Venta!FcClave,0),FcInicioVtaMes+3),"")</f>
        <v/>
      </c>
      <c r="G41" s="111" t="str">
        <f>IFERROR(INDEX(Venta!FcDetalle,MATCH(CONCATENATE(A41,"GT"),Venta!FcClave,0),FcInicioVtaMes+4),"")</f>
        <v/>
      </c>
      <c r="H41" s="111" t="str">
        <f>IFERROR(INDEX(Venta!FcDetalle,MATCH(CONCATENATE(A41,"GT"),Venta!FcClave,0),FcInicioVtaMes+5),"")</f>
        <v/>
      </c>
      <c r="I41" s="111" t="str">
        <f>IFERROR(INDEX(Venta!FcDetalle,MATCH(CONCATENATE(A41,"GT"),Venta!FcClave,0),FcInicioVtaMes+6),"")</f>
        <v/>
      </c>
      <c r="J41" s="111" t="str">
        <f>IFERROR(INDEX(Venta!FcDetalle,MATCH(CONCATENATE(A41,"GT"),Venta!FcClave,0),FcInicioVtaMes+7),"")</f>
        <v/>
      </c>
      <c r="K41" s="111" t="str">
        <f>IFERROR(INDEX(Venta!FcDetalle,MATCH(CONCATENATE(A41,"GT"),Venta!FcClave,0),FcInicioVtaMes+8),"")</f>
        <v/>
      </c>
      <c r="L41" s="111" t="str">
        <f>IFERROR(INDEX(Venta!FcDetalle,MATCH(CONCATENATE(A41,"GT"),Venta!FcClave,0),FcInicioVtaMes+9),"")</f>
        <v/>
      </c>
      <c r="M41" s="111" t="str">
        <f>IFERROR(INDEX(Venta!FcDetalle,MATCH(CONCATENATE(A41,"GT"),Venta!FcClave,0),FcInicioVtaMes+10),"")</f>
        <v/>
      </c>
      <c r="N41" s="111" t="str">
        <f>IFERROR(INDEX(Venta!FcDetalle,MATCH(CONCATENATE(A41,"GT"),Venta!FcClave,0),FcInicioVtaMes+11),"")</f>
        <v/>
      </c>
      <c r="O41" s="111" t="str">
        <f>IFERROR(INDEX(Venta!FcDetalle,MATCH(CONCATENATE(A41,"GT"),Venta!FcClave,0),FcInicioVtaMes+12),"")</f>
        <v/>
      </c>
      <c r="P41" s="6"/>
      <c r="Q41" s="207" t="str">
        <f>IFERROR(INDEX(Venta!FcDetalle,MATCH(CONCATENATE(A41,"GT"),Venta!FcClave,0),FcInicioVtaAnual+0),"")</f>
        <v/>
      </c>
      <c r="R41" s="111" t="str">
        <f>IFERROR(INDEX(Venta!FcDetalle,MATCH(CONCATENATE(A41,"GT"),Venta!FcClave,0),FcInicioVtaAnual+1),"")</f>
        <v/>
      </c>
      <c r="S41" s="111" t="str">
        <f>IFERROR(INDEX(Venta!FcDetalle,MATCH(CONCATENATE(A41,"GT"),Venta!FcClave,0),FcInicioVtaAnual+2),"")</f>
        <v/>
      </c>
      <c r="T41" s="111" t="str">
        <f>IFERROR(INDEX(Venta!FcDetalle,MATCH(CONCATENATE(A41,"GT"),Venta!FcClave,0),FcInicioVtaAnual+3),"")</f>
        <v/>
      </c>
      <c r="U41" s="112" t="str">
        <f>IFERROR(IF(FcCheckProy=FALSE,INDEX(Venta!FcDetalle,MATCH(CONCATENATE(A41,"GT"),Venta!FcClave,0),FcInicioVtaAnual+4),INDEX(Venta!FcDetalle,MATCH(CONCATENATE(A41,"GT"),Venta!FcClave,0),FcInicioVtaAnual+5)),"")</f>
        <v/>
      </c>
      <c r="V41" s="316"/>
    </row>
    <row r="42" spans="1:22" ht="12" hidden="1" customHeight="1" outlineLevel="1" x14ac:dyDescent="0.2">
      <c r="A42" s="43" t="str">
        <f>IF($I$9="-","",$I$9)</f>
        <v/>
      </c>
      <c r="B42" s="98" t="str">
        <f>IFERROR(INDEX(Maestro!FcDetalle,MATCH(A42,Maestro!FcClave,0),5),"")</f>
        <v/>
      </c>
      <c r="C42" s="111" t="str">
        <f>IFERROR(INDEX(Venta!FcDetalle,MATCH(CONCATENATE(A42,"GT"),Venta!FcClave,0),FcInicioVtaMes+0),"")</f>
        <v/>
      </c>
      <c r="D42" s="111" t="str">
        <f>IFERROR(INDEX(Venta!FcDetalle,MATCH(CONCATENATE(A42,"GT"),Venta!FcClave,0),FcInicioVtaMes+1),"")</f>
        <v/>
      </c>
      <c r="E42" s="111" t="str">
        <f>IFERROR(INDEX(Venta!FcDetalle,MATCH(CONCATENATE(A42,"GT"),Venta!FcClave,0),FcInicioVtaMes+2),"")</f>
        <v/>
      </c>
      <c r="F42" s="111" t="str">
        <f>IFERROR(INDEX(Venta!FcDetalle,MATCH(CONCATENATE(A42,"GT"),Venta!FcClave,0),FcInicioVtaMes+3),"")</f>
        <v/>
      </c>
      <c r="G42" s="111" t="str">
        <f>IFERROR(INDEX(Venta!FcDetalle,MATCH(CONCATENATE(A42,"GT"),Venta!FcClave,0),FcInicioVtaMes+4),"")</f>
        <v/>
      </c>
      <c r="H42" s="111" t="str">
        <f>IFERROR(INDEX(Venta!FcDetalle,MATCH(CONCATENATE(A42,"GT"),Venta!FcClave,0),FcInicioVtaMes+5),"")</f>
        <v/>
      </c>
      <c r="I42" s="111" t="str">
        <f>IFERROR(INDEX(Venta!FcDetalle,MATCH(CONCATENATE(A42,"GT"),Venta!FcClave,0),FcInicioVtaMes+6),"")</f>
        <v/>
      </c>
      <c r="J42" s="111" t="str">
        <f>IFERROR(INDEX(Venta!FcDetalle,MATCH(CONCATENATE(A42,"GT"),Venta!FcClave,0),FcInicioVtaMes+7),"")</f>
        <v/>
      </c>
      <c r="K42" s="111" t="str">
        <f>IFERROR(INDEX(Venta!FcDetalle,MATCH(CONCATENATE(A42,"GT"),Venta!FcClave,0),FcInicioVtaMes+8),"")</f>
        <v/>
      </c>
      <c r="L42" s="111" t="str">
        <f>IFERROR(INDEX(Venta!FcDetalle,MATCH(CONCATENATE(A42,"GT"),Venta!FcClave,0),FcInicioVtaMes+9),"")</f>
        <v/>
      </c>
      <c r="M42" s="111" t="str">
        <f>IFERROR(INDEX(Venta!FcDetalle,MATCH(CONCATENATE(A42,"GT"),Venta!FcClave,0),FcInicioVtaMes+10),"")</f>
        <v/>
      </c>
      <c r="N42" s="111" t="str">
        <f>IFERROR(INDEX(Venta!FcDetalle,MATCH(CONCATENATE(A42,"GT"),Venta!FcClave,0),FcInicioVtaMes+11),"")</f>
        <v/>
      </c>
      <c r="O42" s="111" t="str">
        <f>IFERROR(INDEX(Venta!FcDetalle,MATCH(CONCATENATE(A42,"GT"),Venta!FcClave,0),FcInicioVtaMes+12),"")</f>
        <v/>
      </c>
      <c r="P42" s="6"/>
      <c r="Q42" s="207" t="str">
        <f>IFERROR(INDEX(Venta!FcDetalle,MATCH(CONCATENATE(A42,"GT"),Venta!FcClave,0),FcInicioVtaAnual+0),"")</f>
        <v/>
      </c>
      <c r="R42" s="111" t="str">
        <f>IFERROR(INDEX(Venta!FcDetalle,MATCH(CONCATENATE(A42,"GT"),Venta!FcClave,0),FcInicioVtaAnual+1),"")</f>
        <v/>
      </c>
      <c r="S42" s="111" t="str">
        <f>IFERROR(INDEX(Venta!FcDetalle,MATCH(CONCATENATE(A42,"GT"),Venta!FcClave,0),FcInicioVtaAnual+2),"")</f>
        <v/>
      </c>
      <c r="T42" s="111" t="str">
        <f>IFERROR(INDEX(Venta!FcDetalle,MATCH(CONCATENATE(A42,"GT"),Venta!FcClave,0),FcInicioVtaAnual+3),"")</f>
        <v/>
      </c>
      <c r="U42" s="112" t="str">
        <f>IFERROR(IF(FcCheckProy=FALSE,INDEX(Venta!FcDetalle,MATCH(CONCATENATE(A42,"GT"),Venta!FcClave,0),FcInicioVtaAnual+4),INDEX(Venta!FcDetalle,MATCH(CONCATENATE(A42,"GT"),Venta!FcClave,0),FcInicioVtaAnual+5)),"")</f>
        <v/>
      </c>
      <c r="V42" s="316"/>
    </row>
    <row r="43" spans="1:22" ht="12" hidden="1" customHeight="1" outlineLevel="1" x14ac:dyDescent="0.2">
      <c r="A43" s="43" t="str">
        <f>IF($J$9="-","",$J$9)</f>
        <v/>
      </c>
      <c r="B43" s="98" t="str">
        <f>IFERROR(INDEX(Maestro!FcDetalle,MATCH(A43,Maestro!FcClave,0),5),"")</f>
        <v/>
      </c>
      <c r="C43" s="111" t="str">
        <f>IFERROR(INDEX(Venta!FcDetalle,MATCH(CONCATENATE(A43,"GT"),Venta!FcClave,0),FcInicioVtaMes+0),"")</f>
        <v/>
      </c>
      <c r="D43" s="111" t="str">
        <f>IFERROR(INDEX(Venta!FcDetalle,MATCH(CONCATENATE(A43,"GT"),Venta!FcClave,0),FcInicioVtaMes+1),"")</f>
        <v/>
      </c>
      <c r="E43" s="111" t="str">
        <f>IFERROR(INDEX(Venta!FcDetalle,MATCH(CONCATENATE(A43,"GT"),Venta!FcClave,0),FcInicioVtaMes+2),"")</f>
        <v/>
      </c>
      <c r="F43" s="111" t="str">
        <f>IFERROR(INDEX(Venta!FcDetalle,MATCH(CONCATENATE(A43,"GT"),Venta!FcClave,0),FcInicioVtaMes+3),"")</f>
        <v/>
      </c>
      <c r="G43" s="111" t="str">
        <f>IFERROR(INDEX(Venta!FcDetalle,MATCH(CONCATENATE(A43,"GT"),Venta!FcClave,0),FcInicioVtaMes+4),"")</f>
        <v/>
      </c>
      <c r="H43" s="111" t="str">
        <f>IFERROR(INDEX(Venta!FcDetalle,MATCH(CONCATENATE(A43,"GT"),Venta!FcClave,0),FcInicioVtaMes+5),"")</f>
        <v/>
      </c>
      <c r="I43" s="111" t="str">
        <f>IFERROR(INDEX(Venta!FcDetalle,MATCH(CONCATENATE(A43,"GT"),Venta!FcClave,0),FcInicioVtaMes+6),"")</f>
        <v/>
      </c>
      <c r="J43" s="111" t="str">
        <f>IFERROR(INDEX(Venta!FcDetalle,MATCH(CONCATENATE(A43,"GT"),Venta!FcClave,0),FcInicioVtaMes+7),"")</f>
        <v/>
      </c>
      <c r="K43" s="111" t="str">
        <f>IFERROR(INDEX(Venta!FcDetalle,MATCH(CONCATENATE(A43,"GT"),Venta!FcClave,0),FcInicioVtaMes+8),"")</f>
        <v/>
      </c>
      <c r="L43" s="111" t="str">
        <f>IFERROR(INDEX(Venta!FcDetalle,MATCH(CONCATENATE(A43,"GT"),Venta!FcClave,0),FcInicioVtaMes+9),"")</f>
        <v/>
      </c>
      <c r="M43" s="111" t="str">
        <f>IFERROR(INDEX(Venta!FcDetalle,MATCH(CONCATENATE(A43,"GT"),Venta!FcClave,0),FcInicioVtaMes+10),"")</f>
        <v/>
      </c>
      <c r="N43" s="111" t="str">
        <f>IFERROR(INDEX(Venta!FcDetalle,MATCH(CONCATENATE(A43,"GT"),Venta!FcClave,0),FcInicioVtaMes+11),"")</f>
        <v/>
      </c>
      <c r="O43" s="111" t="str">
        <f>IFERROR(INDEX(Venta!FcDetalle,MATCH(CONCATENATE(A43,"GT"),Venta!FcClave,0),FcInicioVtaMes+12),"")</f>
        <v/>
      </c>
      <c r="P43" s="6"/>
      <c r="Q43" s="207" t="str">
        <f>IFERROR(INDEX(Venta!FcDetalle,MATCH(CONCATENATE(A43,"GT"),Venta!FcClave,0),FcInicioVtaAnual+0),"")</f>
        <v/>
      </c>
      <c r="R43" s="111" t="str">
        <f>IFERROR(INDEX(Venta!FcDetalle,MATCH(CONCATENATE(A43,"GT"),Venta!FcClave,0),FcInicioVtaAnual+1),"")</f>
        <v/>
      </c>
      <c r="S43" s="111" t="str">
        <f>IFERROR(INDEX(Venta!FcDetalle,MATCH(CONCATENATE(A43,"GT"),Venta!FcClave,0),FcInicioVtaAnual+2),"")</f>
        <v/>
      </c>
      <c r="T43" s="111" t="str">
        <f>IFERROR(INDEX(Venta!FcDetalle,MATCH(CONCATENATE(A43,"GT"),Venta!FcClave,0),FcInicioVtaAnual+3),"")</f>
        <v/>
      </c>
      <c r="U43" s="112" t="str">
        <f>IFERROR(IF(FcCheckProy=FALSE,INDEX(Venta!FcDetalle,MATCH(CONCATENATE(A43,"GT"),Venta!FcClave,0),FcInicioVtaAnual+4),INDEX(Venta!FcDetalle,MATCH(CONCATENATE(A43,"GT"),Venta!FcClave,0),FcInicioVtaAnual+5)),"")</f>
        <v/>
      </c>
      <c r="V43" s="316"/>
    </row>
    <row r="44" spans="1:22" ht="12" hidden="1" customHeight="1" outlineLevel="1" thickBot="1" x14ac:dyDescent="0.25">
      <c r="A44" s="97" t="str">
        <f>IF($K$9="-","",$K$9)</f>
        <v/>
      </c>
      <c r="B44" s="98" t="str">
        <f>IFERROR(INDEX(Maestro!FcDetalle,MATCH(A44,Maestro!FcClave,0),5),"")</f>
        <v/>
      </c>
      <c r="C44" s="111" t="str">
        <f>IFERROR(INDEX(Venta!FcDetalle,MATCH(CONCATENATE(A44,"GT"),Venta!FcClave,0),FcInicioVtaMes+0),"")</f>
        <v/>
      </c>
      <c r="D44" s="111" t="str">
        <f>IFERROR(INDEX(Venta!FcDetalle,MATCH(CONCATENATE(A44,"GT"),Venta!FcClave,0),FcInicioVtaMes+1),"")</f>
        <v/>
      </c>
      <c r="E44" s="111" t="str">
        <f>IFERROR(INDEX(Venta!FcDetalle,MATCH(CONCATENATE(A44,"GT"),Venta!FcClave,0),FcInicioVtaMes+2),"")</f>
        <v/>
      </c>
      <c r="F44" s="111" t="str">
        <f>IFERROR(INDEX(Venta!FcDetalle,MATCH(CONCATENATE(A44,"GT"),Venta!FcClave,0),FcInicioVtaMes+3),"")</f>
        <v/>
      </c>
      <c r="G44" s="111" t="str">
        <f>IFERROR(INDEX(Venta!FcDetalle,MATCH(CONCATENATE(A44,"GT"),Venta!FcClave,0),FcInicioVtaMes+4),"")</f>
        <v/>
      </c>
      <c r="H44" s="111" t="str">
        <f>IFERROR(INDEX(Venta!FcDetalle,MATCH(CONCATENATE(A44,"GT"),Venta!FcClave,0),FcInicioVtaMes+5),"")</f>
        <v/>
      </c>
      <c r="I44" s="111" t="str">
        <f>IFERROR(INDEX(Venta!FcDetalle,MATCH(CONCATENATE(A44,"GT"),Venta!FcClave,0),FcInicioVtaMes+6),"")</f>
        <v/>
      </c>
      <c r="J44" s="111" t="str">
        <f>IFERROR(INDEX(Venta!FcDetalle,MATCH(CONCATENATE(A44,"GT"),Venta!FcClave,0),FcInicioVtaMes+7),"")</f>
        <v/>
      </c>
      <c r="K44" s="111" t="str">
        <f>IFERROR(INDEX(Venta!FcDetalle,MATCH(CONCATENATE(A44,"GT"),Venta!FcClave,0),FcInicioVtaMes+8),"")</f>
        <v/>
      </c>
      <c r="L44" s="111" t="str">
        <f>IFERROR(INDEX(Venta!FcDetalle,MATCH(CONCATENATE(A44,"GT"),Venta!FcClave,0),FcInicioVtaMes+9),"")</f>
        <v/>
      </c>
      <c r="M44" s="111" t="str">
        <f>IFERROR(INDEX(Venta!FcDetalle,MATCH(CONCATENATE(A44,"GT"),Venta!FcClave,0),FcInicioVtaMes+10),"")</f>
        <v/>
      </c>
      <c r="N44" s="111" t="str">
        <f>IFERROR(INDEX(Venta!FcDetalle,MATCH(CONCATENATE(A44,"GT"),Venta!FcClave,0),FcInicioVtaMes+11),"")</f>
        <v/>
      </c>
      <c r="O44" s="111" t="str">
        <f>IFERROR(INDEX(Venta!FcDetalle,MATCH(CONCATENATE(A44,"GT"),Venta!FcClave,0),FcInicioVtaMes+12),"")</f>
        <v/>
      </c>
      <c r="P44" s="6"/>
      <c r="Q44" s="207" t="str">
        <f>IFERROR(INDEX(Venta!FcDetalle,MATCH(CONCATENATE(A44,"GT"),Venta!FcClave,0),FcInicioVtaAnual+0),"")</f>
        <v/>
      </c>
      <c r="R44" s="111" t="str">
        <f>IFERROR(INDEX(Venta!FcDetalle,MATCH(CONCATENATE(A44,"GT"),Venta!FcClave,0),FcInicioVtaAnual+1),"")</f>
        <v/>
      </c>
      <c r="S44" s="111" t="str">
        <f>IFERROR(INDEX(Venta!FcDetalle,MATCH(CONCATENATE(A44,"GT"),Venta!FcClave,0),FcInicioVtaAnual+2),"")</f>
        <v/>
      </c>
      <c r="T44" s="111" t="str">
        <f>IFERROR(INDEX(Venta!FcDetalle,MATCH(CONCATENATE(A44,"GT"),Venta!FcClave,0),FcInicioVtaAnual+3),"")</f>
        <v/>
      </c>
      <c r="U44" s="112" t="str">
        <f>IFERROR(IF(FcCheckProy=FALSE,INDEX(Venta!FcDetalle,MATCH(CONCATENATE(A44,"GT"),Venta!FcClave,0),FcInicioVtaAnual+4),INDEX(Venta!FcDetalle,MATCH(CONCATENATE(A44,"GT"),Venta!FcClave,0),FcInicioVtaAnual+5)),"")</f>
        <v/>
      </c>
      <c r="V44" s="316"/>
    </row>
    <row r="45" spans="1:22" ht="12" customHeight="1" collapsed="1" thickBot="1" x14ac:dyDescent="0.25">
      <c r="A45" s="254" t="s">
        <v>43</v>
      </c>
      <c r="B45" s="255"/>
      <c r="C45" s="256">
        <f t="shared" ref="C45:O45" si="3">SUM(C35:C44)</f>
        <v>0</v>
      </c>
      <c r="D45" s="256">
        <f t="shared" si="3"/>
        <v>0</v>
      </c>
      <c r="E45" s="256">
        <f t="shared" si="3"/>
        <v>0</v>
      </c>
      <c r="F45" s="256">
        <f t="shared" si="3"/>
        <v>0</v>
      </c>
      <c r="G45" s="256">
        <f t="shared" si="3"/>
        <v>0</v>
      </c>
      <c r="H45" s="256">
        <f t="shared" si="3"/>
        <v>0</v>
      </c>
      <c r="I45" s="256">
        <f t="shared" si="3"/>
        <v>0</v>
      </c>
      <c r="J45" s="256">
        <f t="shared" si="3"/>
        <v>0</v>
      </c>
      <c r="K45" s="256">
        <f t="shared" si="3"/>
        <v>0</v>
      </c>
      <c r="L45" s="256">
        <f t="shared" si="3"/>
        <v>0</v>
      </c>
      <c r="M45" s="256">
        <f t="shared" si="3"/>
        <v>0</v>
      </c>
      <c r="N45" s="256">
        <f t="shared" si="3"/>
        <v>0</v>
      </c>
      <c r="O45" s="257">
        <f t="shared" si="3"/>
        <v>0</v>
      </c>
      <c r="P45" s="258"/>
      <c r="Q45" s="259">
        <f>SUM(Q35:Q44)</f>
        <v>0</v>
      </c>
      <c r="R45" s="260">
        <f>SUM(R35:R44)</f>
        <v>0</v>
      </c>
      <c r="S45" s="260">
        <f>SUM(S35:S44)</f>
        <v>0</v>
      </c>
      <c r="T45" s="260">
        <f>SUM(T35:T44)</f>
        <v>0</v>
      </c>
      <c r="U45" s="257">
        <f>SUM(U35:U44)</f>
        <v>0</v>
      </c>
      <c r="V45" s="316"/>
    </row>
    <row r="46" spans="1:22" ht="12" hidden="1" customHeight="1" outlineLevel="1" x14ac:dyDescent="0.2">
      <c r="A46" s="43" t="str">
        <f>IF($E$10="-",$C$4,$E$10)</f>
        <v/>
      </c>
      <c r="B46" s="98" t="str">
        <f>IFERROR(INDEX(Maestro!FcDetalle,MATCH(A46,Maestro!FcClave,0),5),"")</f>
        <v/>
      </c>
      <c r="C46" s="111" t="str">
        <f>IFERROR(INDEX(Venta!FcDetalle,MATCH(CONCATENATE(A46,"CAP"),Venta!FcClave,0),FcInicioVtaMes+0),"")</f>
        <v/>
      </c>
      <c r="D46" s="111" t="str">
        <f>IFERROR(INDEX(Venta!FcDetalle,MATCH(CONCATENATE(A46,"CAP"),Venta!FcClave,0),FcInicioVtaMes+1),"")</f>
        <v/>
      </c>
      <c r="E46" s="111" t="str">
        <f>IFERROR(INDEX(Venta!FcDetalle,MATCH(CONCATENATE(A46,"CAP"),Venta!FcClave,0),FcInicioVtaMes+2),"")</f>
        <v/>
      </c>
      <c r="F46" s="111" t="str">
        <f>IFERROR(INDEX(Venta!FcDetalle,MATCH(CONCATENATE(A46,"CAP"),Venta!FcClave,0),FcInicioVtaMes+3),"")</f>
        <v/>
      </c>
      <c r="G46" s="111" t="str">
        <f>IFERROR(INDEX(Venta!FcDetalle,MATCH(CONCATENATE(A46,"CAP"),Venta!FcClave,0),FcInicioVtaMes+4),"")</f>
        <v/>
      </c>
      <c r="H46" s="111" t="str">
        <f>IFERROR(INDEX(Venta!FcDetalle,MATCH(CONCATENATE(A46,"CAP"),Venta!FcClave,0),FcInicioVtaMes+5),"")</f>
        <v/>
      </c>
      <c r="I46" s="111" t="str">
        <f>IFERROR(INDEX(Venta!FcDetalle,MATCH(CONCATENATE(A46,"CAP"),Venta!FcClave,0),FcInicioVtaMes+6),"")</f>
        <v/>
      </c>
      <c r="J46" s="111" t="str">
        <f>IFERROR(INDEX(Venta!FcDetalle,MATCH(CONCATENATE(A46,"CAP"),Venta!FcClave,0),FcInicioVtaMes+7),"")</f>
        <v/>
      </c>
      <c r="K46" s="111" t="str">
        <f>IFERROR(INDEX(Venta!FcDetalle,MATCH(CONCATENATE(A46,"CAP"),Venta!FcClave,0),FcInicioVtaMes+8),"")</f>
        <v/>
      </c>
      <c r="L46" s="111" t="str">
        <f>IFERROR(INDEX(Venta!FcDetalle,MATCH(CONCATENATE(A46,"CAP"),Venta!FcClave,0),FcInicioVtaMes+9),"")</f>
        <v/>
      </c>
      <c r="M46" s="111" t="str">
        <f>IFERROR(INDEX(Venta!FcDetalle,MATCH(CONCATENATE(A46,"CAP"),Venta!FcClave,0),FcInicioVtaMes+10),"")</f>
        <v/>
      </c>
      <c r="N46" s="111" t="str">
        <f>IFERROR(INDEX(Venta!FcDetalle,MATCH(CONCATENATE(A46,"CAP"),Venta!FcClave,0),FcInicioVtaMes+11),"")</f>
        <v/>
      </c>
      <c r="O46" s="111" t="str">
        <f>IFERROR(INDEX(Venta!FcDetalle,MATCH(CONCATENATE(A46,"CAP"),Venta!FcClave,0),FcInicioVtaMes+12),"")</f>
        <v/>
      </c>
      <c r="P46" s="6"/>
      <c r="Q46" s="207" t="str">
        <f>IFERROR(INDEX(Venta!FcDetalle,MATCH(CONCATENATE(A46,"CAP"),Venta!FcClave,0),FcInicioVtaAnual+0),"")</f>
        <v/>
      </c>
      <c r="R46" s="111" t="str">
        <f>IFERROR(INDEX(Venta!FcDetalle,MATCH(CONCATENATE(A46,"CAP"),Venta!FcClave,0),FcInicioVtaAnual+1),"")</f>
        <v/>
      </c>
      <c r="S46" s="111" t="str">
        <f>IFERROR(INDEX(Venta!FcDetalle,MATCH(CONCATENATE(A46,"CAP"),Venta!FcClave,0),FcInicioVtaAnual+2),"")</f>
        <v/>
      </c>
      <c r="T46" s="111" t="str">
        <f>IFERROR(INDEX(Venta!FcDetalle,MATCH(CONCATENATE(A46,"CAP"),Venta!FcClave,0),FcInicioVtaAnual+3),"")</f>
        <v/>
      </c>
      <c r="U46" s="112" t="str">
        <f>IFERROR(IF(FcCheckProy=FALSE,INDEX(Venta!FcDetalle,MATCH(CONCATENATE(A46,"CAP"),Venta!FcClave,0),FcInicioVtaAnual+4),INDEX(Venta!FcDetalle,MATCH(CONCATENATE(A46,"CAP"),Venta!FcClave,0),FcInicioVtaAnual+5)),"")</f>
        <v/>
      </c>
      <c r="V46" s="316"/>
    </row>
    <row r="47" spans="1:22" ht="12" hidden="1" customHeight="1" outlineLevel="1" x14ac:dyDescent="0.2">
      <c r="A47" s="43" t="str">
        <f>IF($F$10="-","",$F$10)</f>
        <v/>
      </c>
      <c r="B47" s="98" t="str">
        <f>IFERROR(INDEX(Maestro!FcDetalle,MATCH(A47,Maestro!FcClave,0),5),"")</f>
        <v/>
      </c>
      <c r="C47" s="111" t="str">
        <f>IFERROR(INDEX(Venta!FcDetalle,MATCH(CONCATENATE(A47,"CAP"),Venta!FcClave,0),FcInicioVtaMes+0),"")</f>
        <v/>
      </c>
      <c r="D47" s="111" t="str">
        <f>IFERROR(INDEX(Venta!FcDetalle,MATCH(CONCATENATE(A47,"CAP"),Venta!FcClave,0),FcInicioVtaMes+1),"")</f>
        <v/>
      </c>
      <c r="E47" s="111" t="str">
        <f>IFERROR(INDEX(Venta!FcDetalle,MATCH(CONCATENATE(A47,"CAP"),Venta!FcClave,0),FcInicioVtaMes+2),"")</f>
        <v/>
      </c>
      <c r="F47" s="111" t="str">
        <f>IFERROR(INDEX(Venta!FcDetalle,MATCH(CONCATENATE(A47,"CAP"),Venta!FcClave,0),FcInicioVtaMes+3),"")</f>
        <v/>
      </c>
      <c r="G47" s="111" t="str">
        <f>IFERROR(INDEX(Venta!FcDetalle,MATCH(CONCATENATE(A47,"CAP"),Venta!FcClave,0),FcInicioVtaMes+4),"")</f>
        <v/>
      </c>
      <c r="H47" s="111" t="str">
        <f>IFERROR(INDEX(Venta!FcDetalle,MATCH(CONCATENATE(A47,"CAP"),Venta!FcClave,0),FcInicioVtaMes+5),"")</f>
        <v/>
      </c>
      <c r="I47" s="111" t="str">
        <f>IFERROR(INDEX(Venta!FcDetalle,MATCH(CONCATENATE(A47,"CAP"),Venta!FcClave,0),FcInicioVtaMes+6),"")</f>
        <v/>
      </c>
      <c r="J47" s="111" t="str">
        <f>IFERROR(INDEX(Venta!FcDetalle,MATCH(CONCATENATE(A47,"CAP"),Venta!FcClave,0),FcInicioVtaMes+7),"")</f>
        <v/>
      </c>
      <c r="K47" s="111" t="str">
        <f>IFERROR(INDEX(Venta!FcDetalle,MATCH(CONCATENATE(A47,"CAP"),Venta!FcClave,0),FcInicioVtaMes+8),"")</f>
        <v/>
      </c>
      <c r="L47" s="111" t="str">
        <f>IFERROR(INDEX(Venta!FcDetalle,MATCH(CONCATENATE(A47,"CAP"),Venta!FcClave,0),FcInicioVtaMes+9),"")</f>
        <v/>
      </c>
      <c r="M47" s="111" t="str">
        <f>IFERROR(INDEX(Venta!FcDetalle,MATCH(CONCATENATE(A47,"CAP"),Venta!FcClave,0),FcInicioVtaMes+10),"")</f>
        <v/>
      </c>
      <c r="N47" s="111" t="str">
        <f>IFERROR(INDEX(Venta!FcDetalle,MATCH(CONCATENATE(A47,"CAP"),Venta!FcClave,0),FcInicioVtaMes+11),"")</f>
        <v/>
      </c>
      <c r="O47" s="111" t="str">
        <f>IFERROR(INDEX(Venta!FcDetalle,MATCH(CONCATENATE(A47,"CAP"),Venta!FcClave,0),FcInicioVtaMes+12),"")</f>
        <v/>
      </c>
      <c r="P47" s="6"/>
      <c r="Q47" s="207" t="str">
        <f>IFERROR(INDEX(Venta!FcDetalle,MATCH(CONCATENATE(A47,"CAP"),Venta!FcClave,0),FcInicioVtaAnual+0),"")</f>
        <v/>
      </c>
      <c r="R47" s="111" t="str">
        <f>IFERROR(INDEX(Venta!FcDetalle,MATCH(CONCATENATE(A47,"CAP"),Venta!FcClave,0),FcInicioVtaAnual+1),"")</f>
        <v/>
      </c>
      <c r="S47" s="111" t="str">
        <f>IFERROR(INDEX(Venta!FcDetalle,MATCH(CONCATENATE(A47,"CAP"),Venta!FcClave,0),FcInicioVtaAnual+2),"")</f>
        <v/>
      </c>
      <c r="T47" s="111" t="str">
        <f>IFERROR(INDEX(Venta!FcDetalle,MATCH(CONCATENATE(A47,"CAP"),Venta!FcClave,0),FcInicioVtaAnual+3),"")</f>
        <v/>
      </c>
      <c r="U47" s="112" t="str">
        <f>IFERROR(IF(FcCheckProy=FALSE,INDEX(Venta!FcDetalle,MATCH(CONCATENATE(A47,"CAP"),Venta!FcClave,0),FcInicioVtaAnual+4),INDEX(Venta!FcDetalle,MATCH(CONCATENATE(A47,"CAP"),Venta!FcClave,0),FcInicioVtaAnual+5)),"")</f>
        <v/>
      </c>
      <c r="V47" s="316"/>
    </row>
    <row r="48" spans="1:22" ht="12" hidden="1" customHeight="1" outlineLevel="1" x14ac:dyDescent="0.2">
      <c r="A48" s="43" t="str">
        <f>IF($G$10="-","",$G$10)</f>
        <v/>
      </c>
      <c r="B48" s="98" t="str">
        <f>IFERROR(INDEX(Maestro!FcDetalle,MATCH(A48,Maestro!FcClave,0),5),"")</f>
        <v/>
      </c>
      <c r="C48" s="111" t="str">
        <f>IFERROR(INDEX(Venta!FcDetalle,MATCH(CONCATENATE(A48,"CAP"),Venta!FcClave,0),FcInicioVtaMes+0),"")</f>
        <v/>
      </c>
      <c r="D48" s="111" t="str">
        <f>IFERROR(INDEX(Venta!FcDetalle,MATCH(CONCATENATE(A48,"CAP"),Venta!FcClave,0),FcInicioVtaMes+1),"")</f>
        <v/>
      </c>
      <c r="E48" s="111" t="str">
        <f>IFERROR(INDEX(Venta!FcDetalle,MATCH(CONCATENATE(A48,"CAP"),Venta!FcClave,0),FcInicioVtaMes+2),"")</f>
        <v/>
      </c>
      <c r="F48" s="111" t="str">
        <f>IFERROR(INDEX(Venta!FcDetalle,MATCH(CONCATENATE(A48,"CAP"),Venta!FcClave,0),FcInicioVtaMes+3),"")</f>
        <v/>
      </c>
      <c r="G48" s="111" t="str">
        <f>IFERROR(INDEX(Venta!FcDetalle,MATCH(CONCATENATE(A48,"CAP"),Venta!FcClave,0),FcInicioVtaMes+4),"")</f>
        <v/>
      </c>
      <c r="H48" s="111" t="str">
        <f>IFERROR(INDEX(Venta!FcDetalle,MATCH(CONCATENATE(A48,"CAP"),Venta!FcClave,0),FcInicioVtaMes+5),"")</f>
        <v/>
      </c>
      <c r="I48" s="111" t="str">
        <f>IFERROR(INDEX(Venta!FcDetalle,MATCH(CONCATENATE(A48,"CAP"),Venta!FcClave,0),FcInicioVtaMes+6),"")</f>
        <v/>
      </c>
      <c r="J48" s="111" t="str">
        <f>IFERROR(INDEX(Venta!FcDetalle,MATCH(CONCATENATE(A48,"CAP"),Venta!FcClave,0),FcInicioVtaMes+7),"")</f>
        <v/>
      </c>
      <c r="K48" s="111" t="str">
        <f>IFERROR(INDEX(Venta!FcDetalle,MATCH(CONCATENATE(A48,"CAP"),Venta!FcClave,0),FcInicioVtaMes+8),"")</f>
        <v/>
      </c>
      <c r="L48" s="111" t="str">
        <f>IFERROR(INDEX(Venta!FcDetalle,MATCH(CONCATENATE(A48,"CAP"),Venta!FcClave,0),FcInicioVtaMes+9),"")</f>
        <v/>
      </c>
      <c r="M48" s="111" t="str">
        <f>IFERROR(INDEX(Venta!FcDetalle,MATCH(CONCATENATE(A48,"CAP"),Venta!FcClave,0),FcInicioVtaMes+10),"")</f>
        <v/>
      </c>
      <c r="N48" s="111" t="str">
        <f>IFERROR(INDEX(Venta!FcDetalle,MATCH(CONCATENATE(A48,"CAP"),Venta!FcClave,0),FcInicioVtaMes+11),"")</f>
        <v/>
      </c>
      <c r="O48" s="111" t="str">
        <f>IFERROR(INDEX(Venta!FcDetalle,MATCH(CONCATENATE(A48,"CAP"),Venta!FcClave,0),FcInicioVtaMes+12),"")</f>
        <v/>
      </c>
      <c r="P48" s="6"/>
      <c r="Q48" s="207" t="str">
        <f>IFERROR(INDEX(Venta!FcDetalle,MATCH(CONCATENATE(A48,"CAP"),Venta!FcClave,0),FcInicioVtaAnual+0),"")</f>
        <v/>
      </c>
      <c r="R48" s="111" t="str">
        <f>IFERROR(INDEX(Venta!FcDetalle,MATCH(CONCATENATE(A48,"CAP"),Venta!FcClave,0),FcInicioVtaAnual+1),"")</f>
        <v/>
      </c>
      <c r="S48" s="111" t="str">
        <f>IFERROR(INDEX(Venta!FcDetalle,MATCH(CONCATENATE(A48,"CAP"),Venta!FcClave,0),FcInicioVtaAnual+2),"")</f>
        <v/>
      </c>
      <c r="T48" s="111" t="str">
        <f>IFERROR(INDEX(Venta!FcDetalle,MATCH(CONCATENATE(A48,"CAP"),Venta!FcClave,0),FcInicioVtaAnual+3),"")</f>
        <v/>
      </c>
      <c r="U48" s="112" t="str">
        <f>IFERROR(IF(FcCheckProy=FALSE,INDEX(Venta!FcDetalle,MATCH(CONCATENATE(A48,"CAP"),Venta!FcClave,0),FcInicioVtaAnual+4),INDEX(Venta!FcDetalle,MATCH(CONCATENATE(A48,"CAP"),Venta!FcClave,0),FcInicioVtaAnual+5)),"")</f>
        <v/>
      </c>
      <c r="V48" s="316"/>
    </row>
    <row r="49" spans="1:22" ht="12" hidden="1" customHeight="1" outlineLevel="1" x14ac:dyDescent="0.2">
      <c r="A49" s="43" t="str">
        <f>IF($H$10="-","",$H$10)</f>
        <v/>
      </c>
      <c r="B49" s="98" t="str">
        <f>IFERROR(INDEX(Maestro!FcDetalle,MATCH(A49,Maestro!FcClave,0),5),"")</f>
        <v/>
      </c>
      <c r="C49" s="111" t="str">
        <f>IFERROR(INDEX(Venta!FcDetalle,MATCH(CONCATENATE(A49,"CAP"),Venta!FcClave,0),FcInicioVtaMes+0),"")</f>
        <v/>
      </c>
      <c r="D49" s="111" t="str">
        <f>IFERROR(INDEX(Venta!FcDetalle,MATCH(CONCATENATE(A49,"CAP"),Venta!FcClave,0),FcInicioVtaMes+1),"")</f>
        <v/>
      </c>
      <c r="E49" s="111" t="str">
        <f>IFERROR(INDEX(Venta!FcDetalle,MATCH(CONCATENATE(A49,"CAP"),Venta!FcClave,0),FcInicioVtaMes+2),"")</f>
        <v/>
      </c>
      <c r="F49" s="111" t="str">
        <f>IFERROR(INDEX(Venta!FcDetalle,MATCH(CONCATENATE(A49,"CAP"),Venta!FcClave,0),FcInicioVtaMes+3),"")</f>
        <v/>
      </c>
      <c r="G49" s="111" t="str">
        <f>IFERROR(INDEX(Venta!FcDetalle,MATCH(CONCATENATE(A49,"CAP"),Venta!FcClave,0),FcInicioVtaMes+4),"")</f>
        <v/>
      </c>
      <c r="H49" s="111" t="str">
        <f>IFERROR(INDEX(Venta!FcDetalle,MATCH(CONCATENATE(A49,"CAP"),Venta!FcClave,0),FcInicioVtaMes+5),"")</f>
        <v/>
      </c>
      <c r="I49" s="111" t="str">
        <f>IFERROR(INDEX(Venta!FcDetalle,MATCH(CONCATENATE(A49,"CAP"),Venta!FcClave,0),FcInicioVtaMes+6),"")</f>
        <v/>
      </c>
      <c r="J49" s="111" t="str">
        <f>IFERROR(INDEX(Venta!FcDetalle,MATCH(CONCATENATE(A49,"CAP"),Venta!FcClave,0),FcInicioVtaMes+7),"")</f>
        <v/>
      </c>
      <c r="K49" s="111" t="str">
        <f>IFERROR(INDEX(Venta!FcDetalle,MATCH(CONCATENATE(A49,"CAP"),Venta!FcClave,0),FcInicioVtaMes+8),"")</f>
        <v/>
      </c>
      <c r="L49" s="111" t="str">
        <f>IFERROR(INDEX(Venta!FcDetalle,MATCH(CONCATENATE(A49,"CAP"),Venta!FcClave,0),FcInicioVtaMes+9),"")</f>
        <v/>
      </c>
      <c r="M49" s="111" t="str">
        <f>IFERROR(INDEX(Venta!FcDetalle,MATCH(CONCATENATE(A49,"CAP"),Venta!FcClave,0),FcInicioVtaMes+10),"")</f>
        <v/>
      </c>
      <c r="N49" s="111" t="str">
        <f>IFERROR(INDEX(Venta!FcDetalle,MATCH(CONCATENATE(A49,"CAP"),Venta!FcClave,0),FcInicioVtaMes+11),"")</f>
        <v/>
      </c>
      <c r="O49" s="111" t="str">
        <f>IFERROR(INDEX(Venta!FcDetalle,MATCH(CONCATENATE(A49,"CAP"),Venta!FcClave,0),FcInicioVtaMes+12),"")</f>
        <v/>
      </c>
      <c r="P49" s="6"/>
      <c r="Q49" s="207" t="str">
        <f>IFERROR(INDEX(Venta!FcDetalle,MATCH(CONCATENATE(A49,"CAP"),Venta!FcClave,0),FcInicioVtaAnual+0),"")</f>
        <v/>
      </c>
      <c r="R49" s="111" t="str">
        <f>IFERROR(INDEX(Venta!FcDetalle,MATCH(CONCATENATE(A49,"CAP"),Venta!FcClave,0),FcInicioVtaAnual+1),"")</f>
        <v/>
      </c>
      <c r="S49" s="111" t="str">
        <f>IFERROR(INDEX(Venta!FcDetalle,MATCH(CONCATENATE(A49,"CAP"),Venta!FcClave,0),FcInicioVtaAnual+2),"")</f>
        <v/>
      </c>
      <c r="T49" s="111" t="str">
        <f>IFERROR(INDEX(Venta!FcDetalle,MATCH(CONCATENATE(A49,"CAP"),Venta!FcClave,0),FcInicioVtaAnual+3),"")</f>
        <v/>
      </c>
      <c r="U49" s="112" t="str">
        <f>IFERROR(IF(FcCheckProy=FALSE,INDEX(Venta!FcDetalle,MATCH(CONCATENATE(A49,"CAP"),Venta!FcClave,0),FcInicioVtaAnual+4),INDEX(Venta!FcDetalle,MATCH(CONCATENATE(A49,"CAP"),Venta!FcClave,0),FcInicioVtaAnual+5)),"")</f>
        <v/>
      </c>
      <c r="V49" s="316"/>
    </row>
    <row r="50" spans="1:22" ht="12" hidden="1" customHeight="1" outlineLevel="1" x14ac:dyDescent="0.2">
      <c r="A50" s="43" t="str">
        <f>IF($I$10="-","",$I$10)</f>
        <v/>
      </c>
      <c r="B50" s="98" t="str">
        <f>IFERROR(INDEX(Maestro!FcDetalle,MATCH(A50,Maestro!FcClave,0),5),"")</f>
        <v/>
      </c>
      <c r="C50" s="111" t="str">
        <f>IFERROR(INDEX(Venta!FcDetalle,MATCH(CONCATENATE(A50,"CAP"),Venta!FcClave,0),FcInicioVtaMes+0),"")</f>
        <v/>
      </c>
      <c r="D50" s="111" t="str">
        <f>IFERROR(INDEX(Venta!FcDetalle,MATCH(CONCATENATE(A50,"CAP"),Venta!FcClave,0),FcInicioVtaMes+1),"")</f>
        <v/>
      </c>
      <c r="E50" s="111" t="str">
        <f>IFERROR(INDEX(Venta!FcDetalle,MATCH(CONCATENATE(A50,"CAP"),Venta!FcClave,0),FcInicioVtaMes+2),"")</f>
        <v/>
      </c>
      <c r="F50" s="111" t="str">
        <f>IFERROR(INDEX(Venta!FcDetalle,MATCH(CONCATENATE(A50,"CAP"),Venta!FcClave,0),FcInicioVtaMes+3),"")</f>
        <v/>
      </c>
      <c r="G50" s="111" t="str">
        <f>IFERROR(INDEX(Venta!FcDetalle,MATCH(CONCATENATE(A50,"CAP"),Venta!FcClave,0),FcInicioVtaMes+4),"")</f>
        <v/>
      </c>
      <c r="H50" s="111" t="str">
        <f>IFERROR(INDEX(Venta!FcDetalle,MATCH(CONCATENATE(A50,"CAP"),Venta!FcClave,0),FcInicioVtaMes+5),"")</f>
        <v/>
      </c>
      <c r="I50" s="111" t="str">
        <f>IFERROR(INDEX(Venta!FcDetalle,MATCH(CONCATENATE(A50,"CAP"),Venta!FcClave,0),FcInicioVtaMes+6),"")</f>
        <v/>
      </c>
      <c r="J50" s="111" t="str">
        <f>IFERROR(INDEX(Venta!FcDetalle,MATCH(CONCATENATE(A50,"CAP"),Venta!FcClave,0),FcInicioVtaMes+7),"")</f>
        <v/>
      </c>
      <c r="K50" s="111" t="str">
        <f>IFERROR(INDEX(Venta!FcDetalle,MATCH(CONCATENATE(A50,"CAP"),Venta!FcClave,0),FcInicioVtaMes+8),"")</f>
        <v/>
      </c>
      <c r="L50" s="111" t="str">
        <f>IFERROR(INDEX(Venta!FcDetalle,MATCH(CONCATENATE(A50,"CAP"),Venta!FcClave,0),FcInicioVtaMes+9),"")</f>
        <v/>
      </c>
      <c r="M50" s="111" t="str">
        <f>IFERROR(INDEX(Venta!FcDetalle,MATCH(CONCATENATE(A50,"CAP"),Venta!FcClave,0),FcInicioVtaMes+10),"")</f>
        <v/>
      </c>
      <c r="N50" s="111" t="str">
        <f>IFERROR(INDEX(Venta!FcDetalle,MATCH(CONCATENATE(A50,"CAP"),Venta!FcClave,0),FcInicioVtaMes+11),"")</f>
        <v/>
      </c>
      <c r="O50" s="111" t="str">
        <f>IFERROR(INDEX(Venta!FcDetalle,MATCH(CONCATENATE(A50,"CAP"),Venta!FcClave,0),FcInicioVtaMes+12),"")</f>
        <v/>
      </c>
      <c r="P50" s="6"/>
      <c r="Q50" s="207" t="str">
        <f>IFERROR(INDEX(Venta!FcDetalle,MATCH(CONCATENATE(A50,"CAP"),Venta!FcClave,0),FcInicioVtaAnual+0),"")</f>
        <v/>
      </c>
      <c r="R50" s="111" t="str">
        <f>IFERROR(INDEX(Venta!FcDetalle,MATCH(CONCATENATE(A50,"CAP"),Venta!FcClave,0),FcInicioVtaAnual+1),"")</f>
        <v/>
      </c>
      <c r="S50" s="111" t="str">
        <f>IFERROR(INDEX(Venta!FcDetalle,MATCH(CONCATENATE(A50,"CAP"),Venta!FcClave,0),FcInicioVtaAnual+2),"")</f>
        <v/>
      </c>
      <c r="T50" s="111" t="str">
        <f>IFERROR(INDEX(Venta!FcDetalle,MATCH(CONCATENATE(A50,"CAP"),Venta!FcClave,0),FcInicioVtaAnual+3),"")</f>
        <v/>
      </c>
      <c r="U50" s="112" t="str">
        <f>IFERROR(IF(FcCheckProy=FALSE,INDEX(Venta!FcDetalle,MATCH(CONCATENATE(A50,"CAP"),Venta!FcClave,0),FcInicioVtaAnual+4),INDEX(Venta!FcDetalle,MATCH(CONCATENATE(A50,"CAP"),Venta!FcClave,0),FcInicioVtaAnual+5)),"")</f>
        <v/>
      </c>
      <c r="V50" s="316"/>
    </row>
    <row r="51" spans="1:22" ht="12" hidden="1" customHeight="1" outlineLevel="1" x14ac:dyDescent="0.2">
      <c r="A51" s="43" t="str">
        <f>IF($J$10="-","",$J$10)</f>
        <v/>
      </c>
      <c r="B51" s="98" t="str">
        <f>IFERROR(INDEX(Maestro!FcDetalle,MATCH(A51,Maestro!FcClave,0),5),"")</f>
        <v/>
      </c>
      <c r="C51" s="111" t="str">
        <f>IFERROR(INDEX(Venta!FcDetalle,MATCH(CONCATENATE(A51,"CAP"),Venta!FcClave,0),FcInicioVtaMes+0),"")</f>
        <v/>
      </c>
      <c r="D51" s="111" t="str">
        <f>IFERROR(INDEX(Venta!FcDetalle,MATCH(CONCATENATE(A51,"CAP"),Venta!FcClave,0),FcInicioVtaMes+1),"")</f>
        <v/>
      </c>
      <c r="E51" s="111" t="str">
        <f>IFERROR(INDEX(Venta!FcDetalle,MATCH(CONCATENATE(A51,"CAP"),Venta!FcClave,0),FcInicioVtaMes+2),"")</f>
        <v/>
      </c>
      <c r="F51" s="111" t="str">
        <f>IFERROR(INDEX(Venta!FcDetalle,MATCH(CONCATENATE(A51,"CAP"),Venta!FcClave,0),FcInicioVtaMes+3),"")</f>
        <v/>
      </c>
      <c r="G51" s="111" t="str">
        <f>IFERROR(INDEX(Venta!FcDetalle,MATCH(CONCATENATE(A51,"CAP"),Venta!FcClave,0),FcInicioVtaMes+4),"")</f>
        <v/>
      </c>
      <c r="H51" s="111" t="str">
        <f>IFERROR(INDEX(Venta!FcDetalle,MATCH(CONCATENATE(A51,"CAP"),Venta!FcClave,0),FcInicioVtaMes+5),"")</f>
        <v/>
      </c>
      <c r="I51" s="111" t="str">
        <f>IFERROR(INDEX(Venta!FcDetalle,MATCH(CONCATENATE(A51,"CAP"),Venta!FcClave,0),FcInicioVtaMes+6),"")</f>
        <v/>
      </c>
      <c r="J51" s="111" t="str">
        <f>IFERROR(INDEX(Venta!FcDetalle,MATCH(CONCATENATE(A51,"CAP"),Venta!FcClave,0),FcInicioVtaMes+7),"")</f>
        <v/>
      </c>
      <c r="K51" s="111" t="str">
        <f>IFERROR(INDEX(Venta!FcDetalle,MATCH(CONCATENATE(A51,"CAP"),Venta!FcClave,0),FcInicioVtaMes+8),"")</f>
        <v/>
      </c>
      <c r="L51" s="111" t="str">
        <f>IFERROR(INDEX(Venta!FcDetalle,MATCH(CONCATENATE(A51,"CAP"),Venta!FcClave,0),FcInicioVtaMes+9),"")</f>
        <v/>
      </c>
      <c r="M51" s="111" t="str">
        <f>IFERROR(INDEX(Venta!FcDetalle,MATCH(CONCATENATE(A51,"CAP"),Venta!FcClave,0),FcInicioVtaMes+10),"")</f>
        <v/>
      </c>
      <c r="N51" s="111" t="str">
        <f>IFERROR(INDEX(Venta!FcDetalle,MATCH(CONCATENATE(A51,"CAP"),Venta!FcClave,0),FcInicioVtaMes+11),"")</f>
        <v/>
      </c>
      <c r="O51" s="111" t="str">
        <f>IFERROR(INDEX(Venta!FcDetalle,MATCH(CONCATENATE(A51,"CAP"),Venta!FcClave,0),FcInicioVtaMes+12),"")</f>
        <v/>
      </c>
      <c r="P51" s="6"/>
      <c r="Q51" s="207" t="str">
        <f>IFERROR(INDEX(Venta!FcDetalle,MATCH(CONCATENATE(A51,"CAP"),Venta!FcClave,0),FcInicioVtaAnual+0),"")</f>
        <v/>
      </c>
      <c r="R51" s="111" t="str">
        <f>IFERROR(INDEX(Venta!FcDetalle,MATCH(CONCATENATE(A51,"CAP"),Venta!FcClave,0),FcInicioVtaAnual+1),"")</f>
        <v/>
      </c>
      <c r="S51" s="111" t="str">
        <f>IFERROR(INDEX(Venta!FcDetalle,MATCH(CONCATENATE(A51,"CAP"),Venta!FcClave,0),FcInicioVtaAnual+2),"")</f>
        <v/>
      </c>
      <c r="T51" s="111" t="str">
        <f>IFERROR(INDEX(Venta!FcDetalle,MATCH(CONCATENATE(A51,"CAP"),Venta!FcClave,0),FcInicioVtaAnual+3),"")</f>
        <v/>
      </c>
      <c r="U51" s="112" t="str">
        <f>IFERROR(IF(FcCheckProy=FALSE,INDEX(Venta!FcDetalle,MATCH(CONCATENATE(A51,"CAP"),Venta!FcClave,0),FcInicioVtaAnual+4),INDEX(Venta!FcDetalle,MATCH(CONCATENATE(A51,"CAP"),Venta!FcClave,0),FcInicioVtaAnual+5)),"")</f>
        <v/>
      </c>
      <c r="V51" s="316"/>
    </row>
    <row r="52" spans="1:22" ht="12" hidden="1" customHeight="1" outlineLevel="1" x14ac:dyDescent="0.2">
      <c r="A52" s="43" t="str">
        <f>IF($K$10="-","",$K$10)</f>
        <v/>
      </c>
      <c r="B52" s="98" t="str">
        <f>IFERROR(INDEX(Maestro!FcDetalle,MATCH(A52,Maestro!FcClave,0),5),"")</f>
        <v/>
      </c>
      <c r="C52" s="111" t="str">
        <f>IFERROR(INDEX(Venta!FcDetalle,MATCH(CONCATENATE(A52,"CAP"),Venta!FcClave,0),FcInicioVtaMes+0),"")</f>
        <v/>
      </c>
      <c r="D52" s="111" t="str">
        <f>IFERROR(INDEX(Venta!FcDetalle,MATCH(CONCATENATE(A52,"CAP"),Venta!FcClave,0),FcInicioVtaMes+1),"")</f>
        <v/>
      </c>
      <c r="E52" s="111" t="str">
        <f>IFERROR(INDEX(Venta!FcDetalle,MATCH(CONCATENATE(A52,"CAP"),Venta!FcClave,0),FcInicioVtaMes+2),"")</f>
        <v/>
      </c>
      <c r="F52" s="111" t="str">
        <f>IFERROR(INDEX(Venta!FcDetalle,MATCH(CONCATENATE(A52,"CAP"),Venta!FcClave,0),FcInicioVtaMes+3),"")</f>
        <v/>
      </c>
      <c r="G52" s="111" t="str">
        <f>IFERROR(INDEX(Venta!FcDetalle,MATCH(CONCATENATE(A52,"CAP"),Venta!FcClave,0),FcInicioVtaMes+4),"")</f>
        <v/>
      </c>
      <c r="H52" s="111" t="str">
        <f>IFERROR(INDEX(Venta!FcDetalle,MATCH(CONCATENATE(A52,"CAP"),Venta!FcClave,0),FcInicioVtaMes+5),"")</f>
        <v/>
      </c>
      <c r="I52" s="111" t="str">
        <f>IFERROR(INDEX(Venta!FcDetalle,MATCH(CONCATENATE(A52,"CAP"),Venta!FcClave,0),FcInicioVtaMes+6),"")</f>
        <v/>
      </c>
      <c r="J52" s="111" t="str">
        <f>IFERROR(INDEX(Venta!FcDetalle,MATCH(CONCATENATE(A52,"CAP"),Venta!FcClave,0),FcInicioVtaMes+7),"")</f>
        <v/>
      </c>
      <c r="K52" s="111" t="str">
        <f>IFERROR(INDEX(Venta!FcDetalle,MATCH(CONCATENATE(A52,"CAP"),Venta!FcClave,0),FcInicioVtaMes+8),"")</f>
        <v/>
      </c>
      <c r="L52" s="111" t="str">
        <f>IFERROR(INDEX(Venta!FcDetalle,MATCH(CONCATENATE(A52,"CAP"),Venta!FcClave,0),FcInicioVtaMes+9),"")</f>
        <v/>
      </c>
      <c r="M52" s="111" t="str">
        <f>IFERROR(INDEX(Venta!FcDetalle,MATCH(CONCATENATE(A52,"CAP"),Venta!FcClave,0),FcInicioVtaMes+10),"")</f>
        <v/>
      </c>
      <c r="N52" s="111" t="str">
        <f>IFERROR(INDEX(Venta!FcDetalle,MATCH(CONCATENATE(A52,"CAP"),Venta!FcClave,0),FcInicioVtaMes+11),"")</f>
        <v/>
      </c>
      <c r="O52" s="111" t="str">
        <f>IFERROR(INDEX(Venta!FcDetalle,MATCH(CONCATENATE(A52,"CAP"),Venta!FcClave,0),FcInicioVtaMes+12),"")</f>
        <v/>
      </c>
      <c r="P52" s="6"/>
      <c r="Q52" s="207" t="str">
        <f>IFERROR(INDEX(Venta!FcDetalle,MATCH(CONCATENATE(A52,"CAP"),Venta!FcClave,0),FcInicioVtaAnual+0),"")</f>
        <v/>
      </c>
      <c r="R52" s="111" t="str">
        <f>IFERROR(INDEX(Venta!FcDetalle,MATCH(CONCATENATE(A52,"CAP"),Venta!FcClave,0),FcInicioVtaAnual+1),"")</f>
        <v/>
      </c>
      <c r="S52" s="111" t="str">
        <f>IFERROR(INDEX(Venta!FcDetalle,MATCH(CONCATENATE(A52,"CAP"),Venta!FcClave,0),FcInicioVtaAnual+2),"")</f>
        <v/>
      </c>
      <c r="T52" s="111" t="str">
        <f>IFERROR(INDEX(Venta!FcDetalle,MATCH(CONCATENATE(A52,"CAP"),Venta!FcClave,0),FcInicioVtaAnual+3),"")</f>
        <v/>
      </c>
      <c r="U52" s="112" t="str">
        <f>IFERROR(IF(FcCheckProy=FALSE,INDEX(Venta!FcDetalle,MATCH(CONCATENATE(A52,"CAP"),Venta!FcClave,0),FcInicioVtaAnual+4),INDEX(Venta!FcDetalle,MATCH(CONCATENATE(A52,"CAP"),Venta!FcClave,0),FcInicioVtaAnual+5)),"")</f>
        <v/>
      </c>
      <c r="V52" s="316"/>
    </row>
    <row r="53" spans="1:22" ht="12" hidden="1" customHeight="1" outlineLevel="1" x14ac:dyDescent="0.2">
      <c r="A53" s="43" t="str">
        <f>IF($I$9="-","",$I$9)</f>
        <v/>
      </c>
      <c r="B53" s="98" t="str">
        <f>IFERROR(INDEX(Maestro!FcDetalle,MATCH(A53,Maestro!FcClave,0),5),"")</f>
        <v/>
      </c>
      <c r="C53" s="111" t="str">
        <f>IFERROR(INDEX(Venta!FcDetalle,MATCH(CONCATENATE(A53,"CAP"),Venta!FcClave,0),FcInicioVtaMes+0),"")</f>
        <v/>
      </c>
      <c r="D53" s="111" t="str">
        <f>IFERROR(INDEX(Venta!FcDetalle,MATCH(CONCATENATE(A53,"CAP"),Venta!FcClave,0),FcInicioVtaMes+1),"")</f>
        <v/>
      </c>
      <c r="E53" s="111" t="str">
        <f>IFERROR(INDEX(Venta!FcDetalle,MATCH(CONCATENATE(A53,"CAP"),Venta!FcClave,0),FcInicioVtaMes+2),"")</f>
        <v/>
      </c>
      <c r="F53" s="111" t="str">
        <f>IFERROR(INDEX(Venta!FcDetalle,MATCH(CONCATENATE(A53,"CAP"),Venta!FcClave,0),FcInicioVtaMes+3),"")</f>
        <v/>
      </c>
      <c r="G53" s="111" t="str">
        <f>IFERROR(INDEX(Venta!FcDetalle,MATCH(CONCATENATE(A53,"CAP"),Venta!FcClave,0),FcInicioVtaMes+4),"")</f>
        <v/>
      </c>
      <c r="H53" s="111" t="str">
        <f>IFERROR(INDEX(Venta!FcDetalle,MATCH(CONCATENATE(A53,"CAP"),Venta!FcClave,0),FcInicioVtaMes+5),"")</f>
        <v/>
      </c>
      <c r="I53" s="111" t="str">
        <f>IFERROR(INDEX(Venta!FcDetalle,MATCH(CONCATENATE(A53,"CAP"),Venta!FcClave,0),FcInicioVtaMes+6),"")</f>
        <v/>
      </c>
      <c r="J53" s="111" t="str">
        <f>IFERROR(INDEX(Venta!FcDetalle,MATCH(CONCATENATE(A53,"CAP"),Venta!FcClave,0),FcInicioVtaMes+7),"")</f>
        <v/>
      </c>
      <c r="K53" s="111" t="str">
        <f>IFERROR(INDEX(Venta!FcDetalle,MATCH(CONCATENATE(A53,"CAP"),Venta!FcClave,0),FcInicioVtaMes+8),"")</f>
        <v/>
      </c>
      <c r="L53" s="111" t="str">
        <f>IFERROR(INDEX(Venta!FcDetalle,MATCH(CONCATENATE(A53,"CAP"),Venta!FcClave,0),FcInicioVtaMes+9),"")</f>
        <v/>
      </c>
      <c r="M53" s="111" t="str">
        <f>IFERROR(INDEX(Venta!FcDetalle,MATCH(CONCATENATE(A53,"CAP"),Venta!FcClave,0),FcInicioVtaMes+10),"")</f>
        <v/>
      </c>
      <c r="N53" s="111" t="str">
        <f>IFERROR(INDEX(Venta!FcDetalle,MATCH(CONCATENATE(A53,"CAP"),Venta!FcClave,0),FcInicioVtaMes+11),"")</f>
        <v/>
      </c>
      <c r="O53" s="111" t="str">
        <f>IFERROR(INDEX(Venta!FcDetalle,MATCH(CONCATENATE(A53,"CAP"),Venta!FcClave,0),FcInicioVtaMes+12),"")</f>
        <v/>
      </c>
      <c r="P53" s="6"/>
      <c r="Q53" s="207" t="str">
        <f>IFERROR(INDEX(Venta!FcDetalle,MATCH(CONCATENATE(A53,"CAP"),Venta!FcClave,0),FcInicioVtaAnual+0),"")</f>
        <v/>
      </c>
      <c r="R53" s="111" t="str">
        <f>IFERROR(INDEX(Venta!FcDetalle,MATCH(CONCATENATE(A53,"CAP"),Venta!FcClave,0),FcInicioVtaAnual+1),"")</f>
        <v/>
      </c>
      <c r="S53" s="111" t="str">
        <f>IFERROR(INDEX(Venta!FcDetalle,MATCH(CONCATENATE(A53,"CAP"),Venta!FcClave,0),FcInicioVtaAnual+2),"")</f>
        <v/>
      </c>
      <c r="T53" s="111" t="str">
        <f>IFERROR(INDEX(Venta!FcDetalle,MATCH(CONCATENATE(A53,"CAP"),Venta!FcClave,0),FcInicioVtaAnual+3),"")</f>
        <v/>
      </c>
      <c r="U53" s="112" t="str">
        <f>IFERROR(IF(FcCheckProy=FALSE,INDEX(Venta!FcDetalle,MATCH(CONCATENATE(A53,"CAP"),Venta!FcClave,0),FcInicioVtaAnual+4),INDEX(Venta!FcDetalle,MATCH(CONCATENATE(A53,"CAP"),Venta!FcClave,0),FcInicioVtaAnual+5)),"")</f>
        <v/>
      </c>
      <c r="V53" s="316"/>
    </row>
    <row r="54" spans="1:22" ht="12" hidden="1" customHeight="1" outlineLevel="1" x14ac:dyDescent="0.2">
      <c r="A54" s="43" t="str">
        <f>IF($J$9="-","",$J$9)</f>
        <v/>
      </c>
      <c r="B54" s="98" t="str">
        <f>IFERROR(INDEX(Maestro!FcDetalle,MATCH(A54,Maestro!FcClave,0),5),"")</f>
        <v/>
      </c>
      <c r="C54" s="111" t="str">
        <f>IFERROR(INDEX(Venta!FcDetalle,MATCH(CONCATENATE(A54,"CAP"),Venta!FcClave,0),FcInicioVtaMes+0),"")</f>
        <v/>
      </c>
      <c r="D54" s="111" t="str">
        <f>IFERROR(INDEX(Venta!FcDetalle,MATCH(CONCATENATE(A54,"CAP"),Venta!FcClave,0),FcInicioVtaMes+1),"")</f>
        <v/>
      </c>
      <c r="E54" s="111" t="str">
        <f>IFERROR(INDEX(Venta!FcDetalle,MATCH(CONCATENATE(A54,"CAP"),Venta!FcClave,0),FcInicioVtaMes+2),"")</f>
        <v/>
      </c>
      <c r="F54" s="111" t="str">
        <f>IFERROR(INDEX(Venta!FcDetalle,MATCH(CONCATENATE(A54,"CAP"),Venta!FcClave,0),FcInicioVtaMes+3),"")</f>
        <v/>
      </c>
      <c r="G54" s="111" t="str">
        <f>IFERROR(INDEX(Venta!FcDetalle,MATCH(CONCATENATE(A54,"CAP"),Venta!FcClave,0),FcInicioVtaMes+4),"")</f>
        <v/>
      </c>
      <c r="H54" s="111" t="str">
        <f>IFERROR(INDEX(Venta!FcDetalle,MATCH(CONCATENATE(A54,"CAP"),Venta!FcClave,0),FcInicioVtaMes+5),"")</f>
        <v/>
      </c>
      <c r="I54" s="111" t="str">
        <f>IFERROR(INDEX(Venta!FcDetalle,MATCH(CONCATENATE(A54,"CAP"),Venta!FcClave,0),FcInicioVtaMes+6),"")</f>
        <v/>
      </c>
      <c r="J54" s="111" t="str">
        <f>IFERROR(INDEX(Venta!FcDetalle,MATCH(CONCATENATE(A54,"CAP"),Venta!FcClave,0),FcInicioVtaMes+7),"")</f>
        <v/>
      </c>
      <c r="K54" s="111" t="str">
        <f>IFERROR(INDEX(Venta!FcDetalle,MATCH(CONCATENATE(A54,"CAP"),Venta!FcClave,0),FcInicioVtaMes+8),"")</f>
        <v/>
      </c>
      <c r="L54" s="111" t="str">
        <f>IFERROR(INDEX(Venta!FcDetalle,MATCH(CONCATENATE(A54,"CAP"),Venta!FcClave,0),FcInicioVtaMes+9),"")</f>
        <v/>
      </c>
      <c r="M54" s="111" t="str">
        <f>IFERROR(INDEX(Venta!FcDetalle,MATCH(CONCATENATE(A54,"CAP"),Venta!FcClave,0),FcInicioVtaMes+10),"")</f>
        <v/>
      </c>
      <c r="N54" s="111" t="str">
        <f>IFERROR(INDEX(Venta!FcDetalle,MATCH(CONCATENATE(A54,"CAP"),Venta!FcClave,0),FcInicioVtaMes+11),"")</f>
        <v/>
      </c>
      <c r="O54" s="111" t="str">
        <f>IFERROR(INDEX(Venta!FcDetalle,MATCH(CONCATENATE(A54,"CAP"),Venta!FcClave,0),FcInicioVtaMes+12),"")</f>
        <v/>
      </c>
      <c r="P54" s="6"/>
      <c r="Q54" s="207" t="str">
        <f>IFERROR(INDEX(Venta!FcDetalle,MATCH(CONCATENATE(A54,"CAP"),Venta!FcClave,0),FcInicioVtaAnual+0),"")</f>
        <v/>
      </c>
      <c r="R54" s="111" t="str">
        <f>IFERROR(INDEX(Venta!FcDetalle,MATCH(CONCATENATE(A54,"CAP"),Venta!FcClave,0),FcInicioVtaAnual+1),"")</f>
        <v/>
      </c>
      <c r="S54" s="111" t="str">
        <f>IFERROR(INDEX(Venta!FcDetalle,MATCH(CONCATENATE(A54,"CAP"),Venta!FcClave,0),FcInicioVtaAnual+2),"")</f>
        <v/>
      </c>
      <c r="T54" s="111" t="str">
        <f>IFERROR(INDEX(Venta!FcDetalle,MATCH(CONCATENATE(A54,"CAP"),Venta!FcClave,0),FcInicioVtaAnual+3),"")</f>
        <v/>
      </c>
      <c r="U54" s="112" t="str">
        <f>IFERROR(IF(FcCheckProy=FALSE,INDEX(Venta!FcDetalle,MATCH(CONCATENATE(A54,"CAP"),Venta!FcClave,0),FcInicioVtaAnual+4),INDEX(Venta!FcDetalle,MATCH(CONCATENATE(A54,"CAP"),Venta!FcClave,0),FcInicioVtaAnual+5)),"")</f>
        <v/>
      </c>
      <c r="V54" s="316"/>
    </row>
    <row r="55" spans="1:22" ht="12" hidden="1" customHeight="1" outlineLevel="1" thickBot="1" x14ac:dyDescent="0.25">
      <c r="A55" s="97" t="str">
        <f>IF($K$9="-","",$K$9)</f>
        <v/>
      </c>
      <c r="B55" s="98" t="str">
        <f>IFERROR(INDEX(Maestro!FcDetalle,MATCH(A55,Maestro!FcClave,0),5),"")</f>
        <v/>
      </c>
      <c r="C55" s="111" t="str">
        <f>IFERROR(INDEX(Venta!FcDetalle,MATCH(CONCATENATE(A55,"CAP"),Venta!FcClave,0),FcInicioVtaMes+0),"")</f>
        <v/>
      </c>
      <c r="D55" s="111" t="str">
        <f>IFERROR(INDEX(Venta!FcDetalle,MATCH(CONCATENATE(A55,"CAP"),Venta!FcClave,0),FcInicioVtaMes+1),"")</f>
        <v/>
      </c>
      <c r="E55" s="111" t="str">
        <f>IFERROR(INDEX(Venta!FcDetalle,MATCH(CONCATENATE(A55,"CAP"),Venta!FcClave,0),FcInicioVtaMes+2),"")</f>
        <v/>
      </c>
      <c r="F55" s="111" t="str">
        <f>IFERROR(INDEX(Venta!FcDetalle,MATCH(CONCATENATE(A55,"CAP"),Venta!FcClave,0),FcInicioVtaMes+3),"")</f>
        <v/>
      </c>
      <c r="G55" s="111" t="str">
        <f>IFERROR(INDEX(Venta!FcDetalle,MATCH(CONCATENATE(A55,"CAP"),Venta!FcClave,0),FcInicioVtaMes+4),"")</f>
        <v/>
      </c>
      <c r="H55" s="111" t="str">
        <f>IFERROR(INDEX(Venta!FcDetalle,MATCH(CONCATENATE(A55,"CAP"),Venta!FcClave,0),FcInicioVtaMes+5),"")</f>
        <v/>
      </c>
      <c r="I55" s="111" t="str">
        <f>IFERROR(INDEX(Venta!FcDetalle,MATCH(CONCATENATE(A55,"CAP"),Venta!FcClave,0),FcInicioVtaMes+6),"")</f>
        <v/>
      </c>
      <c r="J55" s="111" t="str">
        <f>IFERROR(INDEX(Venta!FcDetalle,MATCH(CONCATENATE(A55,"CAP"),Venta!FcClave,0),FcInicioVtaMes+7),"")</f>
        <v/>
      </c>
      <c r="K55" s="111" t="str">
        <f>IFERROR(INDEX(Venta!FcDetalle,MATCH(CONCATENATE(A55,"CAP"),Venta!FcClave,0),FcInicioVtaMes+8),"")</f>
        <v/>
      </c>
      <c r="L55" s="111" t="str">
        <f>IFERROR(INDEX(Venta!FcDetalle,MATCH(CONCATENATE(A55,"CAP"),Venta!FcClave,0),FcInicioVtaMes+9),"")</f>
        <v/>
      </c>
      <c r="M55" s="111" t="str">
        <f>IFERROR(INDEX(Venta!FcDetalle,MATCH(CONCATENATE(A55,"CAP"),Venta!FcClave,0),FcInicioVtaMes+10),"")</f>
        <v/>
      </c>
      <c r="N55" s="111" t="str">
        <f>IFERROR(INDEX(Venta!FcDetalle,MATCH(CONCATENATE(A55,"CAP"),Venta!FcClave,0),FcInicioVtaMes+11),"")</f>
        <v/>
      </c>
      <c r="O55" s="111" t="str">
        <f>IFERROR(INDEX(Venta!FcDetalle,MATCH(CONCATENATE(A55,"CAP"),Venta!FcClave,0),FcInicioVtaMes+12),"")</f>
        <v/>
      </c>
      <c r="P55" s="6"/>
      <c r="Q55" s="207" t="str">
        <f>IFERROR(INDEX(Venta!FcDetalle,MATCH(CONCATENATE(A55,"CAP"),Venta!FcClave,0),FcInicioVtaAnual+0),"")</f>
        <v/>
      </c>
      <c r="R55" s="111" t="str">
        <f>IFERROR(INDEX(Venta!FcDetalle,MATCH(CONCATENATE(A55,"CAP"),Venta!FcClave,0),FcInicioVtaAnual+1),"")</f>
        <v/>
      </c>
      <c r="S55" s="111" t="str">
        <f>IFERROR(INDEX(Venta!FcDetalle,MATCH(CONCATENATE(A55,"CAP"),Venta!FcClave,0),FcInicioVtaAnual+2),"")</f>
        <v/>
      </c>
      <c r="T55" s="111" t="str">
        <f>IFERROR(INDEX(Venta!FcDetalle,MATCH(CONCATENATE(A55,"CAP"),Venta!FcClave,0),FcInicioVtaAnual+3),"")</f>
        <v/>
      </c>
      <c r="U55" s="112" t="str">
        <f>IFERROR(IF(FcCheckProy=FALSE,INDEX(Venta!FcDetalle,MATCH(CONCATENATE(A55,"CAP"),Venta!FcClave,0),FcInicioVtaAnual+4),INDEX(Venta!FcDetalle,MATCH(CONCATENATE(A55,"CAP"),Venta!FcClave,0),FcInicioVtaAnual+5)),"")</f>
        <v/>
      </c>
      <c r="V55" s="316"/>
    </row>
    <row r="56" spans="1:22" ht="12" customHeight="1" collapsed="1" thickBot="1" x14ac:dyDescent="0.25">
      <c r="A56" s="154" t="s">
        <v>6</v>
      </c>
      <c r="B56" s="155"/>
      <c r="C56" s="156">
        <f t="shared" ref="C56:O56" si="4">SUM(C46:C55)</f>
        <v>0</v>
      </c>
      <c r="D56" s="156">
        <f t="shared" si="4"/>
        <v>0</v>
      </c>
      <c r="E56" s="156">
        <f t="shared" si="4"/>
        <v>0</v>
      </c>
      <c r="F56" s="156">
        <f t="shared" si="4"/>
        <v>0</v>
      </c>
      <c r="G56" s="156">
        <f t="shared" si="4"/>
        <v>0</v>
      </c>
      <c r="H56" s="156">
        <f t="shared" si="4"/>
        <v>0</v>
      </c>
      <c r="I56" s="156">
        <f t="shared" si="4"/>
        <v>0</v>
      </c>
      <c r="J56" s="156">
        <f t="shared" si="4"/>
        <v>0</v>
      </c>
      <c r="K56" s="156">
        <f t="shared" si="4"/>
        <v>0</v>
      </c>
      <c r="L56" s="156">
        <f t="shared" si="4"/>
        <v>0</v>
      </c>
      <c r="M56" s="156">
        <f t="shared" si="4"/>
        <v>0</v>
      </c>
      <c r="N56" s="156">
        <f t="shared" si="4"/>
        <v>0</v>
      </c>
      <c r="O56" s="157">
        <f t="shared" si="4"/>
        <v>0</v>
      </c>
      <c r="P56" s="6"/>
      <c r="Q56" s="189">
        <f>SUM(Q46:Q55)</f>
        <v>0</v>
      </c>
      <c r="R56" s="190">
        <f>SUM(R46:R55)</f>
        <v>0</v>
      </c>
      <c r="S56" s="190">
        <f>SUM(S46:S55)</f>
        <v>0</v>
      </c>
      <c r="T56" s="190">
        <f>SUM(T46:T55)</f>
        <v>0</v>
      </c>
      <c r="U56" s="157">
        <f>SUM(U46:U55)</f>
        <v>0</v>
      </c>
      <c r="V56" s="316"/>
    </row>
    <row r="57" spans="1:22" ht="12" customHeight="1" thickBot="1" x14ac:dyDescent="0.25">
      <c r="A57" s="194" t="s">
        <v>10</v>
      </c>
      <c r="B57" s="195"/>
      <c r="C57" s="196">
        <f t="shared" ref="C57:O57" si="5">C23+C34+C45+C56</f>
        <v>0</v>
      </c>
      <c r="D57" s="196">
        <f t="shared" si="5"/>
        <v>0</v>
      </c>
      <c r="E57" s="196">
        <f t="shared" si="5"/>
        <v>0</v>
      </c>
      <c r="F57" s="196">
        <f t="shared" si="5"/>
        <v>0</v>
      </c>
      <c r="G57" s="196">
        <f t="shared" si="5"/>
        <v>0</v>
      </c>
      <c r="H57" s="196">
        <f t="shared" si="5"/>
        <v>0</v>
      </c>
      <c r="I57" s="196">
        <f t="shared" si="5"/>
        <v>0</v>
      </c>
      <c r="J57" s="196">
        <f t="shared" si="5"/>
        <v>0</v>
      </c>
      <c r="K57" s="196">
        <f t="shared" si="5"/>
        <v>0</v>
      </c>
      <c r="L57" s="196">
        <f t="shared" si="5"/>
        <v>0</v>
      </c>
      <c r="M57" s="196">
        <f t="shared" si="5"/>
        <v>0</v>
      </c>
      <c r="N57" s="196">
        <f t="shared" si="5"/>
        <v>0</v>
      </c>
      <c r="O57" s="197">
        <f t="shared" si="5"/>
        <v>0</v>
      </c>
      <c r="P57" s="6"/>
      <c r="Q57" s="151">
        <f>Q23+Q34+Q45+Q56</f>
        <v>0</v>
      </c>
      <c r="R57" s="152">
        <f>R23+R34+R45+R56</f>
        <v>0</v>
      </c>
      <c r="S57" s="152">
        <f>S23+S34+S45+S56</f>
        <v>0</v>
      </c>
      <c r="T57" s="152">
        <f>T23+T34+T45+T56</f>
        <v>0</v>
      </c>
      <c r="U57" s="153">
        <f>U23+U34+U45+U56</f>
        <v>0</v>
      </c>
      <c r="V57" s="316"/>
    </row>
    <row r="58" spans="1:22" ht="12" hidden="1" customHeight="1" outlineLevel="1" x14ac:dyDescent="0.2">
      <c r="A58" s="212" t="s">
        <v>40</v>
      </c>
      <c r="B58" s="213"/>
      <c r="C58" s="216" t="str">
        <f>IF(ISERROR(VLOOKUP($A$10,#REF!,MATCH('visor rk'!C$12,#REF!,0),0)/IF($V$9,VLOOKUP(C$12,#REF!,2,0),1)*IF($V$10,1+VLOOKUP(C$12,#REF!,3,0),1)),"",VLOOKUP($A$10,#REF!,MATCH('visor rk'!C$12,#REF!,0),0)/IF($V$9,VLOOKUP(C$12,#REF!,2,0),1)*IF($V$10,1+VLOOKUP(C$12,#REF!,3,0),1))</f>
        <v/>
      </c>
      <c r="D58" s="216" t="str">
        <f>IF(ISERROR(VLOOKUP($A$10,#REF!,MATCH('visor rk'!D$12,#REF!,0),0)/IF($V$9,VLOOKUP(D$12,#REF!,2,0),1)*IF($V$10,1+VLOOKUP(D$12,#REF!,3,0),1)),"",VLOOKUP($A$10,#REF!,MATCH('visor rk'!D$12,#REF!,0),0)/IF($V$9,VLOOKUP(D$12,#REF!,2,0),1)*IF($V$10,1+VLOOKUP(D$12,#REF!,3,0),1))</f>
        <v/>
      </c>
      <c r="E58" s="216" t="str">
        <f>IF(ISERROR(VLOOKUP($A$10,#REF!,MATCH('visor rk'!E$12,#REF!,0),0)/IF($V$9,VLOOKUP(E$12,#REF!,2,0),1)*IF($V$10,1+VLOOKUP(E$12,#REF!,3,0),1)),"",VLOOKUP($A$10,#REF!,MATCH('visor rk'!E$12,#REF!,0),0)/IF($V$9,VLOOKUP(E$12,#REF!,2,0),1)*IF($V$10,1+VLOOKUP(E$12,#REF!,3,0),1))</f>
        <v/>
      </c>
      <c r="F58" s="216" t="str">
        <f>IF(ISERROR(VLOOKUP($A$10,#REF!,MATCH('visor rk'!F$12,#REF!,0),0)/IF($V$9,VLOOKUP(F$12,#REF!,2,0),1)*IF($V$10,1+VLOOKUP(F$12,#REF!,3,0),1)),"",VLOOKUP($A$10,#REF!,MATCH('visor rk'!F$12,#REF!,0),0)/IF($V$9,VLOOKUP(F$12,#REF!,2,0),1)*IF($V$10,1+VLOOKUP(F$12,#REF!,3,0),1))</f>
        <v/>
      </c>
      <c r="G58" s="216" t="str">
        <f>IF(ISERROR(VLOOKUP($A$10,#REF!,MATCH('visor rk'!G$12,#REF!,0),0)/IF($V$9,VLOOKUP(G$12,#REF!,2,0),1)*IF($V$10,1+VLOOKUP(G$12,#REF!,3,0),1)),"",VLOOKUP($A$10,#REF!,MATCH('visor rk'!G$12,#REF!,0),0)/IF($V$9,VLOOKUP(G$12,#REF!,2,0),1)*IF($V$10,1+VLOOKUP(G$12,#REF!,3,0),1))</f>
        <v/>
      </c>
      <c r="H58" s="216" t="str">
        <f>IF(ISERROR(VLOOKUP($A$10,#REF!,MATCH('visor rk'!H$12,#REF!,0),0)/IF($V$9,VLOOKUP(H$12,#REF!,2,0),1)*IF($V$10,1+VLOOKUP(H$12,#REF!,3,0),1)),"",VLOOKUP($A$10,#REF!,MATCH('visor rk'!H$12,#REF!,0),0)/IF($V$9,VLOOKUP(H$12,#REF!,2,0),1)*IF($V$10,1+VLOOKUP(H$12,#REF!,3,0),1))</f>
        <v/>
      </c>
      <c r="I58" s="216" t="str">
        <f>IF(ISERROR(VLOOKUP($A$10,#REF!,MATCH('visor rk'!I$12,#REF!,0),0)/IF($V$9,VLOOKUP(I$12,#REF!,2,0),1)*IF($V$10,1+VLOOKUP(I$12,#REF!,3,0),1)),"",VLOOKUP($A$10,#REF!,MATCH('visor rk'!I$12,#REF!,0),0)/IF($V$9,VLOOKUP(I$12,#REF!,2,0),1)*IF($V$10,1+VLOOKUP(I$12,#REF!,3,0),1))</f>
        <v/>
      </c>
      <c r="J58" s="216" t="str">
        <f>IF(ISERROR(VLOOKUP($A$10,#REF!,MATCH('visor rk'!J$12,#REF!,0),0)/IF($V$9,VLOOKUP(J$12,#REF!,2,0),1)*IF($V$10,1+VLOOKUP(J$12,#REF!,3,0),1)),"",VLOOKUP($A$10,#REF!,MATCH('visor rk'!J$12,#REF!,0),0)/IF($V$9,VLOOKUP(J$12,#REF!,2,0),1)*IF($V$10,1+VLOOKUP(J$12,#REF!,3,0),1))</f>
        <v/>
      </c>
      <c r="K58" s="216" t="str">
        <f>IF(ISERROR(VLOOKUP($A$10,#REF!,MATCH('visor rk'!K$12,#REF!,0),0)/IF($V$9,VLOOKUP(K$12,#REF!,2,0),1)*IF($V$10,1+VLOOKUP(K$12,#REF!,3,0),1)),"",VLOOKUP($A$10,#REF!,MATCH('visor rk'!K$12,#REF!,0),0)/IF($V$9,VLOOKUP(K$12,#REF!,2,0),1)*IF($V$10,1+VLOOKUP(K$12,#REF!,3,0),1))</f>
        <v/>
      </c>
      <c r="L58" s="216" t="str">
        <f>IF(ISERROR(VLOOKUP($A$10,#REF!,MATCH('visor rk'!L$12,#REF!,0),0)/IF($V$9,VLOOKUP(L$12,#REF!,2,0),1)*IF($V$10,1+VLOOKUP(L$12,#REF!,3,0),1)),"",VLOOKUP($A$10,#REF!,MATCH('visor rk'!L$12,#REF!,0),0)/IF($V$9,VLOOKUP(L$12,#REF!,2,0),1)*IF($V$10,1+VLOOKUP(L$12,#REF!,3,0),1))</f>
        <v/>
      </c>
      <c r="M58" s="216" t="str">
        <f>IF(ISERROR(VLOOKUP($A$10,#REF!,MATCH('visor rk'!M$12,#REF!,0),0)/IF($V$9,VLOOKUP(M$12,#REF!,2,0),1)*IF($V$10,1+VLOOKUP(M$12,#REF!,3,0),1)),"",VLOOKUP($A$10,#REF!,MATCH('visor rk'!M$12,#REF!,0),0)/IF($V$9,VLOOKUP(M$12,#REF!,2,0),1)*IF($V$10,1+VLOOKUP(M$12,#REF!,3,0),1))</f>
        <v/>
      </c>
      <c r="N58" s="216" t="str">
        <f>IF(ISERROR(VLOOKUP($A$10,#REF!,MATCH('visor rk'!N$12,#REF!,0),0)/IF($V$9,VLOOKUP(N$12,#REF!,2,0),1)*IF($V$10,1+VLOOKUP(N$12,#REF!,3,0),1)),"",VLOOKUP($A$10,#REF!,MATCH('visor rk'!N$12,#REF!,0),0)/IF($V$9,VLOOKUP(N$12,#REF!,2,0),1)*IF($V$10,1+VLOOKUP(N$12,#REF!,3,0),1))</f>
        <v/>
      </c>
      <c r="O58" s="217" t="str">
        <f>IF(ISERROR(VLOOKUP($A$10,#REF!,MATCH('visor rk'!O$12,#REF!,0),0)/IF($V$9,VLOOKUP(O$12,#REF!,2,0),1)*IF($V$10,1+VLOOKUP(O$12,#REF!,3,0),1)),"",VLOOKUP($A$10,#REF!,MATCH('visor rk'!O$12,#REF!,0),0)/IF($V$9,VLOOKUP(O$12,#REF!,2,0),1)*IF($V$10,1+VLOOKUP(O$12,#REF!,3,0),1))</f>
        <v/>
      </c>
      <c r="P58" s="6"/>
      <c r="Q58" s="220" t="str">
        <f>IF(ISERROR(VLOOKUP($A$10,#REF!,251+MATCH('visor rk'!Q$12,#REF!,0),0)/IF($V$9,HLOOKUP(Q$12,#REF!,2,0),1)*IF($V$10,1+HLOOKUP(Q$12,#REF!,3,0),1)),"",VLOOKUP($A$10,#REF!,251+MATCH('visor rk'!Q$12,#REF!,0),0)/IF($V$9,HLOOKUP(Q$12,#REF!,2,0),1)*IF($V$10,1+HLOOKUP(Q$12,#REF!,3,0),1))</f>
        <v/>
      </c>
      <c r="R58" s="216" t="str">
        <f>IF(ISERROR(VLOOKUP($A$10,#REF!,251+MATCH('visor rk'!R$12,#REF!,0),0)/IF($V$9,HLOOKUP(R$12,#REF!,2,0),1)*IF($V$10,1+HLOOKUP(R$12,#REF!,3,0),1)),"",VLOOKUP($A$10,#REF!,251+MATCH('visor rk'!R$12,#REF!,0),0)/IF($V$9,HLOOKUP(R$12,#REF!,2,0),1)*IF($V$10,1+HLOOKUP(R$12,#REF!,3,0),1))</f>
        <v/>
      </c>
      <c r="S58" s="216" t="str">
        <f>IF(ISERROR(VLOOKUP($A$10,#REF!,251+MATCH('visor rk'!S$12,#REF!,0),0)/IF($V$9,HLOOKUP(S$12,#REF!,2,0),1)*IF($V$10,1+HLOOKUP(S$12,#REF!,3,0),1)),"",VLOOKUP($A$10,#REF!,251+MATCH('visor rk'!S$12,#REF!,0),0)/IF($V$9,HLOOKUP(S$12,#REF!,2,0),1)*IF($V$10,1+HLOOKUP(S$12,#REF!,3,0),1))</f>
        <v/>
      </c>
      <c r="T58" s="216" t="str">
        <f>IF(ISERROR(VLOOKUP($A$10,#REF!,251+MATCH('visor rk'!T$12,#REF!,0),0)/IF($V$9,HLOOKUP(T$12,#REF!,2,0),1)*IF($V$10,1+HLOOKUP(T$12,#REF!,3,0),1)),"",VLOOKUP($A$10,#REF!,251+MATCH('visor rk'!T$12,#REF!,0),0)/IF($V$9,HLOOKUP(T$12,#REF!,2,0),1)*IF($V$10,1+HLOOKUP(T$12,#REF!,3,0),1))</f>
        <v/>
      </c>
      <c r="U58" s="217" t="str">
        <f>IF(ISERROR(VLOOKUP($A$10,#REF!,251+MATCH('visor rk'!U$12,#REF!,0),0)*IF(AND($W$88,HLOOKUP(U$12,#REF!,4,0)&lt;12),12/MONTH($A$4),1)/IF($V$9,HLOOKUP(U$12,#REF!,2,0),1)*IF($V$10,1+HLOOKUP(U$12,#REF!,3,0),1)),"",VLOOKUP($A$10,#REF!,251+MATCH('visor rk'!U$12,#REF!,0),0)*IF(AND($W$88,HLOOKUP(U$12,#REF!,4,0)&lt;12),12/MONTH($A$4),1)/IF($V$9,HLOOKUP(U$12,#REF!,2,0),1)*IF($V$10,1+HLOOKUP(U$12,#REF!,3,0),1))</f>
        <v/>
      </c>
      <c r="V58" s="242"/>
    </row>
    <row r="59" spans="1:22" ht="12" hidden="1" customHeight="1" outlineLevel="1" thickBot="1" x14ac:dyDescent="0.25">
      <c r="A59" s="232" t="s">
        <v>41</v>
      </c>
      <c r="B59" s="233"/>
      <c r="C59" s="234" t="str">
        <f>IF(ISERROR(VLOOKUP($A$10,#REF!,MATCH('visor rk'!C$12,#REF!,0),0)/IF($V$9,VLOOKUP(C$12,#REF!,2,0),1)*IF($V$10,1+VLOOKUP(C$12,#REF!,3,0),1)),"",VLOOKUP($A$10,#REF!,MATCH('visor rk'!C$12,#REF!,0),0)/IF($V$9,VLOOKUP(C$12,#REF!,2,0),1)*IF($V$10,1+VLOOKUP(C$12,#REF!,3,0),1))</f>
        <v/>
      </c>
      <c r="D59" s="234" t="str">
        <f>IF(ISERROR(VLOOKUP($A$10,#REF!,MATCH('visor rk'!D$12,#REF!,0),0)/IF($V$9,VLOOKUP(D$12,#REF!,2,0),1)*IF($V$10,1+VLOOKUP(D$12,#REF!,3,0),1)),"",VLOOKUP($A$10,#REF!,MATCH('visor rk'!D$12,#REF!,0),0)/IF($V$9,VLOOKUP(D$12,#REF!,2,0),1)*IF($V$10,1+VLOOKUP(D$12,#REF!,3,0),1))</f>
        <v/>
      </c>
      <c r="E59" s="234" t="str">
        <f>IF(ISERROR(VLOOKUP($A$10,#REF!,MATCH('visor rk'!E$12,#REF!,0),0)/IF($V$9,VLOOKUP(E$12,#REF!,2,0),1)*IF($V$10,1+VLOOKUP(E$12,#REF!,3,0),1)),"",VLOOKUP($A$10,#REF!,MATCH('visor rk'!E$12,#REF!,0),0)/IF($V$9,VLOOKUP(E$12,#REF!,2,0),1)*IF($V$10,1+VLOOKUP(E$12,#REF!,3,0),1))</f>
        <v/>
      </c>
      <c r="F59" s="234" t="str">
        <f>IF(ISERROR(VLOOKUP($A$10,#REF!,MATCH('visor rk'!F$12,#REF!,0),0)/IF($V$9,VLOOKUP(F$12,#REF!,2,0),1)*IF($V$10,1+VLOOKUP(F$12,#REF!,3,0),1)),"",VLOOKUP($A$10,#REF!,MATCH('visor rk'!F$12,#REF!,0),0)/IF($V$9,VLOOKUP(F$12,#REF!,2,0),1)*IF($V$10,1+VLOOKUP(F$12,#REF!,3,0),1))</f>
        <v/>
      </c>
      <c r="G59" s="234" t="str">
        <f>IF(ISERROR(VLOOKUP($A$10,#REF!,MATCH('visor rk'!G$12,#REF!,0),0)/IF($V$9,VLOOKUP(G$12,#REF!,2,0),1)*IF($V$10,1+VLOOKUP(G$12,#REF!,3,0),1)),"",VLOOKUP($A$10,#REF!,MATCH('visor rk'!G$12,#REF!,0),0)/IF($V$9,VLOOKUP(G$12,#REF!,2,0),1)*IF($V$10,1+VLOOKUP(G$12,#REF!,3,0),1))</f>
        <v/>
      </c>
      <c r="H59" s="234" t="str">
        <f>IF(ISERROR(VLOOKUP($A$10,#REF!,MATCH('visor rk'!H$12,#REF!,0),0)/IF($V$9,VLOOKUP(H$12,#REF!,2,0),1)*IF($V$10,1+VLOOKUP(H$12,#REF!,3,0),1)),"",VLOOKUP($A$10,#REF!,MATCH('visor rk'!H$12,#REF!,0),0)/IF($V$9,VLOOKUP(H$12,#REF!,2,0),1)*IF($V$10,1+VLOOKUP(H$12,#REF!,3,0),1))</f>
        <v/>
      </c>
      <c r="I59" s="234" t="str">
        <f>IF(ISERROR(VLOOKUP($A$10,#REF!,MATCH('visor rk'!I$12,#REF!,0),0)/IF($V$9,VLOOKUP(I$12,#REF!,2,0),1)*IF($V$10,1+VLOOKUP(I$12,#REF!,3,0),1)),"",VLOOKUP($A$10,#REF!,MATCH('visor rk'!I$12,#REF!,0),0)/IF($V$9,VLOOKUP(I$12,#REF!,2,0),1)*IF($V$10,1+VLOOKUP(I$12,#REF!,3,0),1))</f>
        <v/>
      </c>
      <c r="J59" s="234" t="str">
        <f>IF(ISERROR(VLOOKUP($A$10,#REF!,MATCH('visor rk'!J$12,#REF!,0),0)/IF($V$9,VLOOKUP(J$12,#REF!,2,0),1)*IF($V$10,1+VLOOKUP(J$12,#REF!,3,0),1)),"",VLOOKUP($A$10,#REF!,MATCH('visor rk'!J$12,#REF!,0),0)/IF($V$9,VLOOKUP(J$12,#REF!,2,0),1)*IF($V$10,1+VLOOKUP(J$12,#REF!,3,0),1))</f>
        <v/>
      </c>
      <c r="K59" s="234" t="str">
        <f>IF(ISERROR(VLOOKUP($A$10,#REF!,MATCH('visor rk'!K$12,#REF!,0),0)/IF($V$9,VLOOKUP(K$12,#REF!,2,0),1)*IF($V$10,1+VLOOKUP(K$12,#REF!,3,0),1)),"",VLOOKUP($A$10,#REF!,MATCH('visor rk'!K$12,#REF!,0),0)/IF($V$9,VLOOKUP(K$12,#REF!,2,0),1)*IF($V$10,1+VLOOKUP(K$12,#REF!,3,0),1))</f>
        <v/>
      </c>
      <c r="L59" s="234" t="str">
        <f>IF(ISERROR(VLOOKUP($A$10,#REF!,MATCH('visor rk'!L$12,#REF!,0),0)/IF($V$9,VLOOKUP(L$12,#REF!,2,0),1)*IF($V$10,1+VLOOKUP(L$12,#REF!,3,0),1)),"",VLOOKUP($A$10,#REF!,MATCH('visor rk'!L$12,#REF!,0),0)/IF($V$9,VLOOKUP(L$12,#REF!,2,0),1)*IF($V$10,1+VLOOKUP(L$12,#REF!,3,0),1))</f>
        <v/>
      </c>
      <c r="M59" s="234" t="str">
        <f>IF(ISERROR(VLOOKUP($A$10,#REF!,MATCH('visor rk'!M$12,#REF!,0),0)/IF($V$9,VLOOKUP(M$12,#REF!,2,0),1)*IF($V$10,1+VLOOKUP(M$12,#REF!,3,0),1)),"",VLOOKUP($A$10,#REF!,MATCH('visor rk'!M$12,#REF!,0),0)/IF($V$9,VLOOKUP(M$12,#REF!,2,0),1)*IF($V$10,1+VLOOKUP(M$12,#REF!,3,0),1))</f>
        <v/>
      </c>
      <c r="N59" s="234" t="str">
        <f>IF(ISERROR(VLOOKUP($A$10,#REF!,MATCH('visor rk'!N$12,#REF!,0),0)/IF($V$9,VLOOKUP(N$12,#REF!,2,0),1)*IF($V$10,1+VLOOKUP(N$12,#REF!,3,0),1)),"",VLOOKUP($A$10,#REF!,MATCH('visor rk'!N$12,#REF!,0),0)/IF($V$9,VLOOKUP(N$12,#REF!,2,0),1)*IF($V$10,1+VLOOKUP(N$12,#REF!,3,0),1))</f>
        <v/>
      </c>
      <c r="O59" s="235" t="str">
        <f>IF(ISERROR(VLOOKUP($A$10,#REF!,MATCH('visor rk'!O$12,#REF!,0),0)/IF($V$9,VLOOKUP(O$12,#REF!,2,0),1)*IF($V$10,1+VLOOKUP(O$12,#REF!,3,0),1)),"",VLOOKUP($A$10,#REF!,MATCH('visor rk'!O$12,#REF!,0),0)/IF($V$9,VLOOKUP(O$12,#REF!,2,0),1)*IF($V$10,1+VLOOKUP(O$12,#REF!,3,0),1))</f>
        <v/>
      </c>
      <c r="P59" s="6"/>
      <c r="Q59" s="239" t="str">
        <f>IF(ISERROR(VLOOKUP($A$10,#REF!,251+MATCH('visor rk'!Q$12,#REF!,0),0)/IF($V$9,HLOOKUP(Q$12,#REF!,2,0),1)*IF($V$10,1+HLOOKUP(Q$12,#REF!,3,0),1)),"",VLOOKUP($A$10,#REF!,251+MATCH('visor rk'!Q$12,#REF!,0),0)/IF($V$9,HLOOKUP(Q$12,#REF!,2,0),1)*IF($V$10,1+HLOOKUP(Q$12,#REF!,3,0),1))</f>
        <v/>
      </c>
      <c r="R59" s="234" t="str">
        <f>IF(ISERROR(VLOOKUP($A$10,#REF!,251+MATCH('visor rk'!R$12,#REF!,0),0)/IF($V$9,HLOOKUP(R$12,#REF!,2,0),1)*IF($V$10,1+HLOOKUP(R$12,#REF!,3,0),1)),"",VLOOKUP($A$10,#REF!,251+MATCH('visor rk'!R$12,#REF!,0),0)/IF($V$9,HLOOKUP(R$12,#REF!,2,0),1)*IF($V$10,1+HLOOKUP(R$12,#REF!,3,0),1))</f>
        <v/>
      </c>
      <c r="S59" s="234" t="str">
        <f>IF(ISERROR(VLOOKUP($A$10,#REF!,251+MATCH('visor rk'!S$12,#REF!,0),0)/IF($V$9,HLOOKUP(S$12,#REF!,2,0),1)*IF($V$10,1+HLOOKUP(S$12,#REF!,3,0),1)),"",VLOOKUP($A$10,#REF!,251+MATCH('visor rk'!S$12,#REF!,0),0)/IF($V$9,HLOOKUP(S$12,#REF!,2,0),1)*IF($V$10,1+HLOOKUP(S$12,#REF!,3,0),1))</f>
        <v/>
      </c>
      <c r="T59" s="234" t="str">
        <f>IF(ISERROR(VLOOKUP($A$10,#REF!,251+MATCH('visor rk'!T$12,#REF!,0),0)/IF($V$9,HLOOKUP(T$12,#REF!,2,0),1)*IF($V$10,1+HLOOKUP(T$12,#REF!,3,0),1)),"",VLOOKUP($A$10,#REF!,251+MATCH('visor rk'!T$12,#REF!,0),0)/IF($V$9,HLOOKUP(T$12,#REF!,2,0),1)*IF($V$10,1+HLOOKUP(T$12,#REF!,3,0),1))</f>
        <v/>
      </c>
      <c r="U59" s="235" t="str">
        <f>IF(ISERROR(VLOOKUP($A$10,#REF!,251+MATCH('visor rk'!U$12,#REF!,0),0)*IF(AND($W$88,HLOOKUP(U$12,#REF!,4,0)&lt;12),12/MONTH($A$4),1)/IF($V$9,HLOOKUP(U$12,#REF!,2,0),1)*IF($V$10,1+HLOOKUP(U$12,#REF!,3,0),1)),"",VLOOKUP($A$10,#REF!,251+MATCH('visor rk'!U$12,#REF!,0),0)*IF(AND($W$88,HLOOKUP(U$12,#REF!,4,0)&lt;12),12/MONTH($A$4),1)/IF($V$9,HLOOKUP(U$12,#REF!,2,0),1)*IF($V$10,1+HLOOKUP(U$12,#REF!,3,0),1))</f>
        <v/>
      </c>
      <c r="V59" s="242"/>
    </row>
    <row r="60" spans="1:22" ht="12" hidden="1" customHeight="1" thickBot="1" x14ac:dyDescent="0.25">
      <c r="A60" s="208" t="s">
        <v>42</v>
      </c>
      <c r="B60" s="209"/>
      <c r="C60" s="210">
        <f>SUM(C58:C59)</f>
        <v>0</v>
      </c>
      <c r="D60" s="210">
        <f t="shared" ref="D60:O60" si="6">SUM(D58:D59)</f>
        <v>0</v>
      </c>
      <c r="E60" s="210">
        <f t="shared" si="6"/>
        <v>0</v>
      </c>
      <c r="F60" s="210">
        <f t="shared" si="6"/>
        <v>0</v>
      </c>
      <c r="G60" s="210">
        <f t="shared" si="6"/>
        <v>0</v>
      </c>
      <c r="H60" s="210">
        <f t="shared" si="6"/>
        <v>0</v>
      </c>
      <c r="I60" s="210">
        <f t="shared" si="6"/>
        <v>0</v>
      </c>
      <c r="J60" s="210">
        <f t="shared" si="6"/>
        <v>0</v>
      </c>
      <c r="K60" s="210">
        <f t="shared" si="6"/>
        <v>0</v>
      </c>
      <c r="L60" s="210">
        <f t="shared" si="6"/>
        <v>0</v>
      </c>
      <c r="M60" s="210">
        <f t="shared" si="6"/>
        <v>0</v>
      </c>
      <c r="N60" s="210">
        <f t="shared" si="6"/>
        <v>0</v>
      </c>
      <c r="O60" s="211">
        <f t="shared" si="6"/>
        <v>0</v>
      </c>
      <c r="P60" s="6"/>
      <c r="Q60" s="222">
        <f>SUM(Q58:Q59)</f>
        <v>0</v>
      </c>
      <c r="R60" s="223">
        <f>SUM(R58:R59)</f>
        <v>0</v>
      </c>
      <c r="S60" s="223">
        <f>SUM(S58:S59)</f>
        <v>0</v>
      </c>
      <c r="T60" s="223">
        <f>SUM(T58:T59)</f>
        <v>0</v>
      </c>
      <c r="U60" s="224">
        <f>SUM(U58:U59)</f>
        <v>0</v>
      </c>
      <c r="V60" s="242"/>
    </row>
    <row r="61" spans="1:22" ht="12" hidden="1" customHeight="1" outlineLevel="1" x14ac:dyDescent="0.2">
      <c r="A61" s="229" t="str">
        <f>IF($E$10="-",$C$4,$E$10)</f>
        <v/>
      </c>
      <c r="B61" s="230" t="str">
        <f>IFERROR(INDEX(Maestro!FcDetalle,MATCH(A61,Maestro!FcClave,0),5),"")</f>
        <v/>
      </c>
      <c r="C61" s="231" t="str">
        <f>IFERROR(INDEX(Prob.Pago!FcDetalle,MATCH(A61,Prob.Pago!FcClave,0),7+(4*0)),"")</f>
        <v/>
      </c>
      <c r="D61" s="231" t="str">
        <f>IFERROR(INDEX(Prob.Pago!FcDetalle,MATCH(A61,Prob.Pago!FcClave,0),7+(4*1)),"")</f>
        <v/>
      </c>
      <c r="E61" s="231" t="str">
        <f>IFERROR(INDEX(Prob.Pago!FcDetalle,MATCH(A61,Prob.Pago!FcClave,0),7+(4*2)),"")</f>
        <v/>
      </c>
      <c r="F61" s="231" t="str">
        <f>IFERROR(INDEX(Prob.Pago!FcDetalle,MATCH(A61,Prob.Pago!FcClave,0),7+(4*3)),"")</f>
        <v/>
      </c>
      <c r="G61" s="231" t="str">
        <f>IFERROR(INDEX(Prob.Pago!FcDetalle,MATCH(A61,Prob.Pago!FcClave,0),7+(4*4)),"")</f>
        <v/>
      </c>
      <c r="H61" s="231" t="str">
        <f>IFERROR(INDEX(Prob.Pago!FcDetalle,MATCH(A61,Prob.Pago!FcClave,0),7+(4*5)),"")</f>
        <v/>
      </c>
      <c r="I61" s="231" t="str">
        <f>IFERROR(INDEX(Prob.Pago!FcDetalle,MATCH(A61,Prob.Pago!FcClave,0),7+(4*6)),"")</f>
        <v/>
      </c>
      <c r="J61" s="231" t="str">
        <f>IFERROR(INDEX(Prob.Pago!FcDetalle,MATCH(A61,Prob.Pago!FcClave,0),7+(4*7)),"")</f>
        <v/>
      </c>
      <c r="K61" s="231" t="str">
        <f>IFERROR(INDEX(Prob.Pago!FcDetalle,MATCH(A61,Prob.Pago!FcClave,0),7+(4*8)),"")</f>
        <v/>
      </c>
      <c r="L61" s="231" t="str">
        <f>IFERROR(INDEX(Prob.Pago!FcDetalle,MATCH(A61,Prob.Pago!FcClave,0),7+(4*9)),"")</f>
        <v/>
      </c>
      <c r="M61" s="231" t="str">
        <f>IFERROR(INDEX(Prob.Pago!FcDetalle,MATCH(A61,Prob.Pago!FcClave,0),7+(4*10)),"")</f>
        <v/>
      </c>
      <c r="N61" s="231" t="str">
        <f>IFERROR(INDEX(Prob.Pago!FcDetalle,MATCH(A61,Prob.Pago!FcClave,0),7+(4*11)),"")</f>
        <v/>
      </c>
      <c r="O61" s="231" t="str">
        <f>IFERROR(INDEX(Prob.Pago!FcDetalle,MATCH(A61,Prob.Pago!FcClave,0),7+(4*12)),"")</f>
        <v/>
      </c>
      <c r="P61" s="6"/>
      <c r="Q61" s="205"/>
      <c r="R61" s="205"/>
      <c r="S61" s="205"/>
      <c r="T61" s="205"/>
      <c r="U61" s="205"/>
      <c r="V61" s="242"/>
    </row>
    <row r="62" spans="1:22" ht="12" hidden="1" customHeight="1" outlineLevel="1" x14ac:dyDescent="0.2">
      <c r="A62" s="229" t="str">
        <f>IF($F$10="-","",$F$10)</f>
        <v/>
      </c>
      <c r="B62" s="230" t="str">
        <f>IFERROR(INDEX(Maestro!FcDetalle,MATCH(A62,Maestro!FcClave,0),5),"")</f>
        <v/>
      </c>
      <c r="C62" s="231" t="str">
        <f>IFERROR(INDEX(Prob.Pago!FcDetalle,MATCH(A62,Prob.Pago!FcClave,0),7+(4*0)),"")</f>
        <v/>
      </c>
      <c r="D62" s="231" t="str">
        <f>IFERROR(INDEX(Prob.Pago!FcDetalle,MATCH(A62,Prob.Pago!FcClave,0),7+(4*1)),"")</f>
        <v/>
      </c>
      <c r="E62" s="231" t="str">
        <f>IFERROR(INDEX(Prob.Pago!FcDetalle,MATCH(A62,Prob.Pago!FcClave,0),7+(4*2)),"")</f>
        <v/>
      </c>
      <c r="F62" s="231" t="str">
        <f>IFERROR(INDEX(Prob.Pago!FcDetalle,MATCH(A62,Prob.Pago!FcClave,0),7+(4*3)),"")</f>
        <v/>
      </c>
      <c r="G62" s="231" t="str">
        <f>IFERROR(INDEX(Prob.Pago!FcDetalle,MATCH(A62,Prob.Pago!FcClave,0),7+(4*4)),"")</f>
        <v/>
      </c>
      <c r="H62" s="231" t="str">
        <f>IFERROR(INDEX(Prob.Pago!FcDetalle,MATCH(A62,Prob.Pago!FcClave,0),7+(4*5)),"")</f>
        <v/>
      </c>
      <c r="I62" s="231" t="str">
        <f>IFERROR(INDEX(Prob.Pago!FcDetalle,MATCH(A62,Prob.Pago!FcClave,0),7+(4*6)),"")</f>
        <v/>
      </c>
      <c r="J62" s="231" t="str">
        <f>IFERROR(INDEX(Prob.Pago!FcDetalle,MATCH(A62,Prob.Pago!FcClave,0),7+(4*7)),"")</f>
        <v/>
      </c>
      <c r="K62" s="231" t="str">
        <f>IFERROR(INDEX(Prob.Pago!FcDetalle,MATCH(A62,Prob.Pago!FcClave,0),7+(4*8)),"")</f>
        <v/>
      </c>
      <c r="L62" s="231" t="str">
        <f>IFERROR(INDEX(Prob.Pago!FcDetalle,MATCH(A62,Prob.Pago!FcClave,0),7+(4*9)),"")</f>
        <v/>
      </c>
      <c r="M62" s="231" t="str">
        <f>IFERROR(INDEX(Prob.Pago!FcDetalle,MATCH(A62,Prob.Pago!FcClave,0),7+(4*10)),"")</f>
        <v/>
      </c>
      <c r="N62" s="231" t="str">
        <f>IFERROR(INDEX(Prob.Pago!FcDetalle,MATCH(A62,Prob.Pago!FcClave,0),7+(4*11)),"")</f>
        <v/>
      </c>
      <c r="O62" s="231" t="str">
        <f>IFERROR(INDEX(Prob.Pago!FcDetalle,MATCH(A62,Prob.Pago!FcClave,0),7+(4*12)),"")</f>
        <v/>
      </c>
      <c r="P62" s="6"/>
      <c r="Q62" s="205"/>
      <c r="R62" s="205"/>
      <c r="S62" s="205"/>
      <c r="T62" s="205"/>
      <c r="U62" s="205"/>
      <c r="V62" s="242"/>
    </row>
    <row r="63" spans="1:22" ht="12" hidden="1" customHeight="1" outlineLevel="1" x14ac:dyDescent="0.2">
      <c r="A63" s="229" t="str">
        <f>IF($G$10="-","",$G$10)</f>
        <v/>
      </c>
      <c r="B63" s="230" t="str">
        <f>IFERROR(INDEX(Maestro!FcDetalle,MATCH(A63,Maestro!FcClave,0),5),"")</f>
        <v/>
      </c>
      <c r="C63" s="231" t="str">
        <f>IFERROR(INDEX(Prob.Pago!FcDetalle,MATCH(A63,Prob.Pago!FcClave,0),7+(4*0)),"")</f>
        <v/>
      </c>
      <c r="D63" s="231" t="str">
        <f>IFERROR(INDEX(Prob.Pago!FcDetalle,MATCH(A63,Prob.Pago!FcClave,0),7+(4*1)),"")</f>
        <v/>
      </c>
      <c r="E63" s="231" t="str">
        <f>IFERROR(INDEX(Prob.Pago!FcDetalle,MATCH(A63,Prob.Pago!FcClave,0),7+(4*2)),"")</f>
        <v/>
      </c>
      <c r="F63" s="231" t="str">
        <f>IFERROR(INDEX(Prob.Pago!FcDetalle,MATCH(A63,Prob.Pago!FcClave,0),7+(4*3)),"")</f>
        <v/>
      </c>
      <c r="G63" s="231" t="str">
        <f>IFERROR(INDEX(Prob.Pago!FcDetalle,MATCH(A63,Prob.Pago!FcClave,0),7+(4*4)),"")</f>
        <v/>
      </c>
      <c r="H63" s="231" t="str">
        <f>IFERROR(INDEX(Prob.Pago!FcDetalle,MATCH(A63,Prob.Pago!FcClave,0),7+(4*5)),"")</f>
        <v/>
      </c>
      <c r="I63" s="231" t="str">
        <f>IFERROR(INDEX(Prob.Pago!FcDetalle,MATCH(A63,Prob.Pago!FcClave,0),7+(4*6)),"")</f>
        <v/>
      </c>
      <c r="J63" s="231" t="str">
        <f>IFERROR(INDEX(Prob.Pago!FcDetalle,MATCH(A63,Prob.Pago!FcClave,0),7+(4*7)),"")</f>
        <v/>
      </c>
      <c r="K63" s="231" t="str">
        <f>IFERROR(INDEX(Prob.Pago!FcDetalle,MATCH(A63,Prob.Pago!FcClave,0),7+(4*8)),"")</f>
        <v/>
      </c>
      <c r="L63" s="231" t="str">
        <f>IFERROR(INDEX(Prob.Pago!FcDetalle,MATCH(A63,Prob.Pago!FcClave,0),7+(4*9)),"")</f>
        <v/>
      </c>
      <c r="M63" s="231" t="str">
        <f>IFERROR(INDEX(Prob.Pago!FcDetalle,MATCH(A63,Prob.Pago!FcClave,0),7+(4*10)),"")</f>
        <v/>
      </c>
      <c r="N63" s="231" t="str">
        <f>IFERROR(INDEX(Prob.Pago!FcDetalle,MATCH(A63,Prob.Pago!FcClave,0),7+(4*11)),"")</f>
        <v/>
      </c>
      <c r="O63" s="231" t="str">
        <f>IFERROR(INDEX(Prob.Pago!FcDetalle,MATCH(A63,Prob.Pago!FcClave,0),7+(4*12)),"")</f>
        <v/>
      </c>
      <c r="P63" s="6"/>
      <c r="Q63" s="205"/>
      <c r="R63" s="205"/>
      <c r="S63" s="205"/>
      <c r="T63" s="205"/>
      <c r="U63" s="205"/>
      <c r="V63" s="242"/>
    </row>
    <row r="64" spans="1:22" ht="12" hidden="1" customHeight="1" outlineLevel="1" x14ac:dyDescent="0.2">
      <c r="A64" s="229" t="str">
        <f>IF($H$10="-","",$H$10)</f>
        <v/>
      </c>
      <c r="B64" s="230" t="str">
        <f>IFERROR(INDEX(Maestro!FcDetalle,MATCH(A64,Maestro!FcClave,0),5),"")</f>
        <v/>
      </c>
      <c r="C64" s="231" t="str">
        <f>IFERROR(INDEX(Prob.Pago!FcDetalle,MATCH(A64,Prob.Pago!FcClave,0),7+(4*0)),"")</f>
        <v/>
      </c>
      <c r="D64" s="231" t="str">
        <f>IFERROR(INDEX(Prob.Pago!FcDetalle,MATCH(A64,Prob.Pago!FcClave,0),7+(4*1)),"")</f>
        <v/>
      </c>
      <c r="E64" s="231" t="str">
        <f>IFERROR(INDEX(Prob.Pago!FcDetalle,MATCH(A64,Prob.Pago!FcClave,0),7+(4*2)),"")</f>
        <v/>
      </c>
      <c r="F64" s="231" t="str">
        <f>IFERROR(INDEX(Prob.Pago!FcDetalle,MATCH(A64,Prob.Pago!FcClave,0),7+(4*3)),"")</f>
        <v/>
      </c>
      <c r="G64" s="231" t="str">
        <f>IFERROR(INDEX(Prob.Pago!FcDetalle,MATCH(A64,Prob.Pago!FcClave,0),7+(4*4)),"")</f>
        <v/>
      </c>
      <c r="H64" s="231" t="str">
        <f>IFERROR(INDEX(Prob.Pago!FcDetalle,MATCH(A64,Prob.Pago!FcClave,0),7+(4*5)),"")</f>
        <v/>
      </c>
      <c r="I64" s="231" t="str">
        <f>IFERROR(INDEX(Prob.Pago!FcDetalle,MATCH(A64,Prob.Pago!FcClave,0),7+(4*6)),"")</f>
        <v/>
      </c>
      <c r="J64" s="231" t="str">
        <f>IFERROR(INDEX(Prob.Pago!FcDetalle,MATCH(A64,Prob.Pago!FcClave,0),7+(4*7)),"")</f>
        <v/>
      </c>
      <c r="K64" s="231" t="str">
        <f>IFERROR(INDEX(Prob.Pago!FcDetalle,MATCH(A64,Prob.Pago!FcClave,0),7+(4*8)),"")</f>
        <v/>
      </c>
      <c r="L64" s="231" t="str">
        <f>IFERROR(INDEX(Prob.Pago!FcDetalle,MATCH(A64,Prob.Pago!FcClave,0),7+(4*9)),"")</f>
        <v/>
      </c>
      <c r="M64" s="231" t="str">
        <f>IFERROR(INDEX(Prob.Pago!FcDetalle,MATCH(A64,Prob.Pago!FcClave,0),7+(4*10)),"")</f>
        <v/>
      </c>
      <c r="N64" s="231" t="str">
        <f>IFERROR(INDEX(Prob.Pago!FcDetalle,MATCH(A64,Prob.Pago!FcClave,0),7+(4*11)),"")</f>
        <v/>
      </c>
      <c r="O64" s="231" t="str">
        <f>IFERROR(INDEX(Prob.Pago!FcDetalle,MATCH(A64,Prob.Pago!FcClave,0),7+(4*12)),"")</f>
        <v/>
      </c>
      <c r="P64" s="6"/>
      <c r="Q64" s="205"/>
      <c r="R64" s="205"/>
      <c r="S64" s="205"/>
      <c r="T64" s="205"/>
      <c r="U64" s="205"/>
      <c r="V64" s="242"/>
    </row>
    <row r="65" spans="1:22" ht="12" hidden="1" customHeight="1" outlineLevel="1" x14ac:dyDescent="0.2">
      <c r="A65" s="229" t="str">
        <f>IF($I$10="-","",$I$10)</f>
        <v/>
      </c>
      <c r="B65" s="230" t="str">
        <f>IFERROR(INDEX(Maestro!FcDetalle,MATCH(A65,Maestro!FcClave,0),5),"")</f>
        <v/>
      </c>
      <c r="C65" s="231" t="str">
        <f>IFERROR(INDEX(Prob.Pago!FcDetalle,MATCH(A65,Prob.Pago!FcClave,0),7+(4*0)),"")</f>
        <v/>
      </c>
      <c r="D65" s="231" t="str">
        <f>IFERROR(INDEX(Prob.Pago!FcDetalle,MATCH(A65,Prob.Pago!FcClave,0),7+(4*1)),"")</f>
        <v/>
      </c>
      <c r="E65" s="231" t="str">
        <f>IFERROR(INDEX(Prob.Pago!FcDetalle,MATCH(A65,Prob.Pago!FcClave,0),7+(4*2)),"")</f>
        <v/>
      </c>
      <c r="F65" s="231" t="str">
        <f>IFERROR(INDEX(Prob.Pago!FcDetalle,MATCH(A65,Prob.Pago!FcClave,0),7+(4*3)),"")</f>
        <v/>
      </c>
      <c r="G65" s="231" t="str">
        <f>IFERROR(INDEX(Prob.Pago!FcDetalle,MATCH(A65,Prob.Pago!FcClave,0),7+(4*4)),"")</f>
        <v/>
      </c>
      <c r="H65" s="231" t="str">
        <f>IFERROR(INDEX(Prob.Pago!FcDetalle,MATCH(A65,Prob.Pago!FcClave,0),7+(4*5)),"")</f>
        <v/>
      </c>
      <c r="I65" s="231" t="str">
        <f>IFERROR(INDEX(Prob.Pago!FcDetalle,MATCH(A65,Prob.Pago!FcClave,0),7+(4*6)),"")</f>
        <v/>
      </c>
      <c r="J65" s="231" t="str">
        <f>IFERROR(INDEX(Prob.Pago!FcDetalle,MATCH(A65,Prob.Pago!FcClave,0),7+(4*7)),"")</f>
        <v/>
      </c>
      <c r="K65" s="231" t="str">
        <f>IFERROR(INDEX(Prob.Pago!FcDetalle,MATCH(A65,Prob.Pago!FcClave,0),7+(4*8)),"")</f>
        <v/>
      </c>
      <c r="L65" s="231" t="str">
        <f>IFERROR(INDEX(Prob.Pago!FcDetalle,MATCH(A65,Prob.Pago!FcClave,0),7+(4*9)),"")</f>
        <v/>
      </c>
      <c r="M65" s="231" t="str">
        <f>IFERROR(INDEX(Prob.Pago!FcDetalle,MATCH(A65,Prob.Pago!FcClave,0),7+(4*10)),"")</f>
        <v/>
      </c>
      <c r="N65" s="231" t="str">
        <f>IFERROR(INDEX(Prob.Pago!FcDetalle,MATCH(A65,Prob.Pago!FcClave,0),7+(4*11)),"")</f>
        <v/>
      </c>
      <c r="O65" s="231" t="str">
        <f>IFERROR(INDEX(Prob.Pago!FcDetalle,MATCH(A65,Prob.Pago!FcClave,0),7+(4*12)),"")</f>
        <v/>
      </c>
      <c r="P65" s="6"/>
      <c r="Q65" s="205"/>
      <c r="R65" s="205"/>
      <c r="S65" s="205"/>
      <c r="T65" s="205"/>
      <c r="U65" s="205"/>
      <c r="V65" s="242"/>
    </row>
    <row r="66" spans="1:22" ht="12" hidden="1" customHeight="1" outlineLevel="1" x14ac:dyDescent="0.2">
      <c r="A66" s="229" t="str">
        <f>IF($J$10="-","",$J$10)</f>
        <v/>
      </c>
      <c r="B66" s="230" t="str">
        <f>IFERROR(INDEX(Maestro!FcDetalle,MATCH(A66,Maestro!FcClave,0),5),"")</f>
        <v/>
      </c>
      <c r="C66" s="231" t="str">
        <f>IFERROR(INDEX(Prob.Pago!FcDetalle,MATCH(A66,Prob.Pago!FcClave,0),7+(4*0)),"")</f>
        <v/>
      </c>
      <c r="D66" s="231" t="str">
        <f>IFERROR(INDEX(Prob.Pago!FcDetalle,MATCH(A66,Prob.Pago!FcClave,0),7+(4*1)),"")</f>
        <v/>
      </c>
      <c r="E66" s="231" t="str">
        <f>IFERROR(INDEX(Prob.Pago!FcDetalle,MATCH(A66,Prob.Pago!FcClave,0),7+(4*2)),"")</f>
        <v/>
      </c>
      <c r="F66" s="231" t="str">
        <f>IFERROR(INDEX(Prob.Pago!FcDetalle,MATCH(A66,Prob.Pago!FcClave,0),7+(4*3)),"")</f>
        <v/>
      </c>
      <c r="G66" s="231" t="str">
        <f>IFERROR(INDEX(Prob.Pago!FcDetalle,MATCH(A66,Prob.Pago!FcClave,0),7+(4*4)),"")</f>
        <v/>
      </c>
      <c r="H66" s="231" t="str">
        <f>IFERROR(INDEX(Prob.Pago!FcDetalle,MATCH(A66,Prob.Pago!FcClave,0),7+(4*5)),"")</f>
        <v/>
      </c>
      <c r="I66" s="231" t="str">
        <f>IFERROR(INDEX(Prob.Pago!FcDetalle,MATCH(A66,Prob.Pago!FcClave,0),7+(4*6)),"")</f>
        <v/>
      </c>
      <c r="J66" s="231" t="str">
        <f>IFERROR(INDEX(Prob.Pago!FcDetalle,MATCH(A66,Prob.Pago!FcClave,0),7+(4*7)),"")</f>
        <v/>
      </c>
      <c r="K66" s="231" t="str">
        <f>IFERROR(INDEX(Prob.Pago!FcDetalle,MATCH(A66,Prob.Pago!FcClave,0),7+(4*8)),"")</f>
        <v/>
      </c>
      <c r="L66" s="231" t="str">
        <f>IFERROR(INDEX(Prob.Pago!FcDetalle,MATCH(A66,Prob.Pago!FcClave,0),7+(4*9)),"")</f>
        <v/>
      </c>
      <c r="M66" s="231" t="str">
        <f>IFERROR(INDEX(Prob.Pago!FcDetalle,MATCH(A66,Prob.Pago!FcClave,0),7+(4*10)),"")</f>
        <v/>
      </c>
      <c r="N66" s="231" t="str">
        <f>IFERROR(INDEX(Prob.Pago!FcDetalle,MATCH(A66,Prob.Pago!FcClave,0),7+(4*11)),"")</f>
        <v/>
      </c>
      <c r="O66" s="231" t="str">
        <f>IFERROR(INDEX(Prob.Pago!FcDetalle,MATCH(A66,Prob.Pago!FcClave,0),7+(4*12)),"")</f>
        <v/>
      </c>
      <c r="P66" s="6"/>
      <c r="Q66" s="205"/>
      <c r="R66" s="205"/>
      <c r="S66" s="205"/>
      <c r="T66" s="205"/>
      <c r="U66" s="205"/>
      <c r="V66" s="242"/>
    </row>
    <row r="67" spans="1:22" ht="12" hidden="1" customHeight="1" outlineLevel="1" x14ac:dyDescent="0.2">
      <c r="A67" s="229" t="str">
        <f>IF($K$10="-","",$K$10)</f>
        <v/>
      </c>
      <c r="B67" s="230" t="str">
        <f>IFERROR(INDEX(Maestro!FcDetalle,MATCH(A67,Maestro!FcClave,0),5),"")</f>
        <v/>
      </c>
      <c r="C67" s="231" t="str">
        <f>IFERROR(INDEX(Prob.Pago!FcDetalle,MATCH(A67,Prob.Pago!FcClave,0),7+(4*0)),"")</f>
        <v/>
      </c>
      <c r="D67" s="231" t="str">
        <f>IFERROR(INDEX(Prob.Pago!FcDetalle,MATCH(A67,Prob.Pago!FcClave,0),7+(4*1)),"")</f>
        <v/>
      </c>
      <c r="E67" s="231" t="str">
        <f>IFERROR(INDEX(Prob.Pago!FcDetalle,MATCH(A67,Prob.Pago!FcClave,0),7+(4*2)),"")</f>
        <v/>
      </c>
      <c r="F67" s="231" t="str">
        <f>IFERROR(INDEX(Prob.Pago!FcDetalle,MATCH(A67,Prob.Pago!FcClave,0),7+(4*3)),"")</f>
        <v/>
      </c>
      <c r="G67" s="231" t="str">
        <f>IFERROR(INDEX(Prob.Pago!FcDetalle,MATCH(A67,Prob.Pago!FcClave,0),7+(4*4)),"")</f>
        <v/>
      </c>
      <c r="H67" s="231" t="str">
        <f>IFERROR(INDEX(Prob.Pago!FcDetalle,MATCH(A67,Prob.Pago!FcClave,0),7+(4*5)),"")</f>
        <v/>
      </c>
      <c r="I67" s="231" t="str">
        <f>IFERROR(INDEX(Prob.Pago!FcDetalle,MATCH(A67,Prob.Pago!FcClave,0),7+(4*6)),"")</f>
        <v/>
      </c>
      <c r="J67" s="231" t="str">
        <f>IFERROR(INDEX(Prob.Pago!FcDetalle,MATCH(A67,Prob.Pago!FcClave,0),7+(4*7)),"")</f>
        <v/>
      </c>
      <c r="K67" s="231" t="str">
        <f>IFERROR(INDEX(Prob.Pago!FcDetalle,MATCH(A67,Prob.Pago!FcClave,0),7+(4*8)),"")</f>
        <v/>
      </c>
      <c r="L67" s="231" t="str">
        <f>IFERROR(INDEX(Prob.Pago!FcDetalle,MATCH(A67,Prob.Pago!FcClave,0),7+(4*9)),"")</f>
        <v/>
      </c>
      <c r="M67" s="231" t="str">
        <f>IFERROR(INDEX(Prob.Pago!FcDetalle,MATCH(A67,Prob.Pago!FcClave,0),7+(4*10)),"")</f>
        <v/>
      </c>
      <c r="N67" s="231" t="str">
        <f>IFERROR(INDEX(Prob.Pago!FcDetalle,MATCH(A67,Prob.Pago!FcClave,0),7+(4*11)),"")</f>
        <v/>
      </c>
      <c r="O67" s="231" t="str">
        <f>IFERROR(INDEX(Prob.Pago!FcDetalle,MATCH(A67,Prob.Pago!FcClave,0),7+(4*12)),"")</f>
        <v/>
      </c>
      <c r="P67" s="6"/>
      <c r="Q67" s="205"/>
      <c r="R67" s="205"/>
      <c r="S67" s="205"/>
      <c r="T67" s="205"/>
      <c r="U67" s="205"/>
      <c r="V67" s="242"/>
    </row>
    <row r="68" spans="1:22" ht="12" hidden="1" customHeight="1" outlineLevel="1" x14ac:dyDescent="0.2">
      <c r="A68" s="229" t="str">
        <f>IF($I$9="-","",$I$9)</f>
        <v/>
      </c>
      <c r="B68" s="230" t="str">
        <f>IFERROR(INDEX(Maestro!FcDetalle,MATCH(A68,Maestro!FcClave,0),5),"")</f>
        <v/>
      </c>
      <c r="C68" s="231" t="str">
        <f>IFERROR(INDEX(Prob.Pago!FcDetalle,MATCH(A68,Prob.Pago!FcClave,0),7+(4*0)),"")</f>
        <v/>
      </c>
      <c r="D68" s="231" t="str">
        <f>IFERROR(INDEX(Prob.Pago!FcDetalle,MATCH(A68,Prob.Pago!FcClave,0),7+(4*1)),"")</f>
        <v/>
      </c>
      <c r="E68" s="231" t="str">
        <f>IFERROR(INDEX(Prob.Pago!FcDetalle,MATCH(A68,Prob.Pago!FcClave,0),7+(4*2)),"")</f>
        <v/>
      </c>
      <c r="F68" s="231" t="str">
        <f>IFERROR(INDEX(Prob.Pago!FcDetalle,MATCH(A68,Prob.Pago!FcClave,0),7+(4*3)),"")</f>
        <v/>
      </c>
      <c r="G68" s="231" t="str">
        <f>IFERROR(INDEX(Prob.Pago!FcDetalle,MATCH(A68,Prob.Pago!FcClave,0),7+(4*4)),"")</f>
        <v/>
      </c>
      <c r="H68" s="231" t="str">
        <f>IFERROR(INDEX(Prob.Pago!FcDetalle,MATCH(A68,Prob.Pago!FcClave,0),7+(4*5)),"")</f>
        <v/>
      </c>
      <c r="I68" s="231" t="str">
        <f>IFERROR(INDEX(Prob.Pago!FcDetalle,MATCH(A68,Prob.Pago!FcClave,0),7+(4*6)),"")</f>
        <v/>
      </c>
      <c r="J68" s="231" t="str">
        <f>IFERROR(INDEX(Prob.Pago!FcDetalle,MATCH(A68,Prob.Pago!FcClave,0),7+(4*7)),"")</f>
        <v/>
      </c>
      <c r="K68" s="231" t="str">
        <f>IFERROR(INDEX(Prob.Pago!FcDetalle,MATCH(A68,Prob.Pago!FcClave,0),7+(4*8)),"")</f>
        <v/>
      </c>
      <c r="L68" s="231" t="str">
        <f>IFERROR(INDEX(Prob.Pago!FcDetalle,MATCH(A68,Prob.Pago!FcClave,0),7+(4*9)),"")</f>
        <v/>
      </c>
      <c r="M68" s="231" t="str">
        <f>IFERROR(INDEX(Prob.Pago!FcDetalle,MATCH(A68,Prob.Pago!FcClave,0),7+(4*10)),"")</f>
        <v/>
      </c>
      <c r="N68" s="231" t="str">
        <f>IFERROR(INDEX(Prob.Pago!FcDetalle,MATCH(A68,Prob.Pago!FcClave,0),7+(4*11)),"")</f>
        <v/>
      </c>
      <c r="O68" s="231" t="str">
        <f>IFERROR(INDEX(Prob.Pago!FcDetalle,MATCH(A68,Prob.Pago!FcClave,0),7+(4*12)),"")</f>
        <v/>
      </c>
      <c r="P68" s="6"/>
      <c r="Q68" s="205"/>
      <c r="R68" s="205"/>
      <c r="S68" s="205"/>
      <c r="T68" s="205"/>
      <c r="U68" s="205"/>
      <c r="V68" s="242"/>
    </row>
    <row r="69" spans="1:22" ht="12" hidden="1" customHeight="1" outlineLevel="1" x14ac:dyDescent="0.2">
      <c r="A69" s="229" t="str">
        <f>IF($J$9="-","",$J$9)</f>
        <v/>
      </c>
      <c r="B69" s="230" t="str">
        <f>IFERROR(INDEX(Maestro!FcDetalle,MATCH(A69,Maestro!FcClave,0),5),"")</f>
        <v/>
      </c>
      <c r="C69" s="231" t="str">
        <f>IFERROR(INDEX(Prob.Pago!FcDetalle,MATCH(A69,Prob.Pago!FcClave,0),7+(4*0)),"")</f>
        <v/>
      </c>
      <c r="D69" s="231" t="str">
        <f>IFERROR(INDEX(Prob.Pago!FcDetalle,MATCH(A69,Prob.Pago!FcClave,0),7+(4*1)),"")</f>
        <v/>
      </c>
      <c r="E69" s="231" t="str">
        <f>IFERROR(INDEX(Prob.Pago!FcDetalle,MATCH(A69,Prob.Pago!FcClave,0),7+(4*2)),"")</f>
        <v/>
      </c>
      <c r="F69" s="231" t="str">
        <f>IFERROR(INDEX(Prob.Pago!FcDetalle,MATCH(A69,Prob.Pago!FcClave,0),7+(4*3)),"")</f>
        <v/>
      </c>
      <c r="G69" s="231" t="str">
        <f>IFERROR(INDEX(Prob.Pago!FcDetalle,MATCH(A69,Prob.Pago!FcClave,0),7+(4*4)),"")</f>
        <v/>
      </c>
      <c r="H69" s="231" t="str">
        <f>IFERROR(INDEX(Prob.Pago!FcDetalle,MATCH(A69,Prob.Pago!FcClave,0),7+(4*5)),"")</f>
        <v/>
      </c>
      <c r="I69" s="231" t="str">
        <f>IFERROR(INDEX(Prob.Pago!FcDetalle,MATCH(A69,Prob.Pago!FcClave,0),7+(4*6)),"")</f>
        <v/>
      </c>
      <c r="J69" s="231" t="str">
        <f>IFERROR(INDEX(Prob.Pago!FcDetalle,MATCH(A69,Prob.Pago!FcClave,0),7+(4*7)),"")</f>
        <v/>
      </c>
      <c r="K69" s="231" t="str">
        <f>IFERROR(INDEX(Prob.Pago!FcDetalle,MATCH(A69,Prob.Pago!FcClave,0),7+(4*8)),"")</f>
        <v/>
      </c>
      <c r="L69" s="231" t="str">
        <f>IFERROR(INDEX(Prob.Pago!FcDetalle,MATCH(A69,Prob.Pago!FcClave,0),7+(4*9)),"")</f>
        <v/>
      </c>
      <c r="M69" s="231" t="str">
        <f>IFERROR(INDEX(Prob.Pago!FcDetalle,MATCH(A69,Prob.Pago!FcClave,0),7+(4*10)),"")</f>
        <v/>
      </c>
      <c r="N69" s="231" t="str">
        <f>IFERROR(INDEX(Prob.Pago!FcDetalle,MATCH(A69,Prob.Pago!FcClave,0),7+(4*11)),"")</f>
        <v/>
      </c>
      <c r="O69" s="231" t="str">
        <f>IFERROR(INDEX(Prob.Pago!FcDetalle,MATCH(A69,Prob.Pago!FcClave,0),7+(4*12)),"")</f>
        <v/>
      </c>
      <c r="P69" s="6"/>
      <c r="Q69" s="205"/>
      <c r="R69" s="205"/>
      <c r="S69" s="205"/>
      <c r="T69" s="205"/>
      <c r="U69" s="205"/>
      <c r="V69" s="242"/>
    </row>
    <row r="70" spans="1:22" ht="12" hidden="1" customHeight="1" outlineLevel="1" thickBot="1" x14ac:dyDescent="0.25">
      <c r="A70" s="229" t="str">
        <f>IF($K$9="-","",$K$9)</f>
        <v/>
      </c>
      <c r="B70" s="230" t="str">
        <f>IFERROR(INDEX(Maestro!FcDetalle,MATCH(A70,Maestro!FcClave,0),5),"")</f>
        <v/>
      </c>
      <c r="C70" s="231" t="str">
        <f>IFERROR(INDEX(Prob.Pago!FcDetalle,MATCH(A70,Prob.Pago!FcClave,0),7+(4*0)),"")</f>
        <v/>
      </c>
      <c r="D70" s="231" t="str">
        <f>IFERROR(INDEX(Prob.Pago!FcDetalle,MATCH(A70,Prob.Pago!FcClave,0),7+(4*1)),"")</f>
        <v/>
      </c>
      <c r="E70" s="231" t="str">
        <f>IFERROR(INDEX(Prob.Pago!FcDetalle,MATCH(A70,Prob.Pago!FcClave,0),7+(4*2)),"")</f>
        <v/>
      </c>
      <c r="F70" s="231" t="str">
        <f>IFERROR(INDEX(Prob.Pago!FcDetalle,MATCH(A70,Prob.Pago!FcClave,0),7+(4*3)),"")</f>
        <v/>
      </c>
      <c r="G70" s="231" t="str">
        <f>IFERROR(INDEX(Prob.Pago!FcDetalle,MATCH(A70,Prob.Pago!FcClave,0),7+(4*4)),"")</f>
        <v/>
      </c>
      <c r="H70" s="231" t="str">
        <f>IFERROR(INDEX(Prob.Pago!FcDetalle,MATCH(A70,Prob.Pago!FcClave,0),7+(4*5)),"")</f>
        <v/>
      </c>
      <c r="I70" s="231" t="str">
        <f>IFERROR(INDEX(Prob.Pago!FcDetalle,MATCH(A70,Prob.Pago!FcClave,0),7+(4*6)),"")</f>
        <v/>
      </c>
      <c r="J70" s="231" t="str">
        <f>IFERROR(INDEX(Prob.Pago!FcDetalle,MATCH(A70,Prob.Pago!FcClave,0),7+(4*7)),"")</f>
        <v/>
      </c>
      <c r="K70" s="231" t="str">
        <f>IFERROR(INDEX(Prob.Pago!FcDetalle,MATCH(A70,Prob.Pago!FcClave,0),7+(4*8)),"")</f>
        <v/>
      </c>
      <c r="L70" s="231" t="str">
        <f>IFERROR(INDEX(Prob.Pago!FcDetalle,MATCH(A70,Prob.Pago!FcClave,0),7+(4*9)),"")</f>
        <v/>
      </c>
      <c r="M70" s="231" t="str">
        <f>IFERROR(INDEX(Prob.Pago!FcDetalle,MATCH(A70,Prob.Pago!FcClave,0),7+(4*10)),"")</f>
        <v/>
      </c>
      <c r="N70" s="231" t="str">
        <f>IFERROR(INDEX(Prob.Pago!FcDetalle,MATCH(A70,Prob.Pago!FcClave,0),7+(4*11)),"")</f>
        <v/>
      </c>
      <c r="O70" s="231" t="str">
        <f>IFERROR(INDEX(Prob.Pago!FcDetalle,MATCH(A70,Prob.Pago!FcClave,0),7+(4*12)),"")</f>
        <v/>
      </c>
      <c r="P70" s="6"/>
      <c r="Q70" s="205"/>
      <c r="R70" s="205"/>
      <c r="S70" s="205"/>
      <c r="T70" s="205"/>
      <c r="U70" s="205"/>
      <c r="V70" s="242"/>
    </row>
    <row r="71" spans="1:22" ht="12" customHeight="1" collapsed="1" thickBot="1" x14ac:dyDescent="0.25">
      <c r="A71" s="203" t="s">
        <v>39</v>
      </c>
      <c r="B71" s="204"/>
      <c r="C71" s="241">
        <f>SUM(C61:C70)</f>
        <v>0</v>
      </c>
      <c r="D71" s="241">
        <f t="shared" ref="D71:O71" si="7">SUM(D61:D70)</f>
        <v>0</v>
      </c>
      <c r="E71" s="241">
        <f t="shared" si="7"/>
        <v>0</v>
      </c>
      <c r="F71" s="241">
        <f t="shared" si="7"/>
        <v>0</v>
      </c>
      <c r="G71" s="241">
        <f t="shared" si="7"/>
        <v>0</v>
      </c>
      <c r="H71" s="241">
        <f t="shared" si="7"/>
        <v>0</v>
      </c>
      <c r="I71" s="241">
        <f t="shared" si="7"/>
        <v>0</v>
      </c>
      <c r="J71" s="241">
        <f t="shared" si="7"/>
        <v>0</v>
      </c>
      <c r="K71" s="241">
        <f t="shared" si="7"/>
        <v>0</v>
      </c>
      <c r="L71" s="241">
        <f t="shared" si="7"/>
        <v>0</v>
      </c>
      <c r="M71" s="241">
        <f t="shared" si="7"/>
        <v>0</v>
      </c>
      <c r="N71" s="241">
        <f t="shared" si="7"/>
        <v>0</v>
      </c>
      <c r="O71" s="241">
        <f t="shared" si="7"/>
        <v>0</v>
      </c>
      <c r="P71" s="6"/>
      <c r="Q71" s="205"/>
      <c r="R71" s="205"/>
      <c r="S71" s="205"/>
      <c r="T71" s="205"/>
      <c r="U71" s="205"/>
      <c r="V71" s="242"/>
    </row>
    <row r="72" spans="1:22" ht="12" customHeight="1" thickBot="1" x14ac:dyDescent="0.25">
      <c r="A72" s="47" t="s">
        <v>18</v>
      </c>
      <c r="B72" s="82"/>
      <c r="C72" s="46"/>
      <c r="D72" s="99" t="str">
        <f t="shared" ref="D72:O72" si="8">IF(AND(D23&lt;C23,D34&gt;C34,(D34-C34)&gt;0.25*(C23-D23)),"Alerta","")</f>
        <v/>
      </c>
      <c r="E72" s="99" t="str">
        <f t="shared" si="8"/>
        <v/>
      </c>
      <c r="F72" s="99" t="str">
        <f t="shared" si="8"/>
        <v/>
      </c>
      <c r="G72" s="99" t="str">
        <f t="shared" si="8"/>
        <v/>
      </c>
      <c r="H72" s="99" t="str">
        <f t="shared" si="8"/>
        <v/>
      </c>
      <c r="I72" s="99" t="str">
        <f t="shared" si="8"/>
        <v/>
      </c>
      <c r="J72" s="99" t="str">
        <f t="shared" si="8"/>
        <v/>
      </c>
      <c r="K72" s="99" t="str">
        <f t="shared" si="8"/>
        <v/>
      </c>
      <c r="L72" s="99" t="str">
        <f t="shared" si="8"/>
        <v/>
      </c>
      <c r="M72" s="99" t="str">
        <f t="shared" si="8"/>
        <v/>
      </c>
      <c r="N72" s="99" t="str">
        <f t="shared" si="8"/>
        <v/>
      </c>
      <c r="O72" s="110" t="str">
        <f t="shared" si="8"/>
        <v/>
      </c>
      <c r="P72" s="6"/>
      <c r="V72" s="242"/>
    </row>
    <row r="73" spans="1:22" ht="15" hidden="1" x14ac:dyDescent="0.2">
      <c r="A73" s="48" t="s">
        <v>21</v>
      </c>
      <c r="B73" s="83"/>
      <c r="C73" s="69">
        <f>IF(ISERROR(AVERAGE(C23:D23)),"",AVERAGE(C23:D23))</f>
        <v>0</v>
      </c>
      <c r="D73" s="69">
        <f t="shared" ref="D73:N73" si="9">IF(ISERROR(AVERAGE(C23:E23)),"",AVERAGE(C23:E23))</f>
        <v>0</v>
      </c>
      <c r="E73" s="69">
        <f t="shared" si="9"/>
        <v>0</v>
      </c>
      <c r="F73" s="69">
        <f t="shared" si="9"/>
        <v>0</v>
      </c>
      <c r="G73" s="69">
        <f t="shared" si="9"/>
        <v>0</v>
      </c>
      <c r="H73" s="69">
        <f t="shared" si="9"/>
        <v>0</v>
      </c>
      <c r="I73" s="69">
        <f t="shared" si="9"/>
        <v>0</v>
      </c>
      <c r="J73" s="69">
        <f t="shared" si="9"/>
        <v>0</v>
      </c>
      <c r="K73" s="69">
        <f t="shared" si="9"/>
        <v>0</v>
      </c>
      <c r="L73" s="69">
        <f t="shared" si="9"/>
        <v>0</v>
      </c>
      <c r="M73" s="69">
        <f t="shared" si="9"/>
        <v>0</v>
      </c>
      <c r="N73" s="69">
        <f t="shared" si="9"/>
        <v>0</v>
      </c>
      <c r="O73" s="70"/>
      <c r="P73" s="6"/>
      <c r="V73" s="242"/>
    </row>
    <row r="74" spans="1:22" ht="15" hidden="1" x14ac:dyDescent="0.2">
      <c r="A74" s="49" t="s">
        <v>22</v>
      </c>
      <c r="B74" s="84"/>
      <c r="C74" s="71">
        <f>IF(ISERROR(AVERAGE(C34:D34)),"",AVERAGE(C34:D34))</f>
        <v>0</v>
      </c>
      <c r="D74" s="71">
        <f t="shared" ref="D74:N74" si="10">IF(ISERROR(AVERAGE(C34:E34)),"",AVERAGE(C34:E34))</f>
        <v>0</v>
      </c>
      <c r="E74" s="71">
        <f t="shared" si="10"/>
        <v>0</v>
      </c>
      <c r="F74" s="71">
        <f t="shared" si="10"/>
        <v>0</v>
      </c>
      <c r="G74" s="71">
        <f t="shared" si="10"/>
        <v>0</v>
      </c>
      <c r="H74" s="71">
        <f t="shared" si="10"/>
        <v>0</v>
      </c>
      <c r="I74" s="71">
        <f t="shared" si="10"/>
        <v>0</v>
      </c>
      <c r="J74" s="71">
        <f t="shared" si="10"/>
        <v>0</v>
      </c>
      <c r="K74" s="71">
        <f t="shared" si="10"/>
        <v>0</v>
      </c>
      <c r="L74" s="71">
        <f t="shared" si="10"/>
        <v>0</v>
      </c>
      <c r="M74" s="71">
        <f t="shared" si="10"/>
        <v>0</v>
      </c>
      <c r="N74" s="71">
        <f t="shared" si="10"/>
        <v>0</v>
      </c>
      <c r="O74" s="72"/>
      <c r="P74" s="6"/>
      <c r="V74" s="242"/>
    </row>
    <row r="75" spans="1:22" ht="15" hidden="1" x14ac:dyDescent="0.2">
      <c r="A75" s="134" t="s">
        <v>43</v>
      </c>
      <c r="B75" s="135"/>
      <c r="C75" s="71">
        <f>IF(ISERROR(AVERAGE(C45:D45)),"",AVERAGE(C45:D45))</f>
        <v>0</v>
      </c>
      <c r="D75" s="71">
        <f t="shared" ref="D75:N75" si="11">IF(ISERROR(AVERAGE(C45:E45)),"",AVERAGE(C45:E45))</f>
        <v>0</v>
      </c>
      <c r="E75" s="71">
        <f t="shared" si="11"/>
        <v>0</v>
      </c>
      <c r="F75" s="71">
        <f t="shared" si="11"/>
        <v>0</v>
      </c>
      <c r="G75" s="71">
        <f t="shared" si="11"/>
        <v>0</v>
      </c>
      <c r="H75" s="71">
        <f t="shared" si="11"/>
        <v>0</v>
      </c>
      <c r="I75" s="71">
        <f t="shared" si="11"/>
        <v>0</v>
      </c>
      <c r="J75" s="71">
        <f t="shared" si="11"/>
        <v>0</v>
      </c>
      <c r="K75" s="71">
        <f t="shared" si="11"/>
        <v>0</v>
      </c>
      <c r="L75" s="71">
        <f t="shared" si="11"/>
        <v>0</v>
      </c>
      <c r="M75" s="71">
        <f t="shared" si="11"/>
        <v>0</v>
      </c>
      <c r="N75" s="71">
        <f t="shared" si="11"/>
        <v>0</v>
      </c>
      <c r="O75" s="136"/>
      <c r="P75" s="6"/>
      <c r="V75" s="242"/>
    </row>
    <row r="76" spans="1:22" ht="15" hidden="1" x14ac:dyDescent="0.2">
      <c r="A76" s="134" t="s">
        <v>6</v>
      </c>
      <c r="B76" s="135"/>
      <c r="C76" s="71">
        <f>IF(ISERROR(AVERAGE(C56:D56)),"",AVERAGE(C56:D56))</f>
        <v>0</v>
      </c>
      <c r="D76" s="71">
        <f t="shared" ref="D76:N76" si="12">IF(ISERROR(AVERAGE(C56:E56)),"",AVERAGE(C56:E56))</f>
        <v>0</v>
      </c>
      <c r="E76" s="71">
        <f t="shared" si="12"/>
        <v>0</v>
      </c>
      <c r="F76" s="71">
        <f t="shared" si="12"/>
        <v>0</v>
      </c>
      <c r="G76" s="71">
        <f t="shared" si="12"/>
        <v>0</v>
      </c>
      <c r="H76" s="71">
        <f t="shared" si="12"/>
        <v>0</v>
      </c>
      <c r="I76" s="71">
        <f t="shared" si="12"/>
        <v>0</v>
      </c>
      <c r="J76" s="71">
        <f t="shared" si="12"/>
        <v>0</v>
      </c>
      <c r="K76" s="71">
        <f t="shared" si="12"/>
        <v>0</v>
      </c>
      <c r="L76" s="71">
        <f t="shared" si="12"/>
        <v>0</v>
      </c>
      <c r="M76" s="71">
        <f t="shared" si="12"/>
        <v>0</v>
      </c>
      <c r="N76" s="71">
        <f t="shared" si="12"/>
        <v>0</v>
      </c>
      <c r="O76" s="136"/>
      <c r="P76" s="6"/>
      <c r="V76" s="242"/>
    </row>
    <row r="77" spans="1:22" ht="15.75" hidden="1" thickBot="1" x14ac:dyDescent="0.25">
      <c r="A77" s="50" t="s">
        <v>23</v>
      </c>
      <c r="B77" s="85"/>
      <c r="C77" s="73">
        <f>IF(ISERROR(AVERAGE(C57:D57)),"",AVERAGE(C57:D57))</f>
        <v>0</v>
      </c>
      <c r="D77" s="73">
        <f t="shared" ref="D77:N77" si="13">IF(ISERROR(AVERAGE(C57:E57)),"",AVERAGE(C57:E57))</f>
        <v>0</v>
      </c>
      <c r="E77" s="73">
        <f t="shared" si="13"/>
        <v>0</v>
      </c>
      <c r="F77" s="73">
        <f t="shared" si="13"/>
        <v>0</v>
      </c>
      <c r="G77" s="73">
        <f t="shared" si="13"/>
        <v>0</v>
      </c>
      <c r="H77" s="73">
        <f t="shared" si="13"/>
        <v>0</v>
      </c>
      <c r="I77" s="73">
        <f t="shared" si="13"/>
        <v>0</v>
      </c>
      <c r="J77" s="73">
        <f t="shared" si="13"/>
        <v>0</v>
      </c>
      <c r="K77" s="73">
        <f t="shared" si="13"/>
        <v>0</v>
      </c>
      <c r="L77" s="73">
        <f t="shared" si="13"/>
        <v>0</v>
      </c>
      <c r="M77" s="73">
        <f t="shared" si="13"/>
        <v>0</v>
      </c>
      <c r="N77" s="73">
        <f t="shared" si="13"/>
        <v>0</v>
      </c>
      <c r="O77" s="74"/>
      <c r="P77" s="6"/>
      <c r="V77" s="242"/>
    </row>
    <row r="78" spans="1:22" ht="9.75" customHeight="1" x14ac:dyDescent="0.2">
      <c r="A78" s="7"/>
      <c r="B78" s="7"/>
      <c r="C78" s="7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137"/>
      <c r="R78" s="138"/>
      <c r="V78" s="242"/>
    </row>
    <row r="79" spans="1:22" x14ac:dyDescent="0.2">
      <c r="A79" s="7"/>
      <c r="B79" s="7"/>
      <c r="C79" s="41"/>
      <c r="D79" s="42" t="s">
        <v>9</v>
      </c>
      <c r="E79" s="7"/>
      <c r="F79" s="7"/>
      <c r="G79" s="7"/>
      <c r="H79" s="7"/>
      <c r="I79" s="15"/>
      <c r="L79" s="41"/>
      <c r="M79" s="7"/>
      <c r="N79" s="7"/>
      <c r="O79" s="7"/>
      <c r="P79" s="7"/>
      <c r="Q79" s="138"/>
      <c r="R79" s="138"/>
      <c r="V79" s="242"/>
    </row>
    <row r="80" spans="1:22" ht="12.75" customHeight="1" x14ac:dyDescent="0.2">
      <c r="A80" s="7"/>
      <c r="B80" s="7"/>
      <c r="C80" s="40" t="s">
        <v>21</v>
      </c>
      <c r="D80" s="11">
        <f>SUM(D23:O23)</f>
        <v>0</v>
      </c>
      <c r="E80" s="7"/>
      <c r="F80" s="7"/>
      <c r="G80" s="7"/>
      <c r="H80" s="7"/>
      <c r="I80" s="15"/>
      <c r="L80" s="40"/>
      <c r="M80" s="7"/>
      <c r="N80" s="7"/>
      <c r="O80" s="7"/>
      <c r="P80" s="9"/>
      <c r="Q80" s="129">
        <v>1</v>
      </c>
      <c r="R80" s="129"/>
      <c r="S80" s="129"/>
      <c r="T80" s="129"/>
      <c r="V80" s="242"/>
    </row>
    <row r="81" spans="1:23" ht="12.75" customHeight="1" x14ac:dyDescent="0.2">
      <c r="A81" s="7"/>
      <c r="B81" s="7"/>
      <c r="C81" s="40" t="s">
        <v>22</v>
      </c>
      <c r="D81" s="11">
        <f>SUM(D34:O34)</f>
        <v>0</v>
      </c>
      <c r="E81" s="7"/>
      <c r="F81" s="7"/>
      <c r="G81" s="7"/>
      <c r="H81" s="7"/>
      <c r="I81" s="15"/>
      <c r="L81" s="40"/>
      <c r="M81" s="7"/>
      <c r="N81" s="7"/>
      <c r="O81" s="7"/>
      <c r="P81" s="9"/>
      <c r="Q81" s="129"/>
      <c r="R81" s="129"/>
      <c r="S81" s="129"/>
      <c r="T81" s="129"/>
    </row>
    <row r="82" spans="1:23" ht="12.75" customHeight="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9"/>
      <c r="Q82" s="129"/>
      <c r="R82" s="102"/>
      <c r="S82" s="102"/>
      <c r="T82" s="129"/>
      <c r="V82" s="251">
        <v>1</v>
      </c>
    </row>
    <row r="83" spans="1:23" ht="12.75" customHeight="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9"/>
      <c r="Q83" s="100" t="b">
        <v>1</v>
      </c>
      <c r="R83" s="102"/>
      <c r="S83" s="102"/>
      <c r="T83" s="129"/>
      <c r="V83" s="251" t="b">
        <v>1</v>
      </c>
    </row>
    <row r="84" spans="1:23" ht="12.75" customHeight="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9"/>
      <c r="Q84" s="100" t="b">
        <v>1</v>
      </c>
      <c r="R84" s="102"/>
      <c r="S84" s="102"/>
      <c r="T84" s="129"/>
      <c r="V84" s="251" t="b">
        <v>1</v>
      </c>
    </row>
    <row r="85" spans="1:23" ht="12.75" customHeight="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9"/>
      <c r="Q85" s="100" t="b">
        <v>0</v>
      </c>
      <c r="R85" s="102"/>
      <c r="S85" s="102"/>
      <c r="T85" s="129"/>
      <c r="V85" s="251" t="b">
        <v>1</v>
      </c>
    </row>
    <row r="86" spans="1:23" ht="12.75" customHeight="1" x14ac:dyDescent="0.2">
      <c r="A86" s="7"/>
      <c r="B86" s="7"/>
      <c r="C86" s="7"/>
      <c r="D86" s="7"/>
      <c r="E86" s="7"/>
      <c r="F86" s="7"/>
      <c r="G86" s="7"/>
      <c r="H86" s="7"/>
      <c r="I86" s="7"/>
      <c r="J86" s="39"/>
      <c r="K86" s="7"/>
      <c r="L86" s="7"/>
      <c r="M86" s="7"/>
      <c r="N86" s="7"/>
      <c r="O86" s="7"/>
      <c r="P86" s="9"/>
      <c r="Q86" s="101" t="b">
        <v>0</v>
      </c>
      <c r="R86" s="102"/>
      <c r="S86" s="102"/>
      <c r="T86" s="129"/>
      <c r="V86" s="251" t="b">
        <v>0</v>
      </c>
    </row>
    <row r="87" spans="1:23" ht="12.75" customHeight="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9"/>
      <c r="Q87" s="129"/>
      <c r="R87" s="102"/>
      <c r="S87" s="102"/>
      <c r="T87" s="129"/>
      <c r="V87" s="251" t="b">
        <v>0</v>
      </c>
    </row>
    <row r="88" spans="1:23" ht="12.75" customHeight="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9"/>
      <c r="Q88" s="101" t="b">
        <v>1</v>
      </c>
      <c r="R88" s="102"/>
      <c r="S88" s="102"/>
      <c r="T88" s="129"/>
      <c r="V88" s="251" t="b">
        <v>0</v>
      </c>
      <c r="W88" s="183" t="b">
        <v>1</v>
      </c>
    </row>
    <row r="89" spans="1:23" ht="12.75" customHeight="1" thickBot="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9"/>
      <c r="Q89" s="323" t="s">
        <v>7</v>
      </c>
      <c r="R89" s="323"/>
      <c r="S89" s="323"/>
      <c r="T89" s="323"/>
      <c r="U89" s="323"/>
    </row>
    <row r="90" spans="1:23" ht="12.75" customHeight="1" thickBot="1" x14ac:dyDescent="0.25">
      <c r="A90" s="12" t="s">
        <v>24</v>
      </c>
      <c r="B90" s="13" t="s">
        <v>31</v>
      </c>
      <c r="C90" s="13">
        <f t="shared" ref="C90:N90" si="14">DATE(IF(MONTH(D90)=1,YEAR(D90)-1,YEAR(D90)),IF(MONTH(D90)=1,12,MONTH(D90)-1),1)</f>
        <v>41548</v>
      </c>
      <c r="D90" s="13">
        <f t="shared" si="14"/>
        <v>41579</v>
      </c>
      <c r="E90" s="13">
        <f t="shared" si="14"/>
        <v>41609</v>
      </c>
      <c r="F90" s="13">
        <f t="shared" si="14"/>
        <v>41640</v>
      </c>
      <c r="G90" s="13">
        <f t="shared" si="14"/>
        <v>41671</v>
      </c>
      <c r="H90" s="13">
        <f t="shared" si="14"/>
        <v>41699</v>
      </c>
      <c r="I90" s="13">
        <f t="shared" si="14"/>
        <v>41730</v>
      </c>
      <c r="J90" s="13">
        <f t="shared" si="14"/>
        <v>41760</v>
      </c>
      <c r="K90" s="13">
        <f t="shared" si="14"/>
        <v>41791</v>
      </c>
      <c r="L90" s="13">
        <f t="shared" si="14"/>
        <v>41821</v>
      </c>
      <c r="M90" s="13">
        <f t="shared" si="14"/>
        <v>41852</v>
      </c>
      <c r="N90" s="13">
        <f t="shared" si="14"/>
        <v>41883</v>
      </c>
      <c r="O90" s="14">
        <f>DATE(YEAR(FcFecha),MONTH(FcFecha),1)</f>
        <v>41913</v>
      </c>
      <c r="P90" s="9"/>
      <c r="Q90" s="139">
        <f>R90-1</f>
        <v>2010</v>
      </c>
      <c r="R90" s="140">
        <f>S90-1</f>
        <v>2011</v>
      </c>
      <c r="S90" s="140">
        <f>T90-1</f>
        <v>2012</v>
      </c>
      <c r="T90" s="140">
        <f>U90-1</f>
        <v>2013</v>
      </c>
      <c r="U90" s="141">
        <f>YEAR($A$4)</f>
        <v>2014</v>
      </c>
    </row>
    <row r="91" spans="1:23" s="7" customFormat="1" ht="12.75" hidden="1" customHeight="1" outlineLevel="1" x14ac:dyDescent="0.2">
      <c r="A91" s="43" t="str">
        <f>IF($E$10="-",$C$4,$E$10)</f>
        <v/>
      </c>
      <c r="B91" s="98" t="str">
        <f>IFERROR(INDEX(Maestro!FcDetalle,MATCH(A91,Maestro!FcClave,0),5),"")</f>
        <v/>
      </c>
      <c r="C91" s="111" t="str">
        <f>IFERROR(INDEX(Venta!FcDetalle,MATCH(CONCATENATE(A91,"LYS"),Venta!FcClave,0),FcInicioCantMes+0),"")</f>
        <v/>
      </c>
      <c r="D91" s="111" t="str">
        <f>IFERROR(INDEX(Venta!FcDetalle,MATCH(CONCATENATE(A91,"LYS"),Venta!FcClave,0),FcInicioCantMes+1),"")</f>
        <v/>
      </c>
      <c r="E91" s="111" t="str">
        <f>IFERROR(INDEX(Venta!FcDetalle,MATCH(CONCATENATE(A91,"LYS"),Venta!FcClave,0),FcInicioCantMes+2),"")</f>
        <v/>
      </c>
      <c r="F91" s="111" t="str">
        <f>IFERROR(INDEX(Venta!FcDetalle,MATCH(CONCATENATE(A91,"LYS"),Venta!FcClave,0),FcInicioCantMes+3),"")</f>
        <v/>
      </c>
      <c r="G91" s="111" t="str">
        <f>IFERROR(INDEX(Venta!FcDetalle,MATCH(CONCATENATE(A91,"LYS"),Venta!FcClave,0),FcInicioCantMes+4),"")</f>
        <v/>
      </c>
      <c r="H91" s="111" t="str">
        <f>IFERROR(INDEX(Venta!FcDetalle,MATCH(CONCATENATE(A91,"LYS"),Venta!FcClave,0),FcInicioCantMes+5),"")</f>
        <v/>
      </c>
      <c r="I91" s="111" t="str">
        <f>IFERROR(INDEX(Venta!FcDetalle,MATCH(CONCATENATE(A91,"LYS"),Venta!FcClave,0),FcInicioCantMes+6),"")</f>
        <v/>
      </c>
      <c r="J91" s="111" t="str">
        <f>IFERROR(INDEX(Venta!FcDetalle,MATCH(CONCATENATE(A91,"LYS"),Venta!FcClave,0),FcInicioCantMes+7),"")</f>
        <v/>
      </c>
      <c r="K91" s="111" t="str">
        <f>IFERROR(INDEX(Venta!FcDetalle,MATCH(CONCATENATE(A91,"LYS"),Venta!FcClave,0),FcInicioCantMes+8),"")</f>
        <v/>
      </c>
      <c r="L91" s="111" t="str">
        <f>IFERROR(INDEX(Venta!FcDetalle,MATCH(CONCATENATE(A91,"LYS"),Venta!FcClave,0),FcInicioCantMes+9),"")</f>
        <v/>
      </c>
      <c r="M91" s="111" t="str">
        <f>IFERROR(INDEX(Venta!FcDetalle,MATCH(CONCATENATE(A91,"LYS"),Venta!FcClave,0),FcInicioCantMes+10),"")</f>
        <v/>
      </c>
      <c r="N91" s="111" t="str">
        <f>IFERROR(INDEX(Venta!FcDetalle,MATCH(CONCATENATE(A91,"LYS"),Venta!FcClave,0),FcInicioCantMes+11),"")</f>
        <v/>
      </c>
      <c r="O91" s="112" t="str">
        <f>IFERROR(INDEX(Venta!FcDetalle,MATCH(CONCATENATE(A91,"LYS"),Venta!FcClave,0),FcInicioCantMes+12),"")</f>
        <v/>
      </c>
      <c r="P91" s="9"/>
      <c r="Q91" s="142" t="str">
        <f>IFERROR(INDEX(Venta!FcDetalle,MATCH(CONCATENATE(A91,"LYS"),Venta!FcClave,0),FcInicioCantAnual+0),"")</f>
        <v/>
      </c>
      <c r="R91" s="63" t="str">
        <f>IFERROR(INDEX(Venta!FcDetalle,MATCH(CONCATENATE(A91,"LYS"),Venta!FcClave,0),FcInicioCantAnual+1),"")</f>
        <v/>
      </c>
      <c r="S91" s="63" t="str">
        <f>IFERROR(INDEX(Venta!FcDetalle,MATCH(CONCATENATE(A91,"LYS"),Venta!FcClave,0),FcInicioCantAnual+2),"")</f>
        <v/>
      </c>
      <c r="T91" s="63" t="str">
        <f>IFERROR(INDEX(Venta!FcDetalle,MATCH(CONCATENATE(A91,"LYS"),Venta!FcClave,0),FcInicioCantAnual+3),"")</f>
        <v/>
      </c>
      <c r="U91" s="64" t="str">
        <f>IFERROR(IF(FcCheckProy=FALSE,INDEX(Venta!FcDetalle,MATCH(CONCATENATE(A91,"LYS"),Venta!FcClave,0),FcInicioCantAnual+4),INDEX(Venta!FcDetalle,MATCH(CONCATENATE(A91,"LYS"),Venta!FcClave,0),FcInicioCantAnual+5)),"")</f>
        <v/>
      </c>
    </row>
    <row r="92" spans="1:23" ht="12.75" hidden="1" customHeight="1" outlineLevel="1" x14ac:dyDescent="0.2">
      <c r="A92" s="43" t="str">
        <f>IF($F$10="-","",$F$10)</f>
        <v/>
      </c>
      <c r="B92" s="98" t="str">
        <f>IFERROR(INDEX(Maestro!FcDetalle,MATCH(A92,Maestro!FcClave,0),5),"")</f>
        <v/>
      </c>
      <c r="C92" s="111" t="str">
        <f>IFERROR(INDEX(Venta!FcDetalle,MATCH(CONCATENATE(A92,"LYS"),Venta!FcClave,0),FcInicioCantMes+0),"")</f>
        <v/>
      </c>
      <c r="D92" s="111" t="str">
        <f>IFERROR(INDEX(Venta!FcDetalle,MATCH(CONCATENATE(A92,"LYS"),Venta!FcClave,0),FcInicioCantMes+1),"")</f>
        <v/>
      </c>
      <c r="E92" s="111" t="str">
        <f>IFERROR(INDEX(Venta!FcDetalle,MATCH(CONCATENATE(A92,"LYS"),Venta!FcClave,0),FcInicioCantMes+2),"")</f>
        <v/>
      </c>
      <c r="F92" s="111" t="str">
        <f>IFERROR(INDEX(Venta!FcDetalle,MATCH(CONCATENATE(A92,"LYS"),Venta!FcClave,0),FcInicioCantMes+3),"")</f>
        <v/>
      </c>
      <c r="G92" s="111" t="str">
        <f>IFERROR(INDEX(Venta!FcDetalle,MATCH(CONCATENATE(A92,"LYS"),Venta!FcClave,0),FcInicioCantMes+4),"")</f>
        <v/>
      </c>
      <c r="H92" s="111" t="str">
        <f>IFERROR(INDEX(Venta!FcDetalle,MATCH(CONCATENATE(A92,"LYS"),Venta!FcClave,0),FcInicioCantMes+5),"")</f>
        <v/>
      </c>
      <c r="I92" s="111" t="str">
        <f>IFERROR(INDEX(Venta!FcDetalle,MATCH(CONCATENATE(A92,"LYS"),Venta!FcClave,0),FcInicioCantMes+6),"")</f>
        <v/>
      </c>
      <c r="J92" s="111" t="str">
        <f>IFERROR(INDEX(Venta!FcDetalle,MATCH(CONCATENATE(A92,"LYS"),Venta!FcClave,0),FcInicioCantMes+7),"")</f>
        <v/>
      </c>
      <c r="K92" s="111" t="str">
        <f>IFERROR(INDEX(Venta!FcDetalle,MATCH(CONCATENATE(A92,"LYS"),Venta!FcClave,0),FcInicioCantMes+8),"")</f>
        <v/>
      </c>
      <c r="L92" s="111" t="str">
        <f>IFERROR(INDEX(Venta!FcDetalle,MATCH(CONCATENATE(A92,"LYS"),Venta!FcClave,0),FcInicioCantMes+9),"")</f>
        <v/>
      </c>
      <c r="M92" s="111" t="str">
        <f>IFERROR(INDEX(Venta!FcDetalle,MATCH(CONCATENATE(A92,"LYS"),Venta!FcClave,0),FcInicioCantMes+10),"")</f>
        <v/>
      </c>
      <c r="N92" s="111" t="str">
        <f>IFERROR(INDEX(Venta!FcDetalle,MATCH(CONCATENATE(A92,"LYS"),Venta!FcClave,0),FcInicioCantMes+11),"")</f>
        <v/>
      </c>
      <c r="O92" s="112" t="str">
        <f>IFERROR(INDEX(Venta!FcDetalle,MATCH(CONCATENATE(A92,"LYS"),Venta!FcClave,0),FcInicioCantMes+12),"")</f>
        <v/>
      </c>
      <c r="P92" s="9"/>
      <c r="Q92" s="142" t="str">
        <f>IFERROR(INDEX(Venta!FcDetalle,MATCH(CONCATENATE(A92,"LYS"),Venta!FcClave,0),FcInicioCantAnual+0),"")</f>
        <v/>
      </c>
      <c r="R92" s="63" t="str">
        <f>IFERROR(INDEX(Venta!FcDetalle,MATCH(CONCATENATE(A92,"LYS"),Venta!FcClave,0),FcInicioCantAnual+1),"")</f>
        <v/>
      </c>
      <c r="S92" s="63" t="str">
        <f>IFERROR(INDEX(Venta!FcDetalle,MATCH(CONCATENATE(A92,"LYS"),Venta!FcClave,0),FcInicioCantAnual+2),"")</f>
        <v/>
      </c>
      <c r="T92" s="63" t="str">
        <f>IFERROR(INDEX(Venta!FcDetalle,MATCH(CONCATENATE(A92,"LYS"),Venta!FcClave,0),FcInicioCantAnual+3),"")</f>
        <v/>
      </c>
      <c r="U92" s="64" t="str">
        <f>IFERROR(IF(FcCheckProy=FALSE,INDEX(Venta!FcDetalle,MATCH(CONCATENATE(A92,"LYS"),Venta!FcClave,0),FcInicioCantAnual+4),INDEX(Venta!FcDetalle,MATCH(CONCATENATE(A92,"LYS"),Venta!FcClave,0),FcInicioCantAnual+5)),"")</f>
        <v/>
      </c>
    </row>
    <row r="93" spans="1:23" ht="15" hidden="1" customHeight="1" outlineLevel="1" x14ac:dyDescent="0.2">
      <c r="A93" s="43" t="str">
        <f>IF($G$10="-","",$G$10)</f>
        <v/>
      </c>
      <c r="B93" s="98" t="str">
        <f>IFERROR(INDEX(Maestro!FcDetalle,MATCH(A93,Maestro!FcClave,0),5),"")</f>
        <v/>
      </c>
      <c r="C93" s="111" t="str">
        <f>IFERROR(INDEX(Venta!FcDetalle,MATCH(CONCATENATE(A93,"LYS"),Venta!FcClave,0),FcInicioCantMes+0),"")</f>
        <v/>
      </c>
      <c r="D93" s="111" t="str">
        <f>IFERROR(INDEX(Venta!FcDetalle,MATCH(CONCATENATE(A93,"LYS"),Venta!FcClave,0),FcInicioCantMes+1),"")</f>
        <v/>
      </c>
      <c r="E93" s="111" t="str">
        <f>IFERROR(INDEX(Venta!FcDetalle,MATCH(CONCATENATE(A93,"LYS"),Venta!FcClave,0),FcInicioCantMes+2),"")</f>
        <v/>
      </c>
      <c r="F93" s="111" t="str">
        <f>IFERROR(INDEX(Venta!FcDetalle,MATCH(CONCATENATE(A93,"LYS"),Venta!FcClave,0),FcInicioCantMes+3),"")</f>
        <v/>
      </c>
      <c r="G93" s="111" t="str">
        <f>IFERROR(INDEX(Venta!FcDetalle,MATCH(CONCATENATE(A93,"LYS"),Venta!FcClave,0),FcInicioCantMes+4),"")</f>
        <v/>
      </c>
      <c r="H93" s="111" t="str">
        <f>IFERROR(INDEX(Venta!FcDetalle,MATCH(CONCATENATE(A93,"LYS"),Venta!FcClave,0),FcInicioCantMes+5),"")</f>
        <v/>
      </c>
      <c r="I93" s="111" t="str">
        <f>IFERROR(INDEX(Venta!FcDetalle,MATCH(CONCATENATE(A93,"LYS"),Venta!FcClave,0),FcInicioCantMes+6),"")</f>
        <v/>
      </c>
      <c r="J93" s="111" t="str">
        <f>IFERROR(INDEX(Venta!FcDetalle,MATCH(CONCATENATE(A93,"LYS"),Venta!FcClave,0),FcInicioCantMes+7),"")</f>
        <v/>
      </c>
      <c r="K93" s="111" t="str">
        <f>IFERROR(INDEX(Venta!FcDetalle,MATCH(CONCATENATE(A93,"LYS"),Venta!FcClave,0),FcInicioCantMes+8),"")</f>
        <v/>
      </c>
      <c r="L93" s="111" t="str">
        <f>IFERROR(INDEX(Venta!FcDetalle,MATCH(CONCATENATE(A93,"LYS"),Venta!FcClave,0),FcInicioCantMes+9),"")</f>
        <v/>
      </c>
      <c r="M93" s="111" t="str">
        <f>IFERROR(INDEX(Venta!FcDetalle,MATCH(CONCATENATE(A93,"LYS"),Venta!FcClave,0),FcInicioCantMes+10),"")</f>
        <v/>
      </c>
      <c r="N93" s="111" t="str">
        <f>IFERROR(INDEX(Venta!FcDetalle,MATCH(CONCATENATE(A93,"LYS"),Venta!FcClave,0),FcInicioCantMes+11),"")</f>
        <v/>
      </c>
      <c r="O93" s="112" t="str">
        <f>IFERROR(INDEX(Venta!FcDetalle,MATCH(CONCATENATE(A93,"LYS"),Venta!FcClave,0),FcInicioCantMes+12),"")</f>
        <v/>
      </c>
      <c r="Q93" s="142" t="str">
        <f>IFERROR(INDEX(Venta!FcDetalle,MATCH(CONCATENATE(A93,"LYS"),Venta!FcClave,0),FcInicioCantAnual+0),"")</f>
        <v/>
      </c>
      <c r="R93" s="63" t="str">
        <f>IFERROR(INDEX(Venta!FcDetalle,MATCH(CONCATENATE(A93,"LYS"),Venta!FcClave,0),FcInicioCantAnual+1),"")</f>
        <v/>
      </c>
      <c r="S93" s="63" t="str">
        <f>IFERROR(INDEX(Venta!FcDetalle,MATCH(CONCATENATE(A93,"LYS"),Venta!FcClave,0),FcInicioCantAnual+2),"")</f>
        <v/>
      </c>
      <c r="T93" s="63" t="str">
        <f>IFERROR(INDEX(Venta!FcDetalle,MATCH(CONCATENATE(A93,"LYS"),Venta!FcClave,0),FcInicioCantAnual+3),"")</f>
        <v/>
      </c>
      <c r="U93" s="64" t="str">
        <f>IFERROR(IF(FcCheckProy=FALSE,INDEX(Venta!FcDetalle,MATCH(CONCATENATE(A93,"LYS"),Venta!FcClave,0),FcInicioCantAnual+4),INDEX(Venta!FcDetalle,MATCH(CONCATENATE(A93,"LYS"),Venta!FcClave,0),FcInicioCantAnual+5)),"")</f>
        <v/>
      </c>
    </row>
    <row r="94" spans="1:23" hidden="1" outlineLevel="1" x14ac:dyDescent="0.2">
      <c r="A94" s="43" t="str">
        <f>IF($H$10="-","",$H$10)</f>
        <v/>
      </c>
      <c r="B94" s="98" t="str">
        <f>IFERROR(INDEX(Maestro!FcDetalle,MATCH(A94,Maestro!FcClave,0),5),"")</f>
        <v/>
      </c>
      <c r="C94" s="111" t="str">
        <f>IFERROR(INDEX(Venta!FcDetalle,MATCH(CONCATENATE(A94,"LYS"),Venta!FcClave,0),FcInicioCantMes+0),"")</f>
        <v/>
      </c>
      <c r="D94" s="111" t="str">
        <f>IFERROR(INDEX(Venta!FcDetalle,MATCH(CONCATENATE(A94,"LYS"),Venta!FcClave,0),FcInicioCantMes+1),"")</f>
        <v/>
      </c>
      <c r="E94" s="111" t="str">
        <f>IFERROR(INDEX(Venta!FcDetalle,MATCH(CONCATENATE(A94,"LYS"),Venta!FcClave,0),FcInicioCantMes+2),"")</f>
        <v/>
      </c>
      <c r="F94" s="111" t="str">
        <f>IFERROR(INDEX(Venta!FcDetalle,MATCH(CONCATENATE(A94,"LYS"),Venta!FcClave,0),FcInicioCantMes+3),"")</f>
        <v/>
      </c>
      <c r="G94" s="111" t="str">
        <f>IFERROR(INDEX(Venta!FcDetalle,MATCH(CONCATENATE(A94,"LYS"),Venta!FcClave,0),FcInicioCantMes+4),"")</f>
        <v/>
      </c>
      <c r="H94" s="111" t="str">
        <f>IFERROR(INDEX(Venta!FcDetalle,MATCH(CONCATENATE(A94,"LYS"),Venta!FcClave,0),FcInicioCantMes+5),"")</f>
        <v/>
      </c>
      <c r="I94" s="111" t="str">
        <f>IFERROR(INDEX(Venta!FcDetalle,MATCH(CONCATENATE(A94,"LYS"),Venta!FcClave,0),FcInicioCantMes+6),"")</f>
        <v/>
      </c>
      <c r="J94" s="111" t="str">
        <f>IFERROR(INDEX(Venta!FcDetalle,MATCH(CONCATENATE(A94,"LYS"),Venta!FcClave,0),FcInicioCantMes+7),"")</f>
        <v/>
      </c>
      <c r="K94" s="111" t="str">
        <f>IFERROR(INDEX(Venta!FcDetalle,MATCH(CONCATENATE(A94,"LYS"),Venta!FcClave,0),FcInicioCantMes+8),"")</f>
        <v/>
      </c>
      <c r="L94" s="111" t="str">
        <f>IFERROR(INDEX(Venta!FcDetalle,MATCH(CONCATENATE(A94,"LYS"),Venta!FcClave,0),FcInicioCantMes+9),"")</f>
        <v/>
      </c>
      <c r="M94" s="111" t="str">
        <f>IFERROR(INDEX(Venta!FcDetalle,MATCH(CONCATENATE(A94,"LYS"),Venta!FcClave,0),FcInicioCantMes+10),"")</f>
        <v/>
      </c>
      <c r="N94" s="111" t="str">
        <f>IFERROR(INDEX(Venta!FcDetalle,MATCH(CONCATENATE(A94,"LYS"),Venta!FcClave,0),FcInicioCantMes+11),"")</f>
        <v/>
      </c>
      <c r="O94" s="112" t="str">
        <f>IFERROR(INDEX(Venta!FcDetalle,MATCH(CONCATENATE(A94,"LYS"),Venta!FcClave,0),FcInicioCantMes+12),"")</f>
        <v/>
      </c>
      <c r="Q94" s="142" t="str">
        <f>IFERROR(INDEX(Venta!FcDetalle,MATCH(CONCATENATE(A94,"LYS"),Venta!FcClave,0),FcInicioCantAnual+0),"")</f>
        <v/>
      </c>
      <c r="R94" s="63" t="str">
        <f>IFERROR(INDEX(Venta!FcDetalle,MATCH(CONCATENATE(A94,"LYS"),Venta!FcClave,0),FcInicioCantAnual+1),"")</f>
        <v/>
      </c>
      <c r="S94" s="63" t="str">
        <f>IFERROR(INDEX(Venta!FcDetalle,MATCH(CONCATENATE(A94,"LYS"),Venta!FcClave,0),FcInicioCantAnual+2),"")</f>
        <v/>
      </c>
      <c r="T94" s="63" t="str">
        <f>IFERROR(INDEX(Venta!FcDetalle,MATCH(CONCATENATE(A94,"LYS"),Venta!FcClave,0),FcInicioCantAnual+3),"")</f>
        <v/>
      </c>
      <c r="U94" s="64" t="str">
        <f>IFERROR(IF(FcCheckProy=FALSE,INDEX(Venta!FcDetalle,MATCH(CONCATENATE(A94,"LYS"),Venta!FcClave,0),FcInicioCantAnual+4),INDEX(Venta!FcDetalle,MATCH(CONCATENATE(A94,"LYS"),Venta!FcClave,0),FcInicioCantAnual+5)),"")</f>
        <v/>
      </c>
    </row>
    <row r="95" spans="1:23" hidden="1" outlineLevel="1" x14ac:dyDescent="0.2">
      <c r="A95" s="43" t="str">
        <f>IF($I$10="-","",$I$10)</f>
        <v/>
      </c>
      <c r="B95" s="98" t="str">
        <f>IFERROR(INDEX(Maestro!FcDetalle,MATCH(A95,Maestro!FcClave,0),5),"")</f>
        <v/>
      </c>
      <c r="C95" s="111" t="str">
        <f>IFERROR(INDEX(Venta!FcDetalle,MATCH(CONCATENATE(A95,"LYS"),Venta!FcClave,0),FcInicioCantMes+0),"")</f>
        <v/>
      </c>
      <c r="D95" s="111" t="str">
        <f>IFERROR(INDEX(Venta!FcDetalle,MATCH(CONCATENATE(A95,"LYS"),Venta!FcClave,0),FcInicioCantMes+1),"")</f>
        <v/>
      </c>
      <c r="E95" s="111" t="str">
        <f>IFERROR(INDEX(Venta!FcDetalle,MATCH(CONCATENATE(A95,"LYS"),Venta!FcClave,0),FcInicioCantMes+2),"")</f>
        <v/>
      </c>
      <c r="F95" s="111" t="str">
        <f>IFERROR(INDEX(Venta!FcDetalle,MATCH(CONCATENATE(A95,"LYS"),Venta!FcClave,0),FcInicioCantMes+3),"")</f>
        <v/>
      </c>
      <c r="G95" s="111" t="str">
        <f>IFERROR(INDEX(Venta!FcDetalle,MATCH(CONCATENATE(A95,"LYS"),Venta!FcClave,0),FcInicioCantMes+4),"")</f>
        <v/>
      </c>
      <c r="H95" s="111" t="str">
        <f>IFERROR(INDEX(Venta!FcDetalle,MATCH(CONCATENATE(A95,"LYS"),Venta!FcClave,0),FcInicioCantMes+5),"")</f>
        <v/>
      </c>
      <c r="I95" s="111" t="str">
        <f>IFERROR(INDEX(Venta!FcDetalle,MATCH(CONCATENATE(A95,"LYS"),Venta!FcClave,0),FcInicioCantMes+6),"")</f>
        <v/>
      </c>
      <c r="J95" s="111" t="str">
        <f>IFERROR(INDEX(Venta!FcDetalle,MATCH(CONCATENATE(A95,"LYS"),Venta!FcClave,0),FcInicioCantMes+7),"")</f>
        <v/>
      </c>
      <c r="K95" s="111" t="str">
        <f>IFERROR(INDEX(Venta!FcDetalle,MATCH(CONCATENATE(A95,"LYS"),Venta!FcClave,0),FcInicioCantMes+8),"")</f>
        <v/>
      </c>
      <c r="L95" s="111" t="str">
        <f>IFERROR(INDEX(Venta!FcDetalle,MATCH(CONCATENATE(A95,"LYS"),Venta!FcClave,0),FcInicioCantMes+9),"")</f>
        <v/>
      </c>
      <c r="M95" s="111" t="str">
        <f>IFERROR(INDEX(Venta!FcDetalle,MATCH(CONCATENATE(A95,"LYS"),Venta!FcClave,0),FcInicioCantMes+10),"")</f>
        <v/>
      </c>
      <c r="N95" s="111" t="str">
        <f>IFERROR(INDEX(Venta!FcDetalle,MATCH(CONCATENATE(A95,"LYS"),Venta!FcClave,0),FcInicioCantMes+11),"")</f>
        <v/>
      </c>
      <c r="O95" s="112" t="str">
        <f>IFERROR(INDEX(Venta!FcDetalle,MATCH(CONCATENATE(A95,"LYS"),Venta!FcClave,0),FcInicioCantMes+12),"")</f>
        <v/>
      </c>
      <c r="Q95" s="142" t="str">
        <f>IFERROR(INDEX(Venta!FcDetalle,MATCH(CONCATENATE(A95,"LYS"),Venta!FcClave,0),FcInicioCantAnual+0),"")</f>
        <v/>
      </c>
      <c r="R95" s="63" t="str">
        <f>IFERROR(INDEX(Venta!FcDetalle,MATCH(CONCATENATE(A95,"LYS"),Venta!FcClave,0),FcInicioCantAnual+1),"")</f>
        <v/>
      </c>
      <c r="S95" s="63" t="str">
        <f>IFERROR(INDEX(Venta!FcDetalle,MATCH(CONCATENATE(A95,"LYS"),Venta!FcClave,0),FcInicioCantAnual+2),"")</f>
        <v/>
      </c>
      <c r="T95" s="63" t="str">
        <f>IFERROR(INDEX(Venta!FcDetalle,MATCH(CONCATENATE(A95,"LYS"),Venta!FcClave,0),FcInicioCantAnual+3),"")</f>
        <v/>
      </c>
      <c r="U95" s="64" t="str">
        <f>IFERROR(IF(FcCheckProy=FALSE,INDEX(Venta!FcDetalle,MATCH(CONCATENATE(A95,"LYS"),Venta!FcClave,0),FcInicioCantAnual+4),INDEX(Venta!FcDetalle,MATCH(CONCATENATE(A95,"LYS"),Venta!FcClave,0),FcInicioCantAnual+5)),"")</f>
        <v/>
      </c>
    </row>
    <row r="96" spans="1:23" hidden="1" outlineLevel="1" x14ac:dyDescent="0.2">
      <c r="A96" s="43" t="str">
        <f>IF($J$10="-","",$J$10)</f>
        <v/>
      </c>
      <c r="B96" s="98" t="str">
        <f>IFERROR(INDEX(Maestro!FcDetalle,MATCH(A96,Maestro!FcClave,0),5),"")</f>
        <v/>
      </c>
      <c r="C96" s="111" t="str">
        <f>IFERROR(INDEX(Venta!FcDetalle,MATCH(CONCATENATE(A96,"LYS"),Venta!FcClave,0),FcInicioCantMes+0),"")</f>
        <v/>
      </c>
      <c r="D96" s="111" t="str">
        <f>IFERROR(INDEX(Venta!FcDetalle,MATCH(CONCATENATE(A96,"LYS"),Venta!FcClave,0),FcInicioCantMes+1),"")</f>
        <v/>
      </c>
      <c r="E96" s="111" t="str">
        <f>IFERROR(INDEX(Venta!FcDetalle,MATCH(CONCATENATE(A96,"LYS"),Venta!FcClave,0),FcInicioCantMes+2),"")</f>
        <v/>
      </c>
      <c r="F96" s="111" t="str">
        <f>IFERROR(INDEX(Venta!FcDetalle,MATCH(CONCATENATE(A96,"LYS"),Venta!FcClave,0),FcInicioCantMes+3),"")</f>
        <v/>
      </c>
      <c r="G96" s="111" t="str">
        <f>IFERROR(INDEX(Venta!FcDetalle,MATCH(CONCATENATE(A96,"LYS"),Venta!FcClave,0),FcInicioCantMes+4),"")</f>
        <v/>
      </c>
      <c r="H96" s="111" t="str">
        <f>IFERROR(INDEX(Venta!FcDetalle,MATCH(CONCATENATE(A96,"LYS"),Venta!FcClave,0),FcInicioCantMes+5),"")</f>
        <v/>
      </c>
      <c r="I96" s="111" t="str">
        <f>IFERROR(INDEX(Venta!FcDetalle,MATCH(CONCATENATE(A96,"LYS"),Venta!FcClave,0),FcInicioCantMes+6),"")</f>
        <v/>
      </c>
      <c r="J96" s="111" t="str">
        <f>IFERROR(INDEX(Venta!FcDetalle,MATCH(CONCATENATE(A96,"LYS"),Venta!FcClave,0),FcInicioCantMes+7),"")</f>
        <v/>
      </c>
      <c r="K96" s="111" t="str">
        <f>IFERROR(INDEX(Venta!FcDetalle,MATCH(CONCATENATE(A96,"LYS"),Venta!FcClave,0),FcInicioCantMes+8),"")</f>
        <v/>
      </c>
      <c r="L96" s="111" t="str">
        <f>IFERROR(INDEX(Venta!FcDetalle,MATCH(CONCATENATE(A96,"LYS"),Venta!FcClave,0),FcInicioCantMes+9),"")</f>
        <v/>
      </c>
      <c r="M96" s="111" t="str">
        <f>IFERROR(INDEX(Venta!FcDetalle,MATCH(CONCATENATE(A96,"LYS"),Venta!FcClave,0),FcInicioCantMes+10),"")</f>
        <v/>
      </c>
      <c r="N96" s="111" t="str">
        <f>IFERROR(INDEX(Venta!FcDetalle,MATCH(CONCATENATE(A96,"LYS"),Venta!FcClave,0),FcInicioCantMes+11),"")</f>
        <v/>
      </c>
      <c r="O96" s="112" t="str">
        <f>IFERROR(INDEX(Venta!FcDetalle,MATCH(CONCATENATE(A96,"LYS"),Venta!FcClave,0),FcInicioCantMes+12),"")</f>
        <v/>
      </c>
      <c r="Q96" s="142" t="str">
        <f>IFERROR(INDEX(Venta!FcDetalle,MATCH(CONCATENATE(A96,"LYS"),Venta!FcClave,0),FcInicioCantAnual+0),"")</f>
        <v/>
      </c>
      <c r="R96" s="63" t="str">
        <f>IFERROR(INDEX(Venta!FcDetalle,MATCH(CONCATENATE(A96,"LYS"),Venta!FcClave,0),FcInicioCantAnual+1),"")</f>
        <v/>
      </c>
      <c r="S96" s="63" t="str">
        <f>IFERROR(INDEX(Venta!FcDetalle,MATCH(CONCATENATE(A96,"LYS"),Venta!FcClave,0),FcInicioCantAnual+2),"")</f>
        <v/>
      </c>
      <c r="T96" s="63" t="str">
        <f>IFERROR(INDEX(Venta!FcDetalle,MATCH(CONCATENATE(A96,"LYS"),Venta!FcClave,0),FcInicioCantAnual+3),"")</f>
        <v/>
      </c>
      <c r="U96" s="64" t="str">
        <f>IFERROR(IF(FcCheckProy=FALSE,INDEX(Venta!FcDetalle,MATCH(CONCATENATE(A96,"LYS"),Venta!FcClave,0),FcInicioCantAnual+4),INDEX(Venta!FcDetalle,MATCH(CONCATENATE(A96,"LYS"),Venta!FcClave,0),FcInicioCantAnual+5)),"")</f>
        <v/>
      </c>
    </row>
    <row r="97" spans="1:21" hidden="1" outlineLevel="1" x14ac:dyDescent="0.2">
      <c r="A97" s="43" t="str">
        <f>IF($K$10="-","",$K$10)</f>
        <v/>
      </c>
      <c r="B97" s="98" t="str">
        <f>IFERROR(INDEX(Maestro!FcDetalle,MATCH(A97,Maestro!FcClave,0),5),"")</f>
        <v/>
      </c>
      <c r="C97" s="111" t="str">
        <f>IFERROR(INDEX(Venta!FcDetalle,MATCH(CONCATENATE(A97,"LYS"),Venta!FcClave,0),FcInicioCantMes+0),"")</f>
        <v/>
      </c>
      <c r="D97" s="111" t="str">
        <f>IFERROR(INDEX(Venta!FcDetalle,MATCH(CONCATENATE(A97,"LYS"),Venta!FcClave,0),FcInicioCantMes+1),"")</f>
        <v/>
      </c>
      <c r="E97" s="111" t="str">
        <f>IFERROR(INDEX(Venta!FcDetalle,MATCH(CONCATENATE(A97,"LYS"),Venta!FcClave,0),FcInicioCantMes+2),"")</f>
        <v/>
      </c>
      <c r="F97" s="111" t="str">
        <f>IFERROR(INDEX(Venta!FcDetalle,MATCH(CONCATENATE(A97,"LYS"),Venta!FcClave,0),FcInicioCantMes+3),"")</f>
        <v/>
      </c>
      <c r="G97" s="111" t="str">
        <f>IFERROR(INDEX(Venta!FcDetalle,MATCH(CONCATENATE(A97,"LYS"),Venta!FcClave,0),FcInicioCantMes+4),"")</f>
        <v/>
      </c>
      <c r="H97" s="111" t="str">
        <f>IFERROR(INDEX(Venta!FcDetalle,MATCH(CONCATENATE(A97,"LYS"),Venta!FcClave,0),FcInicioCantMes+5),"")</f>
        <v/>
      </c>
      <c r="I97" s="111" t="str">
        <f>IFERROR(INDEX(Venta!FcDetalle,MATCH(CONCATENATE(A97,"LYS"),Venta!FcClave,0),FcInicioCantMes+6),"")</f>
        <v/>
      </c>
      <c r="J97" s="111" t="str">
        <f>IFERROR(INDEX(Venta!FcDetalle,MATCH(CONCATENATE(A97,"LYS"),Venta!FcClave,0),FcInicioCantMes+7),"")</f>
        <v/>
      </c>
      <c r="K97" s="111" t="str">
        <f>IFERROR(INDEX(Venta!FcDetalle,MATCH(CONCATENATE(A97,"LYS"),Venta!FcClave,0),FcInicioCantMes+8),"")</f>
        <v/>
      </c>
      <c r="L97" s="111" t="str">
        <f>IFERROR(INDEX(Venta!FcDetalle,MATCH(CONCATENATE(A97,"LYS"),Venta!FcClave,0),FcInicioCantMes+9),"")</f>
        <v/>
      </c>
      <c r="M97" s="111" t="str">
        <f>IFERROR(INDEX(Venta!FcDetalle,MATCH(CONCATENATE(A97,"LYS"),Venta!FcClave,0),FcInicioCantMes+10),"")</f>
        <v/>
      </c>
      <c r="N97" s="111" t="str">
        <f>IFERROR(INDEX(Venta!FcDetalle,MATCH(CONCATENATE(A97,"LYS"),Venta!FcClave,0),FcInicioCantMes+11),"")</f>
        <v/>
      </c>
      <c r="O97" s="112" t="str">
        <f>IFERROR(INDEX(Venta!FcDetalle,MATCH(CONCATENATE(A97,"LYS"),Venta!FcClave,0),FcInicioCantMes+12),"")</f>
        <v/>
      </c>
      <c r="Q97" s="142" t="str">
        <f>IFERROR(INDEX(Venta!FcDetalle,MATCH(CONCATENATE(A97,"LYS"),Venta!FcClave,0),FcInicioCantAnual+0),"")</f>
        <v/>
      </c>
      <c r="R97" s="63" t="str">
        <f>IFERROR(INDEX(Venta!FcDetalle,MATCH(CONCATENATE(A97,"LYS"),Venta!FcClave,0),FcInicioCantAnual+1),"")</f>
        <v/>
      </c>
      <c r="S97" s="63" t="str">
        <f>IFERROR(INDEX(Venta!FcDetalle,MATCH(CONCATENATE(A97,"LYS"),Venta!FcClave,0),FcInicioCantAnual+2),"")</f>
        <v/>
      </c>
      <c r="T97" s="63" t="str">
        <f>IFERROR(INDEX(Venta!FcDetalle,MATCH(CONCATENATE(A97,"LYS"),Venta!FcClave,0),FcInicioCantAnual+3),"")</f>
        <v/>
      </c>
      <c r="U97" s="64" t="str">
        <f>IFERROR(IF(FcCheckProy=FALSE,INDEX(Venta!FcDetalle,MATCH(CONCATENATE(A97,"LYS"),Venta!FcClave,0),FcInicioCantAnual+4),INDEX(Venta!FcDetalle,MATCH(CONCATENATE(A97,"LYS"),Venta!FcClave,0),FcInicioCantAnual+5)),"")</f>
        <v/>
      </c>
    </row>
    <row r="98" spans="1:21" hidden="1" outlineLevel="1" x14ac:dyDescent="0.2">
      <c r="A98" s="43" t="str">
        <f>IF($I$9="-","",$I$9)</f>
        <v/>
      </c>
      <c r="B98" s="98" t="str">
        <f>IFERROR(INDEX(Maestro!FcDetalle,MATCH(A98,Maestro!FcClave,0),5),"")</f>
        <v/>
      </c>
      <c r="C98" s="111" t="str">
        <f>IFERROR(INDEX(Venta!FcDetalle,MATCH(CONCATENATE(A98,"LYS"),Venta!FcClave,0),FcInicioCantMes+0),"")</f>
        <v/>
      </c>
      <c r="D98" s="111" t="str">
        <f>IFERROR(INDEX(Venta!FcDetalle,MATCH(CONCATENATE(A98,"LYS"),Venta!FcClave,0),FcInicioCantMes+1),"")</f>
        <v/>
      </c>
      <c r="E98" s="111" t="str">
        <f>IFERROR(INDEX(Venta!FcDetalle,MATCH(CONCATENATE(A98,"LYS"),Venta!FcClave,0),FcInicioCantMes+2),"")</f>
        <v/>
      </c>
      <c r="F98" s="111" t="str">
        <f>IFERROR(INDEX(Venta!FcDetalle,MATCH(CONCATENATE(A98,"LYS"),Venta!FcClave,0),FcInicioCantMes+3),"")</f>
        <v/>
      </c>
      <c r="G98" s="111" t="str">
        <f>IFERROR(INDEX(Venta!FcDetalle,MATCH(CONCATENATE(A98,"LYS"),Venta!FcClave,0),FcInicioCantMes+4),"")</f>
        <v/>
      </c>
      <c r="H98" s="111" t="str">
        <f>IFERROR(INDEX(Venta!FcDetalle,MATCH(CONCATENATE(A98,"LYS"),Venta!FcClave,0),FcInicioCantMes+5),"")</f>
        <v/>
      </c>
      <c r="I98" s="111" t="str">
        <f>IFERROR(INDEX(Venta!FcDetalle,MATCH(CONCATENATE(A98,"LYS"),Venta!FcClave,0),FcInicioCantMes+6),"")</f>
        <v/>
      </c>
      <c r="J98" s="111" t="str">
        <f>IFERROR(INDEX(Venta!FcDetalle,MATCH(CONCATENATE(A98,"LYS"),Venta!FcClave,0),FcInicioCantMes+7),"")</f>
        <v/>
      </c>
      <c r="K98" s="111" t="str">
        <f>IFERROR(INDEX(Venta!FcDetalle,MATCH(CONCATENATE(A98,"LYS"),Venta!FcClave,0),FcInicioCantMes+8),"")</f>
        <v/>
      </c>
      <c r="L98" s="111" t="str">
        <f>IFERROR(INDEX(Venta!FcDetalle,MATCH(CONCATENATE(A98,"LYS"),Venta!FcClave,0),FcInicioCantMes+9),"")</f>
        <v/>
      </c>
      <c r="M98" s="111" t="str">
        <f>IFERROR(INDEX(Venta!FcDetalle,MATCH(CONCATENATE(A98,"LYS"),Venta!FcClave,0),FcInicioCantMes+10),"")</f>
        <v/>
      </c>
      <c r="N98" s="111" t="str">
        <f>IFERROR(INDEX(Venta!FcDetalle,MATCH(CONCATENATE(A98,"LYS"),Venta!FcClave,0),FcInicioCantMes+11),"")</f>
        <v/>
      </c>
      <c r="O98" s="112" t="str">
        <f>IFERROR(INDEX(Venta!FcDetalle,MATCH(CONCATENATE(A98,"LYS"),Venta!FcClave,0),FcInicioCantMes+12),"")</f>
        <v/>
      </c>
      <c r="Q98" s="142" t="str">
        <f>IFERROR(INDEX(Venta!FcDetalle,MATCH(CONCATENATE(A98,"LYS"),Venta!FcClave,0),FcInicioCantAnual+0),"")</f>
        <v/>
      </c>
      <c r="R98" s="63" t="str">
        <f>IFERROR(INDEX(Venta!FcDetalle,MATCH(CONCATENATE(A98,"LYS"),Venta!FcClave,0),FcInicioCantAnual+1),"")</f>
        <v/>
      </c>
      <c r="S98" s="63" t="str">
        <f>IFERROR(INDEX(Venta!FcDetalle,MATCH(CONCATENATE(A98,"LYS"),Venta!FcClave,0),FcInicioCantAnual+2),"")</f>
        <v/>
      </c>
      <c r="T98" s="63" t="str">
        <f>IFERROR(INDEX(Venta!FcDetalle,MATCH(CONCATENATE(A98,"LYS"),Venta!FcClave,0),FcInicioCantAnual+3),"")</f>
        <v/>
      </c>
      <c r="U98" s="64" t="str">
        <f>IFERROR(IF(FcCheckProy=FALSE,INDEX(Venta!FcDetalle,MATCH(CONCATENATE(A98,"LYS"),Venta!FcClave,0),FcInicioCantAnual+4),INDEX(Venta!FcDetalle,MATCH(CONCATENATE(A98,"LYS"),Venta!FcClave,0),FcInicioCantAnual+5)),"")</f>
        <v/>
      </c>
    </row>
    <row r="99" spans="1:21" hidden="1" outlineLevel="1" x14ac:dyDescent="0.2">
      <c r="A99" s="43" t="str">
        <f>IF($J$9="-","",$J$9)</f>
        <v/>
      </c>
      <c r="B99" s="98" t="str">
        <f>IFERROR(INDEX(Maestro!FcDetalle,MATCH(A99,Maestro!FcClave,0),5),"")</f>
        <v/>
      </c>
      <c r="C99" s="111" t="str">
        <f>IFERROR(INDEX(Venta!FcDetalle,MATCH(CONCATENATE(A99,"LYS"),Venta!FcClave,0),FcInicioCantMes+0),"")</f>
        <v/>
      </c>
      <c r="D99" s="111" t="str">
        <f>IFERROR(INDEX(Venta!FcDetalle,MATCH(CONCATENATE(A99,"LYS"),Venta!FcClave,0),FcInicioCantMes+1),"")</f>
        <v/>
      </c>
      <c r="E99" s="111" t="str">
        <f>IFERROR(INDEX(Venta!FcDetalle,MATCH(CONCATENATE(A99,"LYS"),Venta!FcClave,0),FcInicioCantMes+2),"")</f>
        <v/>
      </c>
      <c r="F99" s="111" t="str">
        <f>IFERROR(INDEX(Venta!FcDetalle,MATCH(CONCATENATE(A99,"LYS"),Venta!FcClave,0),FcInicioCantMes+3),"")</f>
        <v/>
      </c>
      <c r="G99" s="111" t="str">
        <f>IFERROR(INDEX(Venta!FcDetalle,MATCH(CONCATENATE(A99,"LYS"),Venta!FcClave,0),FcInicioCantMes+4),"")</f>
        <v/>
      </c>
      <c r="H99" s="111" t="str">
        <f>IFERROR(INDEX(Venta!FcDetalle,MATCH(CONCATENATE(A99,"LYS"),Venta!FcClave,0),FcInicioCantMes+5),"")</f>
        <v/>
      </c>
      <c r="I99" s="111" t="str">
        <f>IFERROR(INDEX(Venta!FcDetalle,MATCH(CONCATENATE(A99,"LYS"),Venta!FcClave,0),FcInicioCantMes+6),"")</f>
        <v/>
      </c>
      <c r="J99" s="111" t="str">
        <f>IFERROR(INDEX(Venta!FcDetalle,MATCH(CONCATENATE(A99,"LYS"),Venta!FcClave,0),FcInicioCantMes+7),"")</f>
        <v/>
      </c>
      <c r="K99" s="111" t="str">
        <f>IFERROR(INDEX(Venta!FcDetalle,MATCH(CONCATENATE(A99,"LYS"),Venta!FcClave,0),FcInicioCantMes+8),"")</f>
        <v/>
      </c>
      <c r="L99" s="111" t="str">
        <f>IFERROR(INDEX(Venta!FcDetalle,MATCH(CONCATENATE(A99,"LYS"),Venta!FcClave,0),FcInicioCantMes+9),"")</f>
        <v/>
      </c>
      <c r="M99" s="111" t="str">
        <f>IFERROR(INDEX(Venta!FcDetalle,MATCH(CONCATENATE(A99,"LYS"),Venta!FcClave,0),FcInicioCantMes+10),"")</f>
        <v/>
      </c>
      <c r="N99" s="111" t="str">
        <f>IFERROR(INDEX(Venta!FcDetalle,MATCH(CONCATENATE(A99,"LYS"),Venta!FcClave,0),FcInicioCantMes+11),"")</f>
        <v/>
      </c>
      <c r="O99" s="112" t="str">
        <f>IFERROR(INDEX(Venta!FcDetalle,MATCH(CONCATENATE(A99,"LYS"),Venta!FcClave,0),FcInicioCantMes+12),"")</f>
        <v/>
      </c>
      <c r="Q99" s="142" t="str">
        <f>IFERROR(INDEX(Venta!FcDetalle,MATCH(CONCATENATE(A99,"LYS"),Venta!FcClave,0),FcInicioCantAnual+0),"")</f>
        <v/>
      </c>
      <c r="R99" s="63" t="str">
        <f>IFERROR(INDEX(Venta!FcDetalle,MATCH(CONCATENATE(A99,"LYS"),Venta!FcClave,0),FcInicioCantAnual+1),"")</f>
        <v/>
      </c>
      <c r="S99" s="63" t="str">
        <f>IFERROR(INDEX(Venta!FcDetalle,MATCH(CONCATENATE(A99,"LYS"),Venta!FcClave,0),FcInicioCantAnual+2),"")</f>
        <v/>
      </c>
      <c r="T99" s="63" t="str">
        <f>IFERROR(INDEX(Venta!FcDetalle,MATCH(CONCATENATE(A99,"LYS"),Venta!FcClave,0),FcInicioCantAnual+3),"")</f>
        <v/>
      </c>
      <c r="U99" s="64" t="str">
        <f>IFERROR(IF(FcCheckProy=FALSE,INDEX(Venta!FcDetalle,MATCH(CONCATENATE(A99,"LYS"),Venta!FcClave,0),FcInicioCantAnual+4),INDEX(Venta!FcDetalle,MATCH(CONCATENATE(A99,"LYS"),Venta!FcClave,0),FcInicioCantAnual+5)),"")</f>
        <v/>
      </c>
    </row>
    <row r="100" spans="1:21" ht="13.5" hidden="1" outlineLevel="1" thickBot="1" x14ac:dyDescent="0.25">
      <c r="A100" s="97" t="str">
        <f>IF($K$9="-","",$K$9)</f>
        <v/>
      </c>
      <c r="B100" s="98" t="str">
        <f>IFERROR(INDEX(Maestro!FcDetalle,MATCH(A100,Maestro!FcClave,0),5),"")</f>
        <v/>
      </c>
      <c r="C100" s="111" t="str">
        <f>IFERROR(INDEX(Venta!FcDetalle,MATCH(CONCATENATE(A100,"LYS"),Venta!FcClave,0),FcInicioCantMes+0),"")</f>
        <v/>
      </c>
      <c r="D100" s="111" t="str">
        <f>IFERROR(INDEX(Venta!FcDetalle,MATCH(CONCATENATE(A100,"LYS"),Venta!FcClave,0),FcInicioCantMes+1),"")</f>
        <v/>
      </c>
      <c r="E100" s="111" t="str">
        <f>IFERROR(INDEX(Venta!FcDetalle,MATCH(CONCATENATE(A100,"LYS"),Venta!FcClave,0),FcInicioCantMes+2),"")</f>
        <v/>
      </c>
      <c r="F100" s="111" t="str">
        <f>IFERROR(INDEX(Venta!FcDetalle,MATCH(CONCATENATE(A100,"LYS"),Venta!FcClave,0),FcInicioCantMes+3),"")</f>
        <v/>
      </c>
      <c r="G100" s="111" t="str">
        <f>IFERROR(INDEX(Venta!FcDetalle,MATCH(CONCATENATE(A100,"LYS"),Venta!FcClave,0),FcInicioCantMes+4),"")</f>
        <v/>
      </c>
      <c r="H100" s="111" t="str">
        <f>IFERROR(INDEX(Venta!FcDetalle,MATCH(CONCATENATE(A100,"LYS"),Venta!FcClave,0),FcInicioCantMes+5),"")</f>
        <v/>
      </c>
      <c r="I100" s="111" t="str">
        <f>IFERROR(INDEX(Venta!FcDetalle,MATCH(CONCATENATE(A100,"LYS"),Venta!FcClave,0),FcInicioCantMes+6),"")</f>
        <v/>
      </c>
      <c r="J100" s="111" t="str">
        <f>IFERROR(INDEX(Venta!FcDetalle,MATCH(CONCATENATE(A100,"LYS"),Venta!FcClave,0),FcInicioCantMes+7),"")</f>
        <v/>
      </c>
      <c r="K100" s="111" t="str">
        <f>IFERROR(INDEX(Venta!FcDetalle,MATCH(CONCATENATE(A100,"LYS"),Venta!FcClave,0),FcInicioCantMes+8),"")</f>
        <v/>
      </c>
      <c r="L100" s="111" t="str">
        <f>IFERROR(INDEX(Venta!FcDetalle,MATCH(CONCATENATE(A100,"LYS"),Venta!FcClave,0),FcInicioCantMes+9),"")</f>
        <v/>
      </c>
      <c r="M100" s="111" t="str">
        <f>IFERROR(INDEX(Venta!FcDetalle,MATCH(CONCATENATE(A100,"LYS"),Venta!FcClave,0),FcInicioCantMes+10),"")</f>
        <v/>
      </c>
      <c r="N100" s="111" t="str">
        <f>IFERROR(INDEX(Venta!FcDetalle,MATCH(CONCATENATE(A100,"LYS"),Venta!FcClave,0),FcInicioCantMes+11),"")</f>
        <v/>
      </c>
      <c r="O100" s="112" t="str">
        <f>IFERROR(INDEX(Venta!FcDetalle,MATCH(CONCATENATE(A100,"LYS"),Venta!FcClave,0),FcInicioCantMes+12),"")</f>
        <v/>
      </c>
      <c r="Q100" s="142" t="str">
        <f>IFERROR(INDEX(Venta!FcDetalle,MATCH(CONCATENATE(A100,"LYS"),Venta!FcClave,0),FcInicioCantAnual+0),"")</f>
        <v/>
      </c>
      <c r="R100" s="63" t="str">
        <f>IFERROR(INDEX(Venta!FcDetalle,MATCH(CONCATENATE(A100,"LYS"),Venta!FcClave,0),FcInicioCantAnual+1),"")</f>
        <v/>
      </c>
      <c r="S100" s="63" t="str">
        <f>IFERROR(INDEX(Venta!FcDetalle,MATCH(CONCATENATE(A100,"LYS"),Venta!FcClave,0),FcInicioCantAnual+2),"")</f>
        <v/>
      </c>
      <c r="T100" s="63" t="str">
        <f>IFERROR(INDEX(Venta!FcDetalle,MATCH(CONCATENATE(A100,"LYS"),Venta!FcClave,0),FcInicioCantAnual+3),"")</f>
        <v/>
      </c>
      <c r="U100" s="64" t="str">
        <f>IFERROR(IF(FcCheckProy=FALSE,INDEX(Venta!FcDetalle,MATCH(CONCATENATE(A100,"LYS"),Venta!FcClave,0),FcInicioCantAnual+4),INDEX(Venta!FcDetalle,MATCH(CONCATENATE(A100,"LYS"),Venta!FcClave,0),FcInicioCantAnual+5)),"")</f>
        <v/>
      </c>
    </row>
    <row r="101" spans="1:21" ht="13.5" collapsed="1" thickBot="1" x14ac:dyDescent="0.25">
      <c r="A101" s="113" t="s">
        <v>21</v>
      </c>
      <c r="B101" s="114"/>
      <c r="C101" s="115">
        <f t="shared" ref="C101:O101" si="15">SUM(C91:C100)</f>
        <v>0</v>
      </c>
      <c r="D101" s="115">
        <f t="shared" si="15"/>
        <v>0</v>
      </c>
      <c r="E101" s="115">
        <f t="shared" si="15"/>
        <v>0</v>
      </c>
      <c r="F101" s="115">
        <f t="shared" si="15"/>
        <v>0</v>
      </c>
      <c r="G101" s="115">
        <f t="shared" si="15"/>
        <v>0</v>
      </c>
      <c r="H101" s="115">
        <f t="shared" si="15"/>
        <v>0</v>
      </c>
      <c r="I101" s="115">
        <f t="shared" si="15"/>
        <v>0</v>
      </c>
      <c r="J101" s="115">
        <f t="shared" si="15"/>
        <v>0</v>
      </c>
      <c r="K101" s="115">
        <f t="shared" si="15"/>
        <v>0</v>
      </c>
      <c r="L101" s="115">
        <f t="shared" si="15"/>
        <v>0</v>
      </c>
      <c r="M101" s="115">
        <f t="shared" si="15"/>
        <v>0</v>
      </c>
      <c r="N101" s="115">
        <f t="shared" si="15"/>
        <v>0</v>
      </c>
      <c r="O101" s="116">
        <f t="shared" si="15"/>
        <v>0</v>
      </c>
      <c r="Q101" s="143">
        <f>SUM(Q91:Q100)</f>
        <v>0</v>
      </c>
      <c r="R101" s="144">
        <f>SUM(R91:R100)</f>
        <v>0</v>
      </c>
      <c r="S101" s="144">
        <f>SUM(S91:S100)</f>
        <v>0</v>
      </c>
      <c r="T101" s="144">
        <f>SUM(T91:T100)</f>
        <v>0</v>
      </c>
      <c r="U101" s="145">
        <f>SUM(U91:U100)</f>
        <v>0</v>
      </c>
    </row>
    <row r="102" spans="1:21" hidden="1" outlineLevel="1" x14ac:dyDescent="0.2">
      <c r="A102" s="43" t="str">
        <f>IF($E$10="-",$C$4,$E$10)</f>
        <v/>
      </c>
      <c r="B102" s="98" t="str">
        <f>IFERROR(INDEX(Maestro!FcDetalle,MATCH(A102,Maestro!FcClave,0),5),"")</f>
        <v/>
      </c>
      <c r="C102" s="111" t="str">
        <f>IFERROR(INDEX(Venta!FcDetalle,MATCH(CONCATENATE(A102,"HPE"),Venta!FcClave,0),FcInicioCantMes+0),"")</f>
        <v/>
      </c>
      <c r="D102" s="111" t="str">
        <f>IFERROR(INDEX(Venta!FcDetalle,MATCH(CONCATENATE(A102,"HPE"),Venta!FcClave,0),FcInicioCantMes+1),"")</f>
        <v/>
      </c>
      <c r="E102" s="111" t="str">
        <f>IFERROR(INDEX(Venta!FcDetalle,MATCH(CONCATENATE(A102,"HPE"),Venta!FcClave,0),FcInicioCantMes+2),"")</f>
        <v/>
      </c>
      <c r="F102" s="111" t="str">
        <f>IFERROR(INDEX(Venta!FcDetalle,MATCH(CONCATENATE(A102,"HPE"),Venta!FcClave,0),FcInicioCantMes+3),"")</f>
        <v/>
      </c>
      <c r="G102" s="111" t="str">
        <f>IFERROR(INDEX(Venta!FcDetalle,MATCH(CONCATENATE(A102,"HPE"),Venta!FcClave,0),FcInicioCantMes+4),"")</f>
        <v/>
      </c>
      <c r="H102" s="111" t="str">
        <f>IFERROR(INDEX(Venta!FcDetalle,MATCH(CONCATENATE(A102,"HPE"),Venta!FcClave,0),FcInicioCantMes+5),"")</f>
        <v/>
      </c>
      <c r="I102" s="111" t="str">
        <f>IFERROR(INDEX(Venta!FcDetalle,MATCH(CONCATENATE(A102,"HPE"),Venta!FcClave,0),FcInicioCantMes+6),"")</f>
        <v/>
      </c>
      <c r="J102" s="111" t="str">
        <f>IFERROR(INDEX(Venta!FcDetalle,MATCH(CONCATENATE(A102,"HPE"),Venta!FcClave,0),FcInicioCantMes+7),"")</f>
        <v/>
      </c>
      <c r="K102" s="111" t="str">
        <f>IFERROR(INDEX(Venta!FcDetalle,MATCH(CONCATENATE(A102,"HPE"),Venta!FcClave,0),FcInicioCantMes+8),"")</f>
        <v/>
      </c>
      <c r="L102" s="111" t="str">
        <f>IFERROR(INDEX(Venta!FcDetalle,MATCH(CONCATENATE(A102,"HPE"),Venta!FcClave,0),FcInicioCantMes+9),"")</f>
        <v/>
      </c>
      <c r="M102" s="111" t="str">
        <f>IFERROR(INDEX(Venta!FcDetalle,MATCH(CONCATENATE(A102,"HPE"),Venta!FcClave,0),FcInicioCantMes+10),"")</f>
        <v/>
      </c>
      <c r="N102" s="111" t="str">
        <f>IFERROR(INDEX(Venta!FcDetalle,MATCH(CONCATENATE(A102,"HPE"),Venta!FcClave,0),FcInicioCantMes+11),"")</f>
        <v/>
      </c>
      <c r="O102" s="112" t="str">
        <f>IFERROR(INDEX(Venta!FcDetalle,MATCH(CONCATENATE(A102,"HPE"),Venta!FcClave,0),FcInicioCantMes+12),"")</f>
        <v/>
      </c>
      <c r="Q102" s="146" t="str">
        <f>IFERROR(INDEX(Venta!FcDetalle,MATCH(CONCATENATE(A102,"HPE"),Venta!FcClave,0),FcInicioCantAnual+0),"")</f>
        <v/>
      </c>
      <c r="R102" s="147" t="str">
        <f>IFERROR(INDEX(Venta!FcDetalle,MATCH(CONCATENATE(A102,"HPE"),Venta!FcClave,0),FcInicioCantAnual+1),"")</f>
        <v/>
      </c>
      <c r="S102" s="147" t="str">
        <f>IFERROR(INDEX(Venta!FcDetalle,MATCH(CONCATENATE(A102,"HPE"),Venta!FcClave,0),FcInicioCantAnual+2),"")</f>
        <v/>
      </c>
      <c r="T102" s="147" t="str">
        <f>IFERROR(INDEX(Venta!FcDetalle,MATCH(CONCATENATE(A102,"HPE"),Venta!FcClave,0),FcInicioCantAnual+3),"")</f>
        <v/>
      </c>
      <c r="U102" s="148" t="str">
        <f>IFERROR(IF(FcCheckProy=FALSE,INDEX(Venta!FcDetalle,MATCH(CONCATENATE(A102,"HPE"),Venta!FcClave,0),FcInicioCantAnual+4),INDEX(Venta!FcDetalle,MATCH(CONCATENATE(A102,"HPE"),Venta!FcClave,0),FcInicioCantAnual+5)),"")</f>
        <v/>
      </c>
    </row>
    <row r="103" spans="1:21" hidden="1" outlineLevel="1" x14ac:dyDescent="0.2">
      <c r="A103" s="43" t="str">
        <f>IF($F$10="-","",$F$10)</f>
        <v/>
      </c>
      <c r="B103" s="98" t="str">
        <f>IFERROR(INDEX(Maestro!FcDetalle,MATCH(A103,Maestro!FcClave,0),5),"")</f>
        <v/>
      </c>
      <c r="C103" s="111" t="str">
        <f>IFERROR(INDEX(Venta!FcDetalle,MATCH(CONCATENATE(A103,"HPE"),Venta!FcClave,0),FcInicioCantMes+0),"")</f>
        <v/>
      </c>
      <c r="D103" s="111" t="str">
        <f>IFERROR(INDEX(Venta!FcDetalle,MATCH(CONCATENATE(A103,"HPE"),Venta!FcClave,0),FcInicioCantMes+1),"")</f>
        <v/>
      </c>
      <c r="E103" s="111" t="str">
        <f>IFERROR(INDEX(Venta!FcDetalle,MATCH(CONCATENATE(A103,"HPE"),Venta!FcClave,0),FcInicioCantMes+2),"")</f>
        <v/>
      </c>
      <c r="F103" s="111" t="str">
        <f>IFERROR(INDEX(Venta!FcDetalle,MATCH(CONCATENATE(A103,"HPE"),Venta!FcClave,0),FcInicioCantMes+3),"")</f>
        <v/>
      </c>
      <c r="G103" s="111" t="str">
        <f>IFERROR(INDEX(Venta!FcDetalle,MATCH(CONCATENATE(A103,"HPE"),Venta!FcClave,0),FcInicioCantMes+4),"")</f>
        <v/>
      </c>
      <c r="H103" s="111" t="str">
        <f>IFERROR(INDEX(Venta!FcDetalle,MATCH(CONCATENATE(A103,"HPE"),Venta!FcClave,0),FcInicioCantMes+5),"")</f>
        <v/>
      </c>
      <c r="I103" s="111" t="str">
        <f>IFERROR(INDEX(Venta!FcDetalle,MATCH(CONCATENATE(A103,"HPE"),Venta!FcClave,0),FcInicioCantMes+6),"")</f>
        <v/>
      </c>
      <c r="J103" s="111" t="str">
        <f>IFERROR(INDEX(Venta!FcDetalle,MATCH(CONCATENATE(A103,"HPE"),Venta!FcClave,0),FcInicioCantMes+7),"")</f>
        <v/>
      </c>
      <c r="K103" s="111" t="str">
        <f>IFERROR(INDEX(Venta!FcDetalle,MATCH(CONCATENATE(A103,"HPE"),Venta!FcClave,0),FcInicioCantMes+8),"")</f>
        <v/>
      </c>
      <c r="L103" s="111" t="str">
        <f>IFERROR(INDEX(Venta!FcDetalle,MATCH(CONCATENATE(A103,"HPE"),Venta!FcClave,0),FcInicioCantMes+9),"")</f>
        <v/>
      </c>
      <c r="M103" s="111" t="str">
        <f>IFERROR(INDEX(Venta!FcDetalle,MATCH(CONCATENATE(A103,"HPE"),Venta!FcClave,0),FcInicioCantMes+10),"")</f>
        <v/>
      </c>
      <c r="N103" s="111" t="str">
        <f>IFERROR(INDEX(Venta!FcDetalle,MATCH(CONCATENATE(A103,"HPE"),Venta!FcClave,0),FcInicioCantMes+11),"")</f>
        <v/>
      </c>
      <c r="O103" s="112" t="str">
        <f>IFERROR(INDEX(Venta!FcDetalle,MATCH(CONCATENATE(A103,"HPE"),Venta!FcClave,0),FcInicioCantMes+12),"")</f>
        <v/>
      </c>
      <c r="Q103" s="142" t="str">
        <f>IFERROR(INDEX(Venta!FcDetalle,MATCH(CONCATENATE(A103,"HPE"),Venta!FcClave,0),FcInicioCantAnual+0),"")</f>
        <v/>
      </c>
      <c r="R103" s="63" t="str">
        <f>IFERROR(INDEX(Venta!FcDetalle,MATCH(CONCATENATE(A103,"HPE"),Venta!FcClave,0),FcInicioCantAnual+1),"")</f>
        <v/>
      </c>
      <c r="S103" s="63" t="str">
        <f>IFERROR(INDEX(Venta!FcDetalle,MATCH(CONCATENATE(A103,"HPE"),Venta!FcClave,0),FcInicioCantAnual+2),"")</f>
        <v/>
      </c>
      <c r="T103" s="63" t="str">
        <f>IFERROR(INDEX(Venta!FcDetalle,MATCH(CONCATENATE(A103,"HPE"),Venta!FcClave,0),FcInicioCantAnual+3),"")</f>
        <v/>
      </c>
      <c r="U103" s="64" t="str">
        <f>IFERROR(IF(FcCheckProy=FALSE,INDEX(Venta!FcDetalle,MATCH(CONCATENATE(A103,"HPE"),Venta!FcClave,0),FcInicioCantAnual+4),INDEX(Venta!FcDetalle,MATCH(CONCATENATE(A103,"HPE"),Venta!FcClave,0),FcInicioCantAnual+5)),"")</f>
        <v/>
      </c>
    </row>
    <row r="104" spans="1:21" hidden="1" outlineLevel="1" x14ac:dyDescent="0.2">
      <c r="A104" s="43" t="str">
        <f>IF($G$10="-","",$G$10)</f>
        <v/>
      </c>
      <c r="B104" s="98" t="str">
        <f>IFERROR(INDEX(Maestro!FcDetalle,MATCH(A104,Maestro!FcClave,0),5),"")</f>
        <v/>
      </c>
      <c r="C104" s="111" t="str">
        <f>IFERROR(INDEX(Venta!FcDetalle,MATCH(CONCATENATE(A104,"HPE"),Venta!FcClave,0),FcInicioCantMes+0),"")</f>
        <v/>
      </c>
      <c r="D104" s="111" t="str">
        <f>IFERROR(INDEX(Venta!FcDetalle,MATCH(CONCATENATE(A104,"HPE"),Venta!FcClave,0),FcInicioCantMes+1),"")</f>
        <v/>
      </c>
      <c r="E104" s="111" t="str">
        <f>IFERROR(INDEX(Venta!FcDetalle,MATCH(CONCATENATE(A104,"HPE"),Venta!FcClave,0),FcInicioCantMes+2),"")</f>
        <v/>
      </c>
      <c r="F104" s="111" t="str">
        <f>IFERROR(INDEX(Venta!FcDetalle,MATCH(CONCATENATE(A104,"HPE"),Venta!FcClave,0),FcInicioCantMes+3),"")</f>
        <v/>
      </c>
      <c r="G104" s="111" t="str">
        <f>IFERROR(INDEX(Venta!FcDetalle,MATCH(CONCATENATE(A104,"HPE"),Venta!FcClave,0),FcInicioCantMes+4),"")</f>
        <v/>
      </c>
      <c r="H104" s="111" t="str">
        <f>IFERROR(INDEX(Venta!FcDetalle,MATCH(CONCATENATE(A104,"HPE"),Venta!FcClave,0),FcInicioCantMes+5),"")</f>
        <v/>
      </c>
      <c r="I104" s="111" t="str">
        <f>IFERROR(INDEX(Venta!FcDetalle,MATCH(CONCATENATE(A104,"HPE"),Venta!FcClave,0),FcInicioCantMes+6),"")</f>
        <v/>
      </c>
      <c r="J104" s="111" t="str">
        <f>IFERROR(INDEX(Venta!FcDetalle,MATCH(CONCATENATE(A104,"HPE"),Venta!FcClave,0),FcInicioCantMes+7),"")</f>
        <v/>
      </c>
      <c r="K104" s="111" t="str">
        <f>IFERROR(INDEX(Venta!FcDetalle,MATCH(CONCATENATE(A104,"HPE"),Venta!FcClave,0),FcInicioCantMes+8),"")</f>
        <v/>
      </c>
      <c r="L104" s="111" t="str">
        <f>IFERROR(INDEX(Venta!FcDetalle,MATCH(CONCATENATE(A104,"HPE"),Venta!FcClave,0),FcInicioCantMes+9),"")</f>
        <v/>
      </c>
      <c r="M104" s="111" t="str">
        <f>IFERROR(INDEX(Venta!FcDetalle,MATCH(CONCATENATE(A104,"HPE"),Venta!FcClave,0),FcInicioCantMes+10),"")</f>
        <v/>
      </c>
      <c r="N104" s="111" t="str">
        <f>IFERROR(INDEX(Venta!FcDetalle,MATCH(CONCATENATE(A104,"HPE"),Venta!FcClave,0),FcInicioCantMes+11),"")</f>
        <v/>
      </c>
      <c r="O104" s="112" t="str">
        <f>IFERROR(INDEX(Venta!FcDetalle,MATCH(CONCATENATE(A104,"HPE"),Venta!FcClave,0),FcInicioCantMes+12),"")</f>
        <v/>
      </c>
      <c r="Q104" s="142" t="str">
        <f>IFERROR(INDEX(Venta!FcDetalle,MATCH(CONCATENATE(A104,"HPE"),Venta!FcClave,0),FcInicioCantAnual+0),"")</f>
        <v/>
      </c>
      <c r="R104" s="63" t="str">
        <f>IFERROR(INDEX(Venta!FcDetalle,MATCH(CONCATENATE(A104,"HPE"),Venta!FcClave,0),FcInicioCantAnual+1),"")</f>
        <v/>
      </c>
      <c r="S104" s="63" t="str">
        <f>IFERROR(INDEX(Venta!FcDetalle,MATCH(CONCATENATE(A104,"HPE"),Venta!FcClave,0),FcInicioCantAnual+2),"")</f>
        <v/>
      </c>
      <c r="T104" s="63" t="str">
        <f>IFERROR(INDEX(Venta!FcDetalle,MATCH(CONCATENATE(A104,"HPE"),Venta!FcClave,0),FcInicioCantAnual+3),"")</f>
        <v/>
      </c>
      <c r="U104" s="64" t="str">
        <f>IFERROR(IF(FcCheckProy=FALSE,INDEX(Venta!FcDetalle,MATCH(CONCATENATE(A104,"HPE"),Venta!FcClave,0),FcInicioCantAnual+4),INDEX(Venta!FcDetalle,MATCH(CONCATENATE(A104,"HPE"),Venta!FcClave,0),FcInicioCantAnual+5)),"")</f>
        <v/>
      </c>
    </row>
    <row r="105" spans="1:21" hidden="1" outlineLevel="1" x14ac:dyDescent="0.2">
      <c r="A105" s="43" t="str">
        <f>IF($H$10="-","",$H$10)</f>
        <v/>
      </c>
      <c r="B105" s="98" t="str">
        <f>IFERROR(INDEX(Maestro!FcDetalle,MATCH(A105,Maestro!FcClave,0),5),"")</f>
        <v/>
      </c>
      <c r="C105" s="111" t="str">
        <f>IFERROR(INDEX(Venta!FcDetalle,MATCH(CONCATENATE(A105,"HPE"),Venta!FcClave,0),FcInicioCantMes+0),"")</f>
        <v/>
      </c>
      <c r="D105" s="111" t="str">
        <f>IFERROR(INDEX(Venta!FcDetalle,MATCH(CONCATENATE(A105,"HPE"),Venta!FcClave,0),FcInicioCantMes+1),"")</f>
        <v/>
      </c>
      <c r="E105" s="111" t="str">
        <f>IFERROR(INDEX(Venta!FcDetalle,MATCH(CONCATENATE(A105,"HPE"),Venta!FcClave,0),FcInicioCantMes+2),"")</f>
        <v/>
      </c>
      <c r="F105" s="111" t="str">
        <f>IFERROR(INDEX(Venta!FcDetalle,MATCH(CONCATENATE(A105,"HPE"),Venta!FcClave,0),FcInicioCantMes+3),"")</f>
        <v/>
      </c>
      <c r="G105" s="111" t="str">
        <f>IFERROR(INDEX(Venta!FcDetalle,MATCH(CONCATENATE(A105,"HPE"),Venta!FcClave,0),FcInicioCantMes+4),"")</f>
        <v/>
      </c>
      <c r="H105" s="111" t="str">
        <f>IFERROR(INDEX(Venta!FcDetalle,MATCH(CONCATENATE(A105,"HPE"),Venta!FcClave,0),FcInicioCantMes+5),"")</f>
        <v/>
      </c>
      <c r="I105" s="111" t="str">
        <f>IFERROR(INDEX(Venta!FcDetalle,MATCH(CONCATENATE(A105,"HPE"),Venta!FcClave,0),FcInicioCantMes+6),"")</f>
        <v/>
      </c>
      <c r="J105" s="111" t="str">
        <f>IFERROR(INDEX(Venta!FcDetalle,MATCH(CONCATENATE(A105,"HPE"),Venta!FcClave,0),FcInicioCantMes+7),"")</f>
        <v/>
      </c>
      <c r="K105" s="111" t="str">
        <f>IFERROR(INDEX(Venta!FcDetalle,MATCH(CONCATENATE(A105,"HPE"),Venta!FcClave,0),FcInicioCantMes+8),"")</f>
        <v/>
      </c>
      <c r="L105" s="111" t="str">
        <f>IFERROR(INDEX(Venta!FcDetalle,MATCH(CONCATENATE(A105,"HPE"),Venta!FcClave,0),FcInicioCantMes+9),"")</f>
        <v/>
      </c>
      <c r="M105" s="111" t="str">
        <f>IFERROR(INDEX(Venta!FcDetalle,MATCH(CONCATENATE(A105,"HPE"),Venta!FcClave,0),FcInicioCantMes+10),"")</f>
        <v/>
      </c>
      <c r="N105" s="111" t="str">
        <f>IFERROR(INDEX(Venta!FcDetalle,MATCH(CONCATENATE(A105,"HPE"),Venta!FcClave,0),FcInicioCantMes+11),"")</f>
        <v/>
      </c>
      <c r="O105" s="112" t="str">
        <f>IFERROR(INDEX(Venta!FcDetalle,MATCH(CONCATENATE(A105,"HPE"),Venta!FcClave,0),FcInicioCantMes+12),"")</f>
        <v/>
      </c>
      <c r="Q105" s="142" t="str">
        <f>IFERROR(INDEX(Venta!FcDetalle,MATCH(CONCATENATE(A105,"HPE"),Venta!FcClave,0),FcInicioCantAnual+0),"")</f>
        <v/>
      </c>
      <c r="R105" s="63" t="str">
        <f>IFERROR(INDEX(Venta!FcDetalle,MATCH(CONCATENATE(A105,"HPE"),Venta!FcClave,0),FcInicioCantAnual+1),"")</f>
        <v/>
      </c>
      <c r="S105" s="63" t="str">
        <f>IFERROR(INDEX(Venta!FcDetalle,MATCH(CONCATENATE(A105,"HPE"),Venta!FcClave,0),FcInicioCantAnual+2),"")</f>
        <v/>
      </c>
      <c r="T105" s="63" t="str">
        <f>IFERROR(INDEX(Venta!FcDetalle,MATCH(CONCATENATE(A105,"HPE"),Venta!FcClave,0),FcInicioCantAnual+3),"")</f>
        <v/>
      </c>
      <c r="U105" s="64" t="str">
        <f>IFERROR(IF(FcCheckProy=FALSE,INDEX(Venta!FcDetalle,MATCH(CONCATENATE(A105,"HPE"),Venta!FcClave,0),FcInicioCantAnual+4),INDEX(Venta!FcDetalle,MATCH(CONCATENATE(A105,"HPE"),Venta!FcClave,0),FcInicioCantAnual+5)),"")</f>
        <v/>
      </c>
    </row>
    <row r="106" spans="1:21" hidden="1" outlineLevel="1" x14ac:dyDescent="0.2">
      <c r="A106" s="43" t="str">
        <f>IF($I$10="-","",$I$10)</f>
        <v/>
      </c>
      <c r="B106" s="98" t="str">
        <f>IFERROR(INDEX(Maestro!FcDetalle,MATCH(A106,Maestro!FcClave,0),5),"")</f>
        <v/>
      </c>
      <c r="C106" s="111" t="str">
        <f>IFERROR(INDEX(Venta!FcDetalle,MATCH(CONCATENATE(A106,"HPE"),Venta!FcClave,0),FcInicioCantMes+0),"")</f>
        <v/>
      </c>
      <c r="D106" s="111" t="str">
        <f>IFERROR(INDEX(Venta!FcDetalle,MATCH(CONCATENATE(A106,"HPE"),Venta!FcClave,0),FcInicioCantMes+1),"")</f>
        <v/>
      </c>
      <c r="E106" s="111" t="str">
        <f>IFERROR(INDEX(Venta!FcDetalle,MATCH(CONCATENATE(A106,"HPE"),Venta!FcClave,0),FcInicioCantMes+2),"")</f>
        <v/>
      </c>
      <c r="F106" s="111" t="str">
        <f>IFERROR(INDEX(Venta!FcDetalle,MATCH(CONCATENATE(A106,"HPE"),Venta!FcClave,0),FcInicioCantMes+3),"")</f>
        <v/>
      </c>
      <c r="G106" s="111" t="str">
        <f>IFERROR(INDEX(Venta!FcDetalle,MATCH(CONCATENATE(A106,"HPE"),Venta!FcClave,0),FcInicioCantMes+4),"")</f>
        <v/>
      </c>
      <c r="H106" s="111" t="str">
        <f>IFERROR(INDEX(Venta!FcDetalle,MATCH(CONCATENATE(A106,"HPE"),Venta!FcClave,0),FcInicioCantMes+5),"")</f>
        <v/>
      </c>
      <c r="I106" s="111" t="str">
        <f>IFERROR(INDEX(Venta!FcDetalle,MATCH(CONCATENATE(A106,"HPE"),Venta!FcClave,0),FcInicioCantMes+6),"")</f>
        <v/>
      </c>
      <c r="J106" s="111" t="str">
        <f>IFERROR(INDEX(Venta!FcDetalle,MATCH(CONCATENATE(A106,"HPE"),Venta!FcClave,0),FcInicioCantMes+7),"")</f>
        <v/>
      </c>
      <c r="K106" s="111" t="str">
        <f>IFERROR(INDEX(Venta!FcDetalle,MATCH(CONCATENATE(A106,"HPE"),Venta!FcClave,0),FcInicioCantMes+8),"")</f>
        <v/>
      </c>
      <c r="L106" s="111" t="str">
        <f>IFERROR(INDEX(Venta!FcDetalle,MATCH(CONCATENATE(A106,"HPE"),Venta!FcClave,0),FcInicioCantMes+9),"")</f>
        <v/>
      </c>
      <c r="M106" s="111" t="str">
        <f>IFERROR(INDEX(Venta!FcDetalle,MATCH(CONCATENATE(A106,"HPE"),Venta!FcClave,0),FcInicioCantMes+10),"")</f>
        <v/>
      </c>
      <c r="N106" s="111" t="str">
        <f>IFERROR(INDEX(Venta!FcDetalle,MATCH(CONCATENATE(A106,"HPE"),Venta!FcClave,0),FcInicioCantMes+11),"")</f>
        <v/>
      </c>
      <c r="O106" s="112" t="str">
        <f>IFERROR(INDEX(Venta!FcDetalle,MATCH(CONCATENATE(A106,"HPE"),Venta!FcClave,0),FcInicioCantMes+12),"")</f>
        <v/>
      </c>
      <c r="Q106" s="142" t="str">
        <f>IFERROR(INDEX(Venta!FcDetalle,MATCH(CONCATENATE(A106,"HPE"),Venta!FcClave,0),FcInicioCantAnual+0),"")</f>
        <v/>
      </c>
      <c r="R106" s="63" t="str">
        <f>IFERROR(INDEX(Venta!FcDetalle,MATCH(CONCATENATE(A106,"HPE"),Venta!FcClave,0),FcInicioCantAnual+1),"")</f>
        <v/>
      </c>
      <c r="S106" s="63" t="str">
        <f>IFERROR(INDEX(Venta!FcDetalle,MATCH(CONCATENATE(A106,"HPE"),Venta!FcClave,0),FcInicioCantAnual+2),"")</f>
        <v/>
      </c>
      <c r="T106" s="63" t="str">
        <f>IFERROR(INDEX(Venta!FcDetalle,MATCH(CONCATENATE(A106,"HPE"),Venta!FcClave,0),FcInicioCantAnual+3),"")</f>
        <v/>
      </c>
      <c r="U106" s="64" t="str">
        <f>IFERROR(IF(FcCheckProy=FALSE,INDEX(Venta!FcDetalle,MATCH(CONCATENATE(A106,"HPE"),Venta!FcClave,0),FcInicioCantAnual+4),INDEX(Venta!FcDetalle,MATCH(CONCATENATE(A106,"HPE"),Venta!FcClave,0),FcInicioCantAnual+5)),"")</f>
        <v/>
      </c>
    </row>
    <row r="107" spans="1:21" hidden="1" outlineLevel="1" x14ac:dyDescent="0.2">
      <c r="A107" s="43" t="str">
        <f>IF($J$10="-","",$J$10)</f>
        <v/>
      </c>
      <c r="B107" s="98" t="str">
        <f>IFERROR(INDEX(Maestro!FcDetalle,MATCH(A107,Maestro!FcClave,0),5),"")</f>
        <v/>
      </c>
      <c r="C107" s="111" t="str">
        <f>IFERROR(INDEX(Venta!FcDetalle,MATCH(CONCATENATE(A107,"HPE"),Venta!FcClave,0),FcInicioCantMes+0),"")</f>
        <v/>
      </c>
      <c r="D107" s="111" t="str">
        <f>IFERROR(INDEX(Venta!FcDetalle,MATCH(CONCATENATE(A107,"HPE"),Venta!FcClave,0),FcInicioCantMes+1),"")</f>
        <v/>
      </c>
      <c r="E107" s="111" t="str">
        <f>IFERROR(INDEX(Venta!FcDetalle,MATCH(CONCATENATE(A107,"HPE"),Venta!FcClave,0),FcInicioCantMes+2),"")</f>
        <v/>
      </c>
      <c r="F107" s="111" t="str">
        <f>IFERROR(INDEX(Venta!FcDetalle,MATCH(CONCATENATE(A107,"HPE"),Venta!FcClave,0),FcInicioCantMes+3),"")</f>
        <v/>
      </c>
      <c r="G107" s="111" t="str">
        <f>IFERROR(INDEX(Venta!FcDetalle,MATCH(CONCATENATE(A107,"HPE"),Venta!FcClave,0),FcInicioCantMes+4),"")</f>
        <v/>
      </c>
      <c r="H107" s="111" t="str">
        <f>IFERROR(INDEX(Venta!FcDetalle,MATCH(CONCATENATE(A107,"HPE"),Venta!FcClave,0),FcInicioCantMes+5),"")</f>
        <v/>
      </c>
      <c r="I107" s="111" t="str">
        <f>IFERROR(INDEX(Venta!FcDetalle,MATCH(CONCATENATE(A107,"HPE"),Venta!FcClave,0),FcInicioCantMes+6),"")</f>
        <v/>
      </c>
      <c r="J107" s="111" t="str">
        <f>IFERROR(INDEX(Venta!FcDetalle,MATCH(CONCATENATE(A107,"HPE"),Venta!FcClave,0),FcInicioCantMes+7),"")</f>
        <v/>
      </c>
      <c r="K107" s="111" t="str">
        <f>IFERROR(INDEX(Venta!FcDetalle,MATCH(CONCATENATE(A107,"HPE"),Venta!FcClave,0),FcInicioCantMes+8),"")</f>
        <v/>
      </c>
      <c r="L107" s="111" t="str">
        <f>IFERROR(INDEX(Venta!FcDetalle,MATCH(CONCATENATE(A107,"HPE"),Venta!FcClave,0),FcInicioCantMes+9),"")</f>
        <v/>
      </c>
      <c r="M107" s="111" t="str">
        <f>IFERROR(INDEX(Venta!FcDetalle,MATCH(CONCATENATE(A107,"HPE"),Venta!FcClave,0),FcInicioCantMes+10),"")</f>
        <v/>
      </c>
      <c r="N107" s="111" t="str">
        <f>IFERROR(INDEX(Venta!FcDetalle,MATCH(CONCATENATE(A107,"HPE"),Venta!FcClave,0),FcInicioCantMes+11),"")</f>
        <v/>
      </c>
      <c r="O107" s="112" t="str">
        <f>IFERROR(INDEX(Venta!FcDetalle,MATCH(CONCATENATE(A107,"HPE"),Venta!FcClave,0),FcInicioCantMes+12),"")</f>
        <v/>
      </c>
      <c r="Q107" s="142" t="str">
        <f>IFERROR(INDEX(Venta!FcDetalle,MATCH(CONCATENATE(A107,"HPE"),Venta!FcClave,0),FcInicioCantAnual+0),"")</f>
        <v/>
      </c>
      <c r="R107" s="63" t="str">
        <f>IFERROR(INDEX(Venta!FcDetalle,MATCH(CONCATENATE(A107,"HPE"),Venta!FcClave,0),FcInicioCantAnual+1),"")</f>
        <v/>
      </c>
      <c r="S107" s="63" t="str">
        <f>IFERROR(INDEX(Venta!FcDetalle,MATCH(CONCATENATE(A107,"HPE"),Venta!FcClave,0),FcInicioCantAnual+2),"")</f>
        <v/>
      </c>
      <c r="T107" s="63" t="str">
        <f>IFERROR(INDEX(Venta!FcDetalle,MATCH(CONCATENATE(A107,"HPE"),Venta!FcClave,0),FcInicioCantAnual+3),"")</f>
        <v/>
      </c>
      <c r="U107" s="64" t="str">
        <f>IFERROR(IF(FcCheckProy=FALSE,INDEX(Venta!FcDetalle,MATCH(CONCATENATE(A107,"HPE"),Venta!FcClave,0),FcInicioCantAnual+4),INDEX(Venta!FcDetalle,MATCH(CONCATENATE(A107,"HPE"),Venta!FcClave,0),FcInicioCantAnual+5)),"")</f>
        <v/>
      </c>
    </row>
    <row r="108" spans="1:21" hidden="1" outlineLevel="1" x14ac:dyDescent="0.2">
      <c r="A108" s="43" t="str">
        <f>IF($K$10="-","",$K$10)</f>
        <v/>
      </c>
      <c r="B108" s="98" t="str">
        <f>IFERROR(INDEX(Maestro!FcDetalle,MATCH(A108,Maestro!FcClave,0),5),"")</f>
        <v/>
      </c>
      <c r="C108" s="111" t="str">
        <f>IFERROR(INDEX(Venta!FcDetalle,MATCH(CONCATENATE(A108,"HPE"),Venta!FcClave,0),FcInicioCantMes+0),"")</f>
        <v/>
      </c>
      <c r="D108" s="111" t="str">
        <f>IFERROR(INDEX(Venta!FcDetalle,MATCH(CONCATENATE(A108,"HPE"),Venta!FcClave,0),FcInicioCantMes+1),"")</f>
        <v/>
      </c>
      <c r="E108" s="111" t="str">
        <f>IFERROR(INDEX(Venta!FcDetalle,MATCH(CONCATENATE(A108,"HPE"),Venta!FcClave,0),FcInicioCantMes+2),"")</f>
        <v/>
      </c>
      <c r="F108" s="111" t="str">
        <f>IFERROR(INDEX(Venta!FcDetalle,MATCH(CONCATENATE(A108,"HPE"),Venta!FcClave,0),FcInicioCantMes+3),"")</f>
        <v/>
      </c>
      <c r="G108" s="111" t="str">
        <f>IFERROR(INDEX(Venta!FcDetalle,MATCH(CONCATENATE(A108,"HPE"),Venta!FcClave,0),FcInicioCantMes+4),"")</f>
        <v/>
      </c>
      <c r="H108" s="111" t="str">
        <f>IFERROR(INDEX(Venta!FcDetalle,MATCH(CONCATENATE(A108,"HPE"),Venta!FcClave,0),FcInicioCantMes+5),"")</f>
        <v/>
      </c>
      <c r="I108" s="111" t="str">
        <f>IFERROR(INDEX(Venta!FcDetalle,MATCH(CONCATENATE(A108,"HPE"),Venta!FcClave,0),FcInicioCantMes+6),"")</f>
        <v/>
      </c>
      <c r="J108" s="111" t="str">
        <f>IFERROR(INDEX(Venta!FcDetalle,MATCH(CONCATENATE(A108,"HPE"),Venta!FcClave,0),FcInicioCantMes+7),"")</f>
        <v/>
      </c>
      <c r="K108" s="111" t="str">
        <f>IFERROR(INDEX(Venta!FcDetalle,MATCH(CONCATENATE(A108,"HPE"),Venta!FcClave,0),FcInicioCantMes+8),"")</f>
        <v/>
      </c>
      <c r="L108" s="111" t="str">
        <f>IFERROR(INDEX(Venta!FcDetalle,MATCH(CONCATENATE(A108,"HPE"),Venta!FcClave,0),FcInicioCantMes+9),"")</f>
        <v/>
      </c>
      <c r="M108" s="111" t="str">
        <f>IFERROR(INDEX(Venta!FcDetalle,MATCH(CONCATENATE(A108,"HPE"),Venta!FcClave,0),FcInicioCantMes+10),"")</f>
        <v/>
      </c>
      <c r="N108" s="111" t="str">
        <f>IFERROR(INDEX(Venta!FcDetalle,MATCH(CONCATENATE(A108,"HPE"),Venta!FcClave,0),FcInicioCantMes+11),"")</f>
        <v/>
      </c>
      <c r="O108" s="112" t="str">
        <f>IFERROR(INDEX(Venta!FcDetalle,MATCH(CONCATENATE(A108,"HPE"),Venta!FcClave,0),FcInicioCantMes+12),"")</f>
        <v/>
      </c>
      <c r="Q108" s="142" t="str">
        <f>IFERROR(INDEX(Venta!FcDetalle,MATCH(CONCATENATE(A108,"HPE"),Venta!FcClave,0),FcInicioCantAnual+0),"")</f>
        <v/>
      </c>
      <c r="R108" s="63" t="str">
        <f>IFERROR(INDEX(Venta!FcDetalle,MATCH(CONCATENATE(A108,"HPE"),Venta!FcClave,0),FcInicioCantAnual+1),"")</f>
        <v/>
      </c>
      <c r="S108" s="63" t="str">
        <f>IFERROR(INDEX(Venta!FcDetalle,MATCH(CONCATENATE(A108,"HPE"),Venta!FcClave,0),FcInicioCantAnual+2),"")</f>
        <v/>
      </c>
      <c r="T108" s="63" t="str">
        <f>IFERROR(INDEX(Venta!FcDetalle,MATCH(CONCATENATE(A108,"HPE"),Venta!FcClave,0),FcInicioCantAnual+3),"")</f>
        <v/>
      </c>
      <c r="U108" s="64" t="str">
        <f>IFERROR(IF(FcCheckProy=FALSE,INDEX(Venta!FcDetalle,MATCH(CONCATENATE(A108,"HPE"),Venta!FcClave,0),FcInicioCantAnual+4),INDEX(Venta!FcDetalle,MATCH(CONCATENATE(A108,"HPE"),Venta!FcClave,0),FcInicioCantAnual+5)),"")</f>
        <v/>
      </c>
    </row>
    <row r="109" spans="1:21" hidden="1" outlineLevel="1" x14ac:dyDescent="0.2">
      <c r="A109" s="43" t="str">
        <f>IF($I$9="-","",$I$9)</f>
        <v/>
      </c>
      <c r="B109" s="98" t="str">
        <f>IFERROR(INDEX(Maestro!FcDetalle,MATCH(A109,Maestro!FcClave,0),5),"")</f>
        <v/>
      </c>
      <c r="C109" s="111" t="str">
        <f>IFERROR(INDEX(Venta!FcDetalle,MATCH(CONCATENATE(A109,"HPE"),Venta!FcClave,0),FcInicioCantMes+0),"")</f>
        <v/>
      </c>
      <c r="D109" s="111" t="str">
        <f>IFERROR(INDEX(Venta!FcDetalle,MATCH(CONCATENATE(A109,"HPE"),Venta!FcClave,0),FcInicioCantMes+1),"")</f>
        <v/>
      </c>
      <c r="E109" s="111" t="str">
        <f>IFERROR(INDEX(Venta!FcDetalle,MATCH(CONCATENATE(A109,"HPE"),Venta!FcClave,0),FcInicioCantMes+2),"")</f>
        <v/>
      </c>
      <c r="F109" s="111" t="str">
        <f>IFERROR(INDEX(Venta!FcDetalle,MATCH(CONCATENATE(A109,"HPE"),Venta!FcClave,0),FcInicioCantMes+3),"")</f>
        <v/>
      </c>
      <c r="G109" s="111" t="str">
        <f>IFERROR(INDEX(Venta!FcDetalle,MATCH(CONCATENATE(A109,"HPE"),Venta!FcClave,0),FcInicioCantMes+4),"")</f>
        <v/>
      </c>
      <c r="H109" s="111" t="str">
        <f>IFERROR(INDEX(Venta!FcDetalle,MATCH(CONCATENATE(A109,"HPE"),Venta!FcClave,0),FcInicioCantMes+5),"")</f>
        <v/>
      </c>
      <c r="I109" s="111" t="str">
        <f>IFERROR(INDEX(Venta!FcDetalle,MATCH(CONCATENATE(A109,"HPE"),Venta!FcClave,0),FcInicioCantMes+6),"")</f>
        <v/>
      </c>
      <c r="J109" s="111" t="str">
        <f>IFERROR(INDEX(Venta!FcDetalle,MATCH(CONCATENATE(A109,"HPE"),Venta!FcClave,0),FcInicioCantMes+7),"")</f>
        <v/>
      </c>
      <c r="K109" s="111" t="str">
        <f>IFERROR(INDEX(Venta!FcDetalle,MATCH(CONCATENATE(A109,"HPE"),Venta!FcClave,0),FcInicioCantMes+8),"")</f>
        <v/>
      </c>
      <c r="L109" s="111" t="str">
        <f>IFERROR(INDEX(Venta!FcDetalle,MATCH(CONCATENATE(A109,"HPE"),Venta!FcClave,0),FcInicioCantMes+9),"")</f>
        <v/>
      </c>
      <c r="M109" s="111" t="str">
        <f>IFERROR(INDEX(Venta!FcDetalle,MATCH(CONCATENATE(A109,"HPE"),Venta!FcClave,0),FcInicioCantMes+10),"")</f>
        <v/>
      </c>
      <c r="N109" s="111" t="str">
        <f>IFERROR(INDEX(Venta!FcDetalle,MATCH(CONCATENATE(A109,"HPE"),Venta!FcClave,0),FcInicioCantMes+11),"")</f>
        <v/>
      </c>
      <c r="O109" s="112" t="str">
        <f>IFERROR(INDEX(Venta!FcDetalle,MATCH(CONCATENATE(A109,"HPE"),Venta!FcClave,0),FcInicioCantMes+12),"")</f>
        <v/>
      </c>
      <c r="Q109" s="142" t="str">
        <f>IFERROR(INDEX(Venta!FcDetalle,MATCH(CONCATENATE(A109,"HPE"),Venta!FcClave,0),FcInicioCantAnual+0),"")</f>
        <v/>
      </c>
      <c r="R109" s="63" t="str">
        <f>IFERROR(INDEX(Venta!FcDetalle,MATCH(CONCATENATE(A109,"HPE"),Venta!FcClave,0),FcInicioCantAnual+1),"")</f>
        <v/>
      </c>
      <c r="S109" s="63" t="str">
        <f>IFERROR(INDEX(Venta!FcDetalle,MATCH(CONCATENATE(A109,"HPE"),Venta!FcClave,0),FcInicioCantAnual+2),"")</f>
        <v/>
      </c>
      <c r="T109" s="63" t="str">
        <f>IFERROR(INDEX(Venta!FcDetalle,MATCH(CONCATENATE(A109,"HPE"),Venta!FcClave,0),FcInicioCantAnual+3),"")</f>
        <v/>
      </c>
      <c r="U109" s="64" t="str">
        <f>IFERROR(IF(FcCheckProy=FALSE,INDEX(Venta!FcDetalle,MATCH(CONCATENATE(A109,"HPE"),Venta!FcClave,0),FcInicioCantAnual+4),INDEX(Venta!FcDetalle,MATCH(CONCATENATE(A109,"HPE"),Venta!FcClave,0),FcInicioCantAnual+5)),"")</f>
        <v/>
      </c>
    </row>
    <row r="110" spans="1:21" hidden="1" outlineLevel="1" x14ac:dyDescent="0.2">
      <c r="A110" s="43" t="str">
        <f>IF($J$9="-","",$J$9)</f>
        <v/>
      </c>
      <c r="B110" s="98" t="str">
        <f>IFERROR(INDEX(Maestro!FcDetalle,MATCH(A110,Maestro!FcClave,0),5),"")</f>
        <v/>
      </c>
      <c r="C110" s="111" t="str">
        <f>IFERROR(INDEX(Venta!FcDetalle,MATCH(CONCATENATE(A110,"HPE"),Venta!FcClave,0),FcInicioCantMes+0),"")</f>
        <v/>
      </c>
      <c r="D110" s="111" t="str">
        <f>IFERROR(INDEX(Venta!FcDetalle,MATCH(CONCATENATE(A110,"HPE"),Venta!FcClave,0),FcInicioCantMes+1),"")</f>
        <v/>
      </c>
      <c r="E110" s="111" t="str">
        <f>IFERROR(INDEX(Venta!FcDetalle,MATCH(CONCATENATE(A110,"HPE"),Venta!FcClave,0),FcInicioCantMes+2),"")</f>
        <v/>
      </c>
      <c r="F110" s="111" t="str">
        <f>IFERROR(INDEX(Venta!FcDetalle,MATCH(CONCATENATE(A110,"HPE"),Venta!FcClave,0),FcInicioCantMes+3),"")</f>
        <v/>
      </c>
      <c r="G110" s="111" t="str">
        <f>IFERROR(INDEX(Venta!FcDetalle,MATCH(CONCATENATE(A110,"HPE"),Venta!FcClave,0),FcInicioCantMes+4),"")</f>
        <v/>
      </c>
      <c r="H110" s="111" t="str">
        <f>IFERROR(INDEX(Venta!FcDetalle,MATCH(CONCATENATE(A110,"HPE"),Venta!FcClave,0),FcInicioCantMes+5),"")</f>
        <v/>
      </c>
      <c r="I110" s="111" t="str">
        <f>IFERROR(INDEX(Venta!FcDetalle,MATCH(CONCATENATE(A110,"HPE"),Venta!FcClave,0),FcInicioCantMes+6),"")</f>
        <v/>
      </c>
      <c r="J110" s="111" t="str">
        <f>IFERROR(INDEX(Venta!FcDetalle,MATCH(CONCATENATE(A110,"HPE"),Venta!FcClave,0),FcInicioCantMes+7),"")</f>
        <v/>
      </c>
      <c r="K110" s="111" t="str">
        <f>IFERROR(INDEX(Venta!FcDetalle,MATCH(CONCATENATE(A110,"HPE"),Venta!FcClave,0),FcInicioCantMes+8),"")</f>
        <v/>
      </c>
      <c r="L110" s="111" t="str">
        <f>IFERROR(INDEX(Venta!FcDetalle,MATCH(CONCATENATE(A110,"HPE"),Venta!FcClave,0),FcInicioCantMes+9),"")</f>
        <v/>
      </c>
      <c r="M110" s="111" t="str">
        <f>IFERROR(INDEX(Venta!FcDetalle,MATCH(CONCATENATE(A110,"HPE"),Venta!FcClave,0),FcInicioCantMes+10),"")</f>
        <v/>
      </c>
      <c r="N110" s="111" t="str">
        <f>IFERROR(INDEX(Venta!FcDetalle,MATCH(CONCATENATE(A110,"HPE"),Venta!FcClave,0),FcInicioCantMes+11),"")</f>
        <v/>
      </c>
      <c r="O110" s="112" t="str">
        <f>IFERROR(INDEX(Venta!FcDetalle,MATCH(CONCATENATE(A110,"HPE"),Venta!FcClave,0),FcInicioCantMes+12),"")</f>
        <v/>
      </c>
      <c r="Q110" s="142" t="str">
        <f>IFERROR(INDEX(Venta!FcDetalle,MATCH(CONCATENATE(A110,"HPE"),Venta!FcClave,0),FcInicioCantAnual+0),"")</f>
        <v/>
      </c>
      <c r="R110" s="63" t="str">
        <f>IFERROR(INDEX(Venta!FcDetalle,MATCH(CONCATENATE(A110,"HPE"),Venta!FcClave,0),FcInicioCantAnual+1),"")</f>
        <v/>
      </c>
      <c r="S110" s="63" t="str">
        <f>IFERROR(INDEX(Venta!FcDetalle,MATCH(CONCATENATE(A110,"HPE"),Venta!FcClave,0),FcInicioCantAnual+2),"")</f>
        <v/>
      </c>
      <c r="T110" s="63" t="str">
        <f>IFERROR(INDEX(Venta!FcDetalle,MATCH(CONCATENATE(A110,"HPE"),Venta!FcClave,0),FcInicioCantAnual+3),"")</f>
        <v/>
      </c>
      <c r="U110" s="64" t="str">
        <f>IFERROR(IF(FcCheckProy=FALSE,INDEX(Venta!FcDetalle,MATCH(CONCATENATE(A110,"HPE"),Venta!FcClave,0),FcInicioCantAnual+4),INDEX(Venta!FcDetalle,MATCH(CONCATENATE(A110,"HPE"),Venta!FcClave,0),FcInicioCantAnual+5)),"")</f>
        <v/>
      </c>
    </row>
    <row r="111" spans="1:21" hidden="1" outlineLevel="1" x14ac:dyDescent="0.2">
      <c r="A111" s="97" t="str">
        <f>IF($K$9="-","",$K$9)</f>
        <v/>
      </c>
      <c r="B111" s="98" t="str">
        <f>IFERROR(INDEX(Maestro!FcDetalle,MATCH(A111,Maestro!FcClave,0),5),"")</f>
        <v/>
      </c>
      <c r="C111" s="111" t="str">
        <f>IFERROR(INDEX(Venta!FcDetalle,MATCH(CONCATENATE(A111,"HPE"),Venta!FcClave,0),FcInicioCantMes+0),"")</f>
        <v/>
      </c>
      <c r="D111" s="111" t="str">
        <f>IFERROR(INDEX(Venta!FcDetalle,MATCH(CONCATENATE(A111,"HPE"),Venta!FcClave,0),FcInicioCantMes+1),"")</f>
        <v/>
      </c>
      <c r="E111" s="111" t="str">
        <f>IFERROR(INDEX(Venta!FcDetalle,MATCH(CONCATENATE(A111,"HPE"),Venta!FcClave,0),FcInicioCantMes+2),"")</f>
        <v/>
      </c>
      <c r="F111" s="111" t="str">
        <f>IFERROR(INDEX(Venta!FcDetalle,MATCH(CONCATENATE(A111,"HPE"),Venta!FcClave,0),FcInicioCantMes+3),"")</f>
        <v/>
      </c>
      <c r="G111" s="111" t="str">
        <f>IFERROR(INDEX(Venta!FcDetalle,MATCH(CONCATENATE(A111,"HPE"),Venta!FcClave,0),FcInicioCantMes+4),"")</f>
        <v/>
      </c>
      <c r="H111" s="111" t="str">
        <f>IFERROR(INDEX(Venta!FcDetalle,MATCH(CONCATENATE(A111,"HPE"),Venta!FcClave,0),FcInicioCantMes+5),"")</f>
        <v/>
      </c>
      <c r="I111" s="111" t="str">
        <f>IFERROR(INDEX(Venta!FcDetalle,MATCH(CONCATENATE(A111,"HPE"),Venta!FcClave,0),FcInicioCantMes+6),"")</f>
        <v/>
      </c>
      <c r="J111" s="111" t="str">
        <f>IFERROR(INDEX(Venta!FcDetalle,MATCH(CONCATENATE(A111,"HPE"),Venta!FcClave,0),FcInicioCantMes+7),"")</f>
        <v/>
      </c>
      <c r="K111" s="111" t="str">
        <f>IFERROR(INDEX(Venta!FcDetalle,MATCH(CONCATENATE(A111,"HPE"),Venta!FcClave,0),FcInicioCantMes+8),"")</f>
        <v/>
      </c>
      <c r="L111" s="111" t="str">
        <f>IFERROR(INDEX(Venta!FcDetalle,MATCH(CONCATENATE(A111,"HPE"),Venta!FcClave,0),FcInicioCantMes+9),"")</f>
        <v/>
      </c>
      <c r="M111" s="111" t="str">
        <f>IFERROR(INDEX(Venta!FcDetalle,MATCH(CONCATENATE(A111,"HPE"),Venta!FcClave,0),FcInicioCantMes+10),"")</f>
        <v/>
      </c>
      <c r="N111" s="111" t="str">
        <f>IFERROR(INDEX(Venta!FcDetalle,MATCH(CONCATENATE(A111,"HPE"),Venta!FcClave,0),FcInicioCantMes+11),"")</f>
        <v/>
      </c>
      <c r="O111" s="112" t="str">
        <f>IFERROR(INDEX(Venta!FcDetalle,MATCH(CONCATENATE(A111,"HPE"),Venta!FcClave,0),FcInicioCantMes+12),"")</f>
        <v/>
      </c>
      <c r="Q111" s="142" t="str">
        <f>IFERROR(INDEX(Venta!FcDetalle,MATCH(CONCATENATE(A111,"HPE"),Venta!FcClave,0),FcInicioCantAnual+0),"")</f>
        <v/>
      </c>
      <c r="R111" s="63" t="str">
        <f>IFERROR(INDEX(Venta!FcDetalle,MATCH(CONCATENATE(A111,"HPE"),Venta!FcClave,0),FcInicioCantAnual+1),"")</f>
        <v/>
      </c>
      <c r="S111" s="63" t="str">
        <f>IFERROR(INDEX(Venta!FcDetalle,MATCH(CONCATENATE(A111,"HPE"),Venta!FcClave,0),FcInicioCantAnual+2),"")</f>
        <v/>
      </c>
      <c r="T111" s="63" t="str">
        <f>IFERROR(INDEX(Venta!FcDetalle,MATCH(CONCATENATE(A111,"HPE"),Venta!FcClave,0),FcInicioCantAnual+3),"")</f>
        <v/>
      </c>
      <c r="U111" s="64" t="str">
        <f>IFERROR(IF(FcCheckProy=FALSE,INDEX(Venta!FcDetalle,MATCH(CONCATENATE(A111,"HPE"),Venta!FcClave,0),FcInicioCantAnual+4),INDEX(Venta!FcDetalle,MATCH(CONCATENATE(A111,"HPE"),Venta!FcClave,0),FcInicioCantAnual+5)),"")</f>
        <v/>
      </c>
    </row>
    <row r="112" spans="1:21" ht="13.5" collapsed="1" thickBot="1" x14ac:dyDescent="0.25">
      <c r="A112" s="44" t="s">
        <v>22</v>
      </c>
      <c r="B112" s="80"/>
      <c r="C112" s="65">
        <f t="shared" ref="C112:O112" si="16">SUM(C102:C111)</f>
        <v>0</v>
      </c>
      <c r="D112" s="65">
        <f t="shared" si="16"/>
        <v>0</v>
      </c>
      <c r="E112" s="65">
        <f t="shared" si="16"/>
        <v>0</v>
      </c>
      <c r="F112" s="65">
        <f t="shared" si="16"/>
        <v>0</v>
      </c>
      <c r="G112" s="65">
        <f t="shared" si="16"/>
        <v>0</v>
      </c>
      <c r="H112" s="65">
        <f t="shared" si="16"/>
        <v>0</v>
      </c>
      <c r="I112" s="65">
        <f t="shared" si="16"/>
        <v>0</v>
      </c>
      <c r="J112" s="65">
        <f t="shared" si="16"/>
        <v>0</v>
      </c>
      <c r="K112" s="65">
        <f t="shared" si="16"/>
        <v>0</v>
      </c>
      <c r="L112" s="65">
        <f t="shared" si="16"/>
        <v>0</v>
      </c>
      <c r="M112" s="65">
        <f t="shared" si="16"/>
        <v>0</v>
      </c>
      <c r="N112" s="65">
        <f t="shared" si="16"/>
        <v>0</v>
      </c>
      <c r="O112" s="66">
        <f t="shared" si="16"/>
        <v>0</v>
      </c>
      <c r="Q112" s="149">
        <f>SUM(Q102:Q111)</f>
        <v>0</v>
      </c>
      <c r="R112" s="150">
        <f>SUM(R102:R111)</f>
        <v>0</v>
      </c>
      <c r="S112" s="150">
        <f>SUM(S102:S111)</f>
        <v>0</v>
      </c>
      <c r="T112" s="150">
        <f>SUM(T102:T111)</f>
        <v>0</v>
      </c>
      <c r="U112" s="66">
        <f>SUM(U102:U111)</f>
        <v>0</v>
      </c>
    </row>
    <row r="113" spans="1:21" hidden="1" outlineLevel="1" x14ac:dyDescent="0.2">
      <c r="A113" s="43" t="str">
        <f>IF($E$10="-",$C$4,$E$10)</f>
        <v/>
      </c>
      <c r="B113" s="98" t="str">
        <f>IFERROR(INDEX(Maestro!FcDetalle,MATCH(A113,Maestro!FcClave,0),5),"")</f>
        <v/>
      </c>
      <c r="C113" s="111" t="str">
        <f>IFERROR(INDEX(Venta!FcDetalle,MATCH(CONCATENATE(A113,"GT"),Venta!FcClave,0),FcInicioCantMes+0),"")</f>
        <v/>
      </c>
      <c r="D113" s="111" t="str">
        <f>IFERROR(INDEX(Venta!FcDetalle,MATCH(CONCATENATE(A113,"GT"),Venta!FcClave,0),FcInicioCantMes+1),"")</f>
        <v/>
      </c>
      <c r="E113" s="111" t="str">
        <f>IFERROR(INDEX(Venta!FcDetalle,MATCH(CONCATENATE(A113,"GT"),Venta!FcClave,0),FcInicioCantMes+2),"")</f>
        <v/>
      </c>
      <c r="F113" s="111" t="str">
        <f>IFERROR(INDEX(Venta!FcDetalle,MATCH(CONCATENATE(A113,"GT"),Venta!FcClave,0),FcInicioCantMes+3),"")</f>
        <v/>
      </c>
      <c r="G113" s="111" t="str">
        <f>IFERROR(INDEX(Venta!FcDetalle,MATCH(CONCATENATE(A113,"GT"),Venta!FcClave,0),FcInicioCantMes+4),"")</f>
        <v/>
      </c>
      <c r="H113" s="111" t="str">
        <f>IFERROR(INDEX(Venta!FcDetalle,MATCH(CONCATENATE(A113,"GT"),Venta!FcClave,0),FcInicioCantMes+5),"")</f>
        <v/>
      </c>
      <c r="I113" s="111" t="str">
        <f>IFERROR(INDEX(Venta!FcDetalle,MATCH(CONCATENATE(A113,"GT"),Venta!FcClave,0),FcInicioCantMes+6),"")</f>
        <v/>
      </c>
      <c r="J113" s="111" t="str">
        <f>IFERROR(INDEX(Venta!FcDetalle,MATCH(CONCATENATE(A113,"GT"),Venta!FcClave,0),FcInicioCantMes+7),"")</f>
        <v/>
      </c>
      <c r="K113" s="111" t="str">
        <f>IFERROR(INDEX(Venta!FcDetalle,MATCH(CONCATENATE(A113,"GT"),Venta!FcClave,0),FcInicioCantMes+8),"")</f>
        <v/>
      </c>
      <c r="L113" s="111" t="str">
        <f>IFERROR(INDEX(Venta!FcDetalle,MATCH(CONCATENATE(A113,"GT"),Venta!FcClave,0),FcInicioCantMes+9),"")</f>
        <v/>
      </c>
      <c r="M113" s="111" t="str">
        <f>IFERROR(INDEX(Venta!FcDetalle,MATCH(CONCATENATE(A113,"GT"),Venta!FcClave,0),FcInicioCantMes+10),"")</f>
        <v/>
      </c>
      <c r="N113" s="111" t="str">
        <f>IFERROR(INDEX(Venta!FcDetalle,MATCH(CONCATENATE(A113,"GT"),Venta!FcClave,0),FcInicioCantMes+11),"")</f>
        <v/>
      </c>
      <c r="O113" s="112" t="str">
        <f>IFERROR(INDEX(Venta!FcDetalle,MATCH(CONCATENATE(A113,"GT"),Venta!FcClave,0),FcInicioCantMes+12),"")</f>
        <v/>
      </c>
      <c r="Q113" s="146" t="str">
        <f>IFERROR(INDEX(Venta!FcDetalle,MATCH(CONCATENATE(A113,"GT"),Venta!FcClave,0),FcInicioCantAnual+0),"")</f>
        <v/>
      </c>
      <c r="R113" s="147" t="str">
        <f>IFERROR(INDEX(Venta!FcDetalle,MATCH(CONCATENATE(A113,"GT"),Venta!FcClave,0),FcInicioCantAnual+1),"")</f>
        <v/>
      </c>
      <c r="S113" s="147" t="str">
        <f>IFERROR(INDEX(Venta!FcDetalle,MATCH(CONCATENATE(A113,"GT"),Venta!FcClave,0),FcInicioCantAnual+2),"")</f>
        <v/>
      </c>
      <c r="T113" s="147" t="str">
        <f>IFERROR(INDEX(Venta!FcDetalle,MATCH(CONCATENATE(A113,"GT"),Venta!FcClave,0),FcInicioCantAnual+3),"")</f>
        <v/>
      </c>
      <c r="U113" s="148" t="str">
        <f>IFERROR(IF(FcCheckProy=FALSE,INDEX(Venta!FcDetalle,MATCH(CONCATENATE(A113,"GT"),Venta!FcClave,0),FcInicioCantAnual+4),INDEX(Venta!FcDetalle,MATCH(CONCATENATE(A113,"GT"),Venta!FcClave,0),FcInicioCantAnual+5)),"")</f>
        <v/>
      </c>
    </row>
    <row r="114" spans="1:21" hidden="1" outlineLevel="1" x14ac:dyDescent="0.2">
      <c r="A114" s="43" t="str">
        <f>IF($F$10="-","",$F$10)</f>
        <v/>
      </c>
      <c r="B114" s="98" t="str">
        <f>IFERROR(INDEX(Maestro!FcDetalle,MATCH(A114,Maestro!FcClave,0),5),"")</f>
        <v/>
      </c>
      <c r="C114" s="111" t="str">
        <f>IFERROR(INDEX(Venta!FcDetalle,MATCH(CONCATENATE(A114,"GT"),Venta!FcClave,0),FcInicioCantMes+0),"")</f>
        <v/>
      </c>
      <c r="D114" s="111" t="str">
        <f>IFERROR(INDEX(Venta!FcDetalle,MATCH(CONCATENATE(A114,"GT"),Venta!FcClave,0),FcInicioCantMes+1),"")</f>
        <v/>
      </c>
      <c r="E114" s="111" t="str">
        <f>IFERROR(INDEX(Venta!FcDetalle,MATCH(CONCATENATE(A114,"GT"),Venta!FcClave,0),FcInicioCantMes+2),"")</f>
        <v/>
      </c>
      <c r="F114" s="111" t="str">
        <f>IFERROR(INDEX(Venta!FcDetalle,MATCH(CONCATENATE(A114,"GT"),Venta!FcClave,0),FcInicioCantMes+3),"")</f>
        <v/>
      </c>
      <c r="G114" s="111" t="str">
        <f>IFERROR(INDEX(Venta!FcDetalle,MATCH(CONCATENATE(A114,"GT"),Venta!FcClave,0),FcInicioCantMes+4),"")</f>
        <v/>
      </c>
      <c r="H114" s="111" t="str">
        <f>IFERROR(INDEX(Venta!FcDetalle,MATCH(CONCATENATE(A114,"GT"),Venta!FcClave,0),FcInicioCantMes+5),"")</f>
        <v/>
      </c>
      <c r="I114" s="111" t="str">
        <f>IFERROR(INDEX(Venta!FcDetalle,MATCH(CONCATENATE(A114,"GT"),Venta!FcClave,0),FcInicioCantMes+6),"")</f>
        <v/>
      </c>
      <c r="J114" s="111" t="str">
        <f>IFERROR(INDEX(Venta!FcDetalle,MATCH(CONCATENATE(A114,"GT"),Venta!FcClave,0),FcInicioCantMes+7),"")</f>
        <v/>
      </c>
      <c r="K114" s="111" t="str">
        <f>IFERROR(INDEX(Venta!FcDetalle,MATCH(CONCATENATE(A114,"GT"),Venta!FcClave,0),FcInicioCantMes+8),"")</f>
        <v/>
      </c>
      <c r="L114" s="111" t="str">
        <f>IFERROR(INDEX(Venta!FcDetalle,MATCH(CONCATENATE(A114,"GT"),Venta!FcClave,0),FcInicioCantMes+9),"")</f>
        <v/>
      </c>
      <c r="M114" s="111" t="str">
        <f>IFERROR(INDEX(Venta!FcDetalle,MATCH(CONCATENATE(A114,"GT"),Venta!FcClave,0),FcInicioCantMes+10),"")</f>
        <v/>
      </c>
      <c r="N114" s="111" t="str">
        <f>IFERROR(INDEX(Venta!FcDetalle,MATCH(CONCATENATE(A114,"GT"),Venta!FcClave,0),FcInicioCantMes+11),"")</f>
        <v/>
      </c>
      <c r="O114" s="112" t="str">
        <f>IFERROR(INDEX(Venta!FcDetalle,MATCH(CONCATENATE(A114,"GT"),Venta!FcClave,0),FcInicioCantMes+12),"")</f>
        <v/>
      </c>
      <c r="Q114" s="142" t="str">
        <f>IFERROR(INDEX(Venta!FcDetalle,MATCH(CONCATENATE(A114,"GT"),Venta!FcClave,0),FcInicioCantAnual+0),"")</f>
        <v/>
      </c>
      <c r="R114" s="63" t="str">
        <f>IFERROR(INDEX(Venta!FcDetalle,MATCH(CONCATENATE(A114,"GT"),Venta!FcClave,0),FcInicioCantAnual+1),"")</f>
        <v/>
      </c>
      <c r="S114" s="63" t="str">
        <f>IFERROR(INDEX(Venta!FcDetalle,MATCH(CONCATENATE(A114,"GT"),Venta!FcClave,0),FcInicioCantAnual+2),"")</f>
        <v/>
      </c>
      <c r="T114" s="63" t="str">
        <f>IFERROR(INDEX(Venta!FcDetalle,MATCH(CONCATENATE(A114,"GT"),Venta!FcClave,0),FcInicioCantAnual+3),"")</f>
        <v/>
      </c>
      <c r="U114" s="64" t="str">
        <f>IFERROR(IF(FcCheckProy=FALSE,INDEX(Venta!FcDetalle,MATCH(CONCATENATE(A114,"GT"),Venta!FcClave,0),FcInicioCantAnual+4),INDEX(Venta!FcDetalle,MATCH(CONCATENATE(A114,"GT"),Venta!FcClave,0),FcInicioCantAnual+5)),"")</f>
        <v/>
      </c>
    </row>
    <row r="115" spans="1:21" hidden="1" outlineLevel="1" x14ac:dyDescent="0.2">
      <c r="A115" s="43" t="str">
        <f>IF($G$10="-","",$G$10)</f>
        <v/>
      </c>
      <c r="B115" s="98" t="str">
        <f>IFERROR(INDEX(Maestro!FcDetalle,MATCH(A115,Maestro!FcClave,0),5),"")</f>
        <v/>
      </c>
      <c r="C115" s="111" t="str">
        <f>IFERROR(INDEX(Venta!FcDetalle,MATCH(CONCATENATE(A115,"GT"),Venta!FcClave,0),FcInicioCantMes+0),"")</f>
        <v/>
      </c>
      <c r="D115" s="111" t="str">
        <f>IFERROR(INDEX(Venta!FcDetalle,MATCH(CONCATENATE(A115,"GT"),Venta!FcClave,0),FcInicioCantMes+1),"")</f>
        <v/>
      </c>
      <c r="E115" s="111" t="str">
        <f>IFERROR(INDEX(Venta!FcDetalle,MATCH(CONCATENATE(A115,"GT"),Venta!FcClave,0),FcInicioCantMes+2),"")</f>
        <v/>
      </c>
      <c r="F115" s="111" t="str">
        <f>IFERROR(INDEX(Venta!FcDetalle,MATCH(CONCATENATE(A115,"GT"),Venta!FcClave,0),FcInicioCantMes+3),"")</f>
        <v/>
      </c>
      <c r="G115" s="111" t="str">
        <f>IFERROR(INDEX(Venta!FcDetalle,MATCH(CONCATENATE(A115,"GT"),Venta!FcClave,0),FcInicioCantMes+4),"")</f>
        <v/>
      </c>
      <c r="H115" s="111" t="str">
        <f>IFERROR(INDEX(Venta!FcDetalle,MATCH(CONCATENATE(A115,"GT"),Venta!FcClave,0),FcInicioCantMes+5),"")</f>
        <v/>
      </c>
      <c r="I115" s="111" t="str">
        <f>IFERROR(INDEX(Venta!FcDetalle,MATCH(CONCATENATE(A115,"GT"),Venta!FcClave,0),FcInicioCantMes+6),"")</f>
        <v/>
      </c>
      <c r="J115" s="111" t="str">
        <f>IFERROR(INDEX(Venta!FcDetalle,MATCH(CONCATENATE(A115,"GT"),Venta!FcClave,0),FcInicioCantMes+7),"")</f>
        <v/>
      </c>
      <c r="K115" s="111" t="str">
        <f>IFERROR(INDEX(Venta!FcDetalle,MATCH(CONCATENATE(A115,"GT"),Venta!FcClave,0),FcInicioCantMes+8),"")</f>
        <v/>
      </c>
      <c r="L115" s="111" t="str">
        <f>IFERROR(INDEX(Venta!FcDetalle,MATCH(CONCATENATE(A115,"GT"),Venta!FcClave,0),FcInicioCantMes+9),"")</f>
        <v/>
      </c>
      <c r="M115" s="111" t="str">
        <f>IFERROR(INDEX(Venta!FcDetalle,MATCH(CONCATENATE(A115,"GT"),Venta!FcClave,0),FcInicioCantMes+10),"")</f>
        <v/>
      </c>
      <c r="N115" s="111" t="str">
        <f>IFERROR(INDEX(Venta!FcDetalle,MATCH(CONCATENATE(A115,"GT"),Venta!FcClave,0),FcInicioCantMes+11),"")</f>
        <v/>
      </c>
      <c r="O115" s="112" t="str">
        <f>IFERROR(INDEX(Venta!FcDetalle,MATCH(CONCATENATE(A115,"GT"),Venta!FcClave,0),FcInicioCantMes+12),"")</f>
        <v/>
      </c>
      <c r="Q115" s="142" t="str">
        <f>IFERROR(INDEX(Venta!FcDetalle,MATCH(CONCATENATE(A115,"GT"),Venta!FcClave,0),FcInicioCantAnual+0),"")</f>
        <v/>
      </c>
      <c r="R115" s="63" t="str">
        <f>IFERROR(INDEX(Venta!FcDetalle,MATCH(CONCATENATE(A115,"GT"),Venta!FcClave,0),FcInicioCantAnual+1),"")</f>
        <v/>
      </c>
      <c r="S115" s="63" t="str">
        <f>IFERROR(INDEX(Venta!FcDetalle,MATCH(CONCATENATE(A115,"GT"),Venta!FcClave,0),FcInicioCantAnual+2),"")</f>
        <v/>
      </c>
      <c r="T115" s="63" t="str">
        <f>IFERROR(INDEX(Venta!FcDetalle,MATCH(CONCATENATE(A115,"GT"),Venta!FcClave,0),FcInicioCantAnual+3),"")</f>
        <v/>
      </c>
      <c r="U115" s="64" t="str">
        <f>IFERROR(IF(FcCheckProy=FALSE,INDEX(Venta!FcDetalle,MATCH(CONCATENATE(A115,"GT"),Venta!FcClave,0),FcInicioCantAnual+4),INDEX(Venta!FcDetalle,MATCH(CONCATENATE(A115,"GT"),Venta!FcClave,0),FcInicioCantAnual+5)),"")</f>
        <v/>
      </c>
    </row>
    <row r="116" spans="1:21" hidden="1" outlineLevel="1" x14ac:dyDescent="0.2">
      <c r="A116" s="43" t="str">
        <f>IF($H$10="-","",$H$10)</f>
        <v/>
      </c>
      <c r="B116" s="98" t="str">
        <f>IFERROR(INDEX(Maestro!FcDetalle,MATCH(A116,Maestro!FcClave,0),5),"")</f>
        <v/>
      </c>
      <c r="C116" s="111" t="str">
        <f>IFERROR(INDEX(Venta!FcDetalle,MATCH(CONCATENATE(A116,"GT"),Venta!FcClave,0),FcInicioCantMes+0),"")</f>
        <v/>
      </c>
      <c r="D116" s="111" t="str">
        <f>IFERROR(INDEX(Venta!FcDetalle,MATCH(CONCATENATE(A116,"GT"),Venta!FcClave,0),FcInicioCantMes+1),"")</f>
        <v/>
      </c>
      <c r="E116" s="111" t="str">
        <f>IFERROR(INDEX(Venta!FcDetalle,MATCH(CONCATENATE(A116,"GT"),Venta!FcClave,0),FcInicioCantMes+2),"")</f>
        <v/>
      </c>
      <c r="F116" s="111" t="str">
        <f>IFERROR(INDEX(Venta!FcDetalle,MATCH(CONCATENATE(A116,"GT"),Venta!FcClave,0),FcInicioCantMes+3),"")</f>
        <v/>
      </c>
      <c r="G116" s="111" t="str">
        <f>IFERROR(INDEX(Venta!FcDetalle,MATCH(CONCATENATE(A116,"GT"),Venta!FcClave,0),FcInicioCantMes+4),"")</f>
        <v/>
      </c>
      <c r="H116" s="111" t="str">
        <f>IFERROR(INDEX(Venta!FcDetalle,MATCH(CONCATENATE(A116,"GT"),Venta!FcClave,0),FcInicioCantMes+5),"")</f>
        <v/>
      </c>
      <c r="I116" s="111" t="str">
        <f>IFERROR(INDEX(Venta!FcDetalle,MATCH(CONCATENATE(A116,"GT"),Venta!FcClave,0),FcInicioCantMes+6),"")</f>
        <v/>
      </c>
      <c r="J116" s="111" t="str">
        <f>IFERROR(INDEX(Venta!FcDetalle,MATCH(CONCATENATE(A116,"GT"),Venta!FcClave,0),FcInicioCantMes+7),"")</f>
        <v/>
      </c>
      <c r="K116" s="111" t="str">
        <f>IFERROR(INDEX(Venta!FcDetalle,MATCH(CONCATENATE(A116,"GT"),Venta!FcClave,0),FcInicioCantMes+8),"")</f>
        <v/>
      </c>
      <c r="L116" s="111" t="str">
        <f>IFERROR(INDEX(Venta!FcDetalle,MATCH(CONCATENATE(A116,"GT"),Venta!FcClave,0),FcInicioCantMes+9),"")</f>
        <v/>
      </c>
      <c r="M116" s="111" t="str">
        <f>IFERROR(INDEX(Venta!FcDetalle,MATCH(CONCATENATE(A116,"GT"),Venta!FcClave,0),FcInicioCantMes+10),"")</f>
        <v/>
      </c>
      <c r="N116" s="111" t="str">
        <f>IFERROR(INDEX(Venta!FcDetalle,MATCH(CONCATENATE(A116,"GT"),Venta!FcClave,0),FcInicioCantMes+11),"")</f>
        <v/>
      </c>
      <c r="O116" s="112" t="str">
        <f>IFERROR(INDEX(Venta!FcDetalle,MATCH(CONCATENATE(A116,"GT"),Venta!FcClave,0),FcInicioCantMes+12),"")</f>
        <v/>
      </c>
      <c r="Q116" s="142" t="str">
        <f>IFERROR(INDEX(Venta!FcDetalle,MATCH(CONCATENATE(A116,"GT"),Venta!FcClave,0),FcInicioCantAnual+0),"")</f>
        <v/>
      </c>
      <c r="R116" s="63" t="str">
        <f>IFERROR(INDEX(Venta!FcDetalle,MATCH(CONCATENATE(A116,"GT"),Venta!FcClave,0),FcInicioCantAnual+1),"")</f>
        <v/>
      </c>
      <c r="S116" s="63" t="str">
        <f>IFERROR(INDEX(Venta!FcDetalle,MATCH(CONCATENATE(A116,"GT"),Venta!FcClave,0),FcInicioCantAnual+2),"")</f>
        <v/>
      </c>
      <c r="T116" s="63" t="str">
        <f>IFERROR(INDEX(Venta!FcDetalle,MATCH(CONCATENATE(A116,"GT"),Venta!FcClave,0),FcInicioCantAnual+3),"")</f>
        <v/>
      </c>
      <c r="U116" s="64" t="str">
        <f>IFERROR(IF(FcCheckProy=FALSE,INDEX(Venta!FcDetalle,MATCH(CONCATENATE(A116,"GT"),Venta!FcClave,0),FcInicioCantAnual+4),INDEX(Venta!FcDetalle,MATCH(CONCATENATE(A116,"GT"),Venta!FcClave,0),FcInicioCantAnual+5)),"")</f>
        <v/>
      </c>
    </row>
    <row r="117" spans="1:21" hidden="1" outlineLevel="1" x14ac:dyDescent="0.2">
      <c r="A117" s="43" t="str">
        <f>IF($I$10="-","",$I$10)</f>
        <v/>
      </c>
      <c r="B117" s="98" t="str">
        <f>IFERROR(INDEX(Maestro!FcDetalle,MATCH(A117,Maestro!FcClave,0),5),"")</f>
        <v/>
      </c>
      <c r="C117" s="111" t="str">
        <f>IFERROR(INDEX(Venta!FcDetalle,MATCH(CONCATENATE(A117,"GT"),Venta!FcClave,0),FcInicioCantMes+0),"")</f>
        <v/>
      </c>
      <c r="D117" s="111" t="str">
        <f>IFERROR(INDEX(Venta!FcDetalle,MATCH(CONCATENATE(A117,"GT"),Venta!FcClave,0),FcInicioCantMes+1),"")</f>
        <v/>
      </c>
      <c r="E117" s="111" t="str">
        <f>IFERROR(INDEX(Venta!FcDetalle,MATCH(CONCATENATE(A117,"GT"),Venta!FcClave,0),FcInicioCantMes+2),"")</f>
        <v/>
      </c>
      <c r="F117" s="111" t="str">
        <f>IFERROR(INDEX(Venta!FcDetalle,MATCH(CONCATENATE(A117,"GT"),Venta!FcClave,0),FcInicioCantMes+3),"")</f>
        <v/>
      </c>
      <c r="G117" s="111" t="str">
        <f>IFERROR(INDEX(Venta!FcDetalle,MATCH(CONCATENATE(A117,"GT"),Venta!FcClave,0),FcInicioCantMes+4),"")</f>
        <v/>
      </c>
      <c r="H117" s="111" t="str">
        <f>IFERROR(INDEX(Venta!FcDetalle,MATCH(CONCATENATE(A117,"GT"),Venta!FcClave,0),FcInicioCantMes+5),"")</f>
        <v/>
      </c>
      <c r="I117" s="111" t="str">
        <f>IFERROR(INDEX(Venta!FcDetalle,MATCH(CONCATENATE(A117,"GT"),Venta!FcClave,0),FcInicioCantMes+6),"")</f>
        <v/>
      </c>
      <c r="J117" s="111" t="str">
        <f>IFERROR(INDEX(Venta!FcDetalle,MATCH(CONCATENATE(A117,"GT"),Venta!FcClave,0),FcInicioCantMes+7),"")</f>
        <v/>
      </c>
      <c r="K117" s="111" t="str">
        <f>IFERROR(INDEX(Venta!FcDetalle,MATCH(CONCATENATE(A117,"GT"),Venta!FcClave,0),FcInicioCantMes+8),"")</f>
        <v/>
      </c>
      <c r="L117" s="111" t="str">
        <f>IFERROR(INDEX(Venta!FcDetalle,MATCH(CONCATENATE(A117,"GT"),Venta!FcClave,0),FcInicioCantMes+9),"")</f>
        <v/>
      </c>
      <c r="M117" s="111" t="str">
        <f>IFERROR(INDEX(Venta!FcDetalle,MATCH(CONCATENATE(A117,"GT"),Venta!FcClave,0),FcInicioCantMes+10),"")</f>
        <v/>
      </c>
      <c r="N117" s="111" t="str">
        <f>IFERROR(INDEX(Venta!FcDetalle,MATCH(CONCATENATE(A117,"GT"),Venta!FcClave,0),FcInicioCantMes+11),"")</f>
        <v/>
      </c>
      <c r="O117" s="112" t="str">
        <f>IFERROR(INDEX(Venta!FcDetalle,MATCH(CONCATENATE(A117,"GT"),Venta!FcClave,0),FcInicioCantMes+12),"")</f>
        <v/>
      </c>
      <c r="Q117" s="142" t="str">
        <f>IFERROR(INDEX(Venta!FcDetalle,MATCH(CONCATENATE(A117,"GT"),Venta!FcClave,0),FcInicioCantAnual+0),"")</f>
        <v/>
      </c>
      <c r="R117" s="63" t="str">
        <f>IFERROR(INDEX(Venta!FcDetalle,MATCH(CONCATENATE(A117,"GT"),Venta!FcClave,0),FcInicioCantAnual+1),"")</f>
        <v/>
      </c>
      <c r="S117" s="63" t="str">
        <f>IFERROR(INDEX(Venta!FcDetalle,MATCH(CONCATENATE(A117,"GT"),Venta!FcClave,0),FcInicioCantAnual+2),"")</f>
        <v/>
      </c>
      <c r="T117" s="63" t="str">
        <f>IFERROR(INDEX(Venta!FcDetalle,MATCH(CONCATENATE(A117,"GT"),Venta!FcClave,0),FcInicioCantAnual+3),"")</f>
        <v/>
      </c>
      <c r="U117" s="64" t="str">
        <f>IFERROR(IF(FcCheckProy=FALSE,INDEX(Venta!FcDetalle,MATCH(CONCATENATE(A117,"GT"),Venta!FcClave,0),FcInicioCantAnual+4),INDEX(Venta!FcDetalle,MATCH(CONCATENATE(A117,"GT"),Venta!FcClave,0),FcInicioCantAnual+5)),"")</f>
        <v/>
      </c>
    </row>
    <row r="118" spans="1:21" hidden="1" outlineLevel="1" x14ac:dyDescent="0.2">
      <c r="A118" s="43" t="str">
        <f>IF($J$10="-","",$J$10)</f>
        <v/>
      </c>
      <c r="B118" s="98" t="str">
        <f>IFERROR(INDEX(Maestro!FcDetalle,MATCH(A118,Maestro!FcClave,0),5),"")</f>
        <v/>
      </c>
      <c r="C118" s="111" t="str">
        <f>IFERROR(INDEX(Venta!FcDetalle,MATCH(CONCATENATE(A118,"GT"),Venta!FcClave,0),FcInicioCantMes+0),"")</f>
        <v/>
      </c>
      <c r="D118" s="111" t="str">
        <f>IFERROR(INDEX(Venta!FcDetalle,MATCH(CONCATENATE(A118,"GT"),Venta!FcClave,0),FcInicioCantMes+1),"")</f>
        <v/>
      </c>
      <c r="E118" s="111" t="str">
        <f>IFERROR(INDEX(Venta!FcDetalle,MATCH(CONCATENATE(A118,"GT"),Venta!FcClave,0),FcInicioCantMes+2),"")</f>
        <v/>
      </c>
      <c r="F118" s="111" t="str">
        <f>IFERROR(INDEX(Venta!FcDetalle,MATCH(CONCATENATE(A118,"GT"),Venta!FcClave,0),FcInicioCantMes+3),"")</f>
        <v/>
      </c>
      <c r="G118" s="111" t="str">
        <f>IFERROR(INDEX(Venta!FcDetalle,MATCH(CONCATENATE(A118,"GT"),Venta!FcClave,0),FcInicioCantMes+4),"")</f>
        <v/>
      </c>
      <c r="H118" s="111" t="str">
        <f>IFERROR(INDEX(Venta!FcDetalle,MATCH(CONCATENATE(A118,"GT"),Venta!FcClave,0),FcInicioCantMes+5),"")</f>
        <v/>
      </c>
      <c r="I118" s="111" t="str">
        <f>IFERROR(INDEX(Venta!FcDetalle,MATCH(CONCATENATE(A118,"GT"),Venta!FcClave,0),FcInicioCantMes+6),"")</f>
        <v/>
      </c>
      <c r="J118" s="111" t="str">
        <f>IFERROR(INDEX(Venta!FcDetalle,MATCH(CONCATENATE(A118,"GT"),Venta!FcClave,0),FcInicioCantMes+7),"")</f>
        <v/>
      </c>
      <c r="K118" s="111" t="str">
        <f>IFERROR(INDEX(Venta!FcDetalle,MATCH(CONCATENATE(A118,"GT"),Venta!FcClave,0),FcInicioCantMes+8),"")</f>
        <v/>
      </c>
      <c r="L118" s="111" t="str">
        <f>IFERROR(INDEX(Venta!FcDetalle,MATCH(CONCATENATE(A118,"GT"),Venta!FcClave,0),FcInicioCantMes+9),"")</f>
        <v/>
      </c>
      <c r="M118" s="111" t="str">
        <f>IFERROR(INDEX(Venta!FcDetalle,MATCH(CONCATENATE(A118,"GT"),Venta!FcClave,0),FcInicioCantMes+10),"")</f>
        <v/>
      </c>
      <c r="N118" s="111" t="str">
        <f>IFERROR(INDEX(Venta!FcDetalle,MATCH(CONCATENATE(A118,"GT"),Venta!FcClave,0),FcInicioCantMes+11),"")</f>
        <v/>
      </c>
      <c r="O118" s="112" t="str">
        <f>IFERROR(INDEX(Venta!FcDetalle,MATCH(CONCATENATE(A118,"GT"),Venta!FcClave,0),FcInicioCantMes+12),"")</f>
        <v/>
      </c>
      <c r="Q118" s="142" t="str">
        <f>IFERROR(INDEX(Venta!FcDetalle,MATCH(CONCATENATE(A118,"GT"),Venta!FcClave,0),FcInicioCantAnual+0),"")</f>
        <v/>
      </c>
      <c r="R118" s="63" t="str">
        <f>IFERROR(INDEX(Venta!FcDetalle,MATCH(CONCATENATE(A118,"GT"),Venta!FcClave,0),FcInicioCantAnual+1),"")</f>
        <v/>
      </c>
      <c r="S118" s="63" t="str">
        <f>IFERROR(INDEX(Venta!FcDetalle,MATCH(CONCATENATE(A118,"GT"),Venta!FcClave,0),FcInicioCantAnual+2),"")</f>
        <v/>
      </c>
      <c r="T118" s="63" t="str">
        <f>IFERROR(INDEX(Venta!FcDetalle,MATCH(CONCATENATE(A118,"GT"),Venta!FcClave,0),FcInicioCantAnual+3),"")</f>
        <v/>
      </c>
      <c r="U118" s="64" t="str">
        <f>IFERROR(IF(FcCheckProy=FALSE,INDEX(Venta!FcDetalle,MATCH(CONCATENATE(A118,"GT"),Venta!FcClave,0),FcInicioCantAnual+4),INDEX(Venta!FcDetalle,MATCH(CONCATENATE(A118,"GT"),Venta!FcClave,0),FcInicioCantAnual+5)),"")</f>
        <v/>
      </c>
    </row>
    <row r="119" spans="1:21" hidden="1" outlineLevel="1" x14ac:dyDescent="0.2">
      <c r="A119" s="43" t="str">
        <f>IF($K$10="-","",$K$10)</f>
        <v/>
      </c>
      <c r="B119" s="98" t="str">
        <f>IFERROR(INDEX(Maestro!FcDetalle,MATCH(A119,Maestro!FcClave,0),5),"")</f>
        <v/>
      </c>
      <c r="C119" s="111" t="str">
        <f>IFERROR(INDEX(Venta!FcDetalle,MATCH(CONCATENATE(A119,"GT"),Venta!FcClave,0),FcInicioCantMes+0),"")</f>
        <v/>
      </c>
      <c r="D119" s="111" t="str">
        <f>IFERROR(INDEX(Venta!FcDetalle,MATCH(CONCATENATE(A119,"GT"),Venta!FcClave,0),FcInicioCantMes+1),"")</f>
        <v/>
      </c>
      <c r="E119" s="111" t="str">
        <f>IFERROR(INDEX(Venta!FcDetalle,MATCH(CONCATENATE(A119,"GT"),Venta!FcClave,0),FcInicioCantMes+2),"")</f>
        <v/>
      </c>
      <c r="F119" s="111" t="str">
        <f>IFERROR(INDEX(Venta!FcDetalle,MATCH(CONCATENATE(A119,"GT"),Venta!FcClave,0),FcInicioCantMes+3),"")</f>
        <v/>
      </c>
      <c r="G119" s="111" t="str">
        <f>IFERROR(INDEX(Venta!FcDetalle,MATCH(CONCATENATE(A119,"GT"),Venta!FcClave,0),FcInicioCantMes+4),"")</f>
        <v/>
      </c>
      <c r="H119" s="111" t="str">
        <f>IFERROR(INDEX(Venta!FcDetalle,MATCH(CONCATENATE(A119,"GT"),Venta!FcClave,0),FcInicioCantMes+5),"")</f>
        <v/>
      </c>
      <c r="I119" s="111" t="str">
        <f>IFERROR(INDEX(Venta!FcDetalle,MATCH(CONCATENATE(A119,"GT"),Venta!FcClave,0),FcInicioCantMes+6),"")</f>
        <v/>
      </c>
      <c r="J119" s="111" t="str">
        <f>IFERROR(INDEX(Venta!FcDetalle,MATCH(CONCATENATE(A119,"GT"),Venta!FcClave,0),FcInicioCantMes+7),"")</f>
        <v/>
      </c>
      <c r="K119" s="111" t="str">
        <f>IFERROR(INDEX(Venta!FcDetalle,MATCH(CONCATENATE(A119,"GT"),Venta!FcClave,0),FcInicioCantMes+8),"")</f>
        <v/>
      </c>
      <c r="L119" s="111" t="str">
        <f>IFERROR(INDEX(Venta!FcDetalle,MATCH(CONCATENATE(A119,"GT"),Venta!FcClave,0),FcInicioCantMes+9),"")</f>
        <v/>
      </c>
      <c r="M119" s="111" t="str">
        <f>IFERROR(INDEX(Venta!FcDetalle,MATCH(CONCATENATE(A119,"GT"),Venta!FcClave,0),FcInicioCantMes+10),"")</f>
        <v/>
      </c>
      <c r="N119" s="111" t="str">
        <f>IFERROR(INDEX(Venta!FcDetalle,MATCH(CONCATENATE(A119,"GT"),Venta!FcClave,0),FcInicioCantMes+11),"")</f>
        <v/>
      </c>
      <c r="O119" s="112" t="str">
        <f>IFERROR(INDEX(Venta!FcDetalle,MATCH(CONCATENATE(A119,"GT"),Venta!FcClave,0),FcInicioCantMes+12),"")</f>
        <v/>
      </c>
      <c r="Q119" s="142" t="str">
        <f>IFERROR(INDEX(Venta!FcDetalle,MATCH(CONCATENATE(A119,"GT"),Venta!FcClave,0),FcInicioCantAnual+0),"")</f>
        <v/>
      </c>
      <c r="R119" s="63" t="str">
        <f>IFERROR(INDEX(Venta!FcDetalle,MATCH(CONCATENATE(A119,"GT"),Venta!FcClave,0),FcInicioCantAnual+1),"")</f>
        <v/>
      </c>
      <c r="S119" s="63" t="str">
        <f>IFERROR(INDEX(Venta!FcDetalle,MATCH(CONCATENATE(A119,"GT"),Venta!FcClave,0),FcInicioCantAnual+2),"")</f>
        <v/>
      </c>
      <c r="T119" s="63" t="str">
        <f>IFERROR(INDEX(Venta!FcDetalle,MATCH(CONCATENATE(A119,"GT"),Venta!FcClave,0),FcInicioCantAnual+3),"")</f>
        <v/>
      </c>
      <c r="U119" s="64" t="str">
        <f>IFERROR(IF(FcCheckProy=FALSE,INDEX(Venta!FcDetalle,MATCH(CONCATENATE(A119,"GT"),Venta!FcClave,0),FcInicioCantAnual+4),INDEX(Venta!FcDetalle,MATCH(CONCATENATE(A119,"GT"),Venta!FcClave,0),FcInicioCantAnual+5)),"")</f>
        <v/>
      </c>
    </row>
    <row r="120" spans="1:21" hidden="1" outlineLevel="1" x14ac:dyDescent="0.2">
      <c r="A120" s="43" t="str">
        <f>IF($I$9="-","",$I$9)</f>
        <v/>
      </c>
      <c r="B120" s="98" t="str">
        <f>IFERROR(INDEX(Maestro!FcDetalle,MATCH(A120,Maestro!FcClave,0),5),"")</f>
        <v/>
      </c>
      <c r="C120" s="111" t="str">
        <f>IFERROR(INDEX(Venta!FcDetalle,MATCH(CONCATENATE(A120,"GT"),Venta!FcClave,0),FcInicioCantMes+0),"")</f>
        <v/>
      </c>
      <c r="D120" s="111" t="str">
        <f>IFERROR(INDEX(Venta!FcDetalle,MATCH(CONCATENATE(A120,"GT"),Venta!FcClave,0),FcInicioCantMes+1),"")</f>
        <v/>
      </c>
      <c r="E120" s="111" t="str">
        <f>IFERROR(INDEX(Venta!FcDetalle,MATCH(CONCATENATE(A120,"GT"),Venta!FcClave,0),FcInicioCantMes+2),"")</f>
        <v/>
      </c>
      <c r="F120" s="111" t="str">
        <f>IFERROR(INDEX(Venta!FcDetalle,MATCH(CONCATENATE(A120,"GT"),Venta!FcClave,0),FcInicioCantMes+3),"")</f>
        <v/>
      </c>
      <c r="G120" s="111" t="str">
        <f>IFERROR(INDEX(Venta!FcDetalle,MATCH(CONCATENATE(A120,"GT"),Venta!FcClave,0),FcInicioCantMes+4),"")</f>
        <v/>
      </c>
      <c r="H120" s="111" t="str">
        <f>IFERROR(INDEX(Venta!FcDetalle,MATCH(CONCATENATE(A120,"GT"),Venta!FcClave,0),FcInicioCantMes+5),"")</f>
        <v/>
      </c>
      <c r="I120" s="111" t="str">
        <f>IFERROR(INDEX(Venta!FcDetalle,MATCH(CONCATENATE(A120,"GT"),Venta!FcClave,0),FcInicioCantMes+6),"")</f>
        <v/>
      </c>
      <c r="J120" s="111" t="str">
        <f>IFERROR(INDEX(Venta!FcDetalle,MATCH(CONCATENATE(A120,"GT"),Venta!FcClave,0),FcInicioCantMes+7),"")</f>
        <v/>
      </c>
      <c r="K120" s="111" t="str">
        <f>IFERROR(INDEX(Venta!FcDetalle,MATCH(CONCATENATE(A120,"GT"),Venta!FcClave,0),FcInicioCantMes+8),"")</f>
        <v/>
      </c>
      <c r="L120" s="111" t="str">
        <f>IFERROR(INDEX(Venta!FcDetalle,MATCH(CONCATENATE(A120,"GT"),Venta!FcClave,0),FcInicioCantMes+9),"")</f>
        <v/>
      </c>
      <c r="M120" s="111" t="str">
        <f>IFERROR(INDEX(Venta!FcDetalle,MATCH(CONCATENATE(A120,"GT"),Venta!FcClave,0),FcInicioCantMes+10),"")</f>
        <v/>
      </c>
      <c r="N120" s="111" t="str">
        <f>IFERROR(INDEX(Venta!FcDetalle,MATCH(CONCATENATE(A120,"GT"),Venta!FcClave,0),FcInicioCantMes+11),"")</f>
        <v/>
      </c>
      <c r="O120" s="112" t="str">
        <f>IFERROR(INDEX(Venta!FcDetalle,MATCH(CONCATENATE(A120,"GT"),Venta!FcClave,0),FcInicioCantMes+12),"")</f>
        <v/>
      </c>
      <c r="Q120" s="142" t="str">
        <f>IFERROR(INDEX(Venta!FcDetalle,MATCH(CONCATENATE(A120,"GT"),Venta!FcClave,0),FcInicioCantAnual+0),"")</f>
        <v/>
      </c>
      <c r="R120" s="63" t="str">
        <f>IFERROR(INDEX(Venta!FcDetalle,MATCH(CONCATENATE(A120,"GT"),Venta!FcClave,0),FcInicioCantAnual+1),"")</f>
        <v/>
      </c>
      <c r="S120" s="63" t="str">
        <f>IFERROR(INDEX(Venta!FcDetalle,MATCH(CONCATENATE(A120,"GT"),Venta!FcClave,0),FcInicioCantAnual+2),"")</f>
        <v/>
      </c>
      <c r="T120" s="63" t="str">
        <f>IFERROR(INDEX(Venta!FcDetalle,MATCH(CONCATENATE(A120,"GT"),Venta!FcClave,0),FcInicioCantAnual+3),"")</f>
        <v/>
      </c>
      <c r="U120" s="64" t="str">
        <f>IFERROR(IF(FcCheckProy=FALSE,INDEX(Venta!FcDetalle,MATCH(CONCATENATE(A120,"GT"),Venta!FcClave,0),FcInicioCantAnual+4),INDEX(Venta!FcDetalle,MATCH(CONCATENATE(A120,"GT"),Venta!FcClave,0),FcInicioCantAnual+5)),"")</f>
        <v/>
      </c>
    </row>
    <row r="121" spans="1:21" hidden="1" outlineLevel="1" x14ac:dyDescent="0.2">
      <c r="A121" s="43" t="str">
        <f>IF($J$9="-","",$J$9)</f>
        <v/>
      </c>
      <c r="B121" s="98" t="str">
        <f>IFERROR(INDEX(Maestro!FcDetalle,MATCH(A121,Maestro!FcClave,0),5),"")</f>
        <v/>
      </c>
      <c r="C121" s="111" t="str">
        <f>IFERROR(INDEX(Venta!FcDetalle,MATCH(CONCATENATE(A121,"GT"),Venta!FcClave,0),FcInicioCantMes+0),"")</f>
        <v/>
      </c>
      <c r="D121" s="111" t="str">
        <f>IFERROR(INDEX(Venta!FcDetalle,MATCH(CONCATENATE(A121,"GT"),Venta!FcClave,0),FcInicioCantMes+1),"")</f>
        <v/>
      </c>
      <c r="E121" s="111" t="str">
        <f>IFERROR(INDEX(Venta!FcDetalle,MATCH(CONCATENATE(A121,"GT"),Venta!FcClave,0),FcInicioCantMes+2),"")</f>
        <v/>
      </c>
      <c r="F121" s="111" t="str">
        <f>IFERROR(INDEX(Venta!FcDetalle,MATCH(CONCATENATE(A121,"GT"),Venta!FcClave,0),FcInicioCantMes+3),"")</f>
        <v/>
      </c>
      <c r="G121" s="111" t="str">
        <f>IFERROR(INDEX(Venta!FcDetalle,MATCH(CONCATENATE(A121,"GT"),Venta!FcClave,0),FcInicioCantMes+4),"")</f>
        <v/>
      </c>
      <c r="H121" s="111" t="str">
        <f>IFERROR(INDEX(Venta!FcDetalle,MATCH(CONCATENATE(A121,"GT"),Venta!FcClave,0),FcInicioCantMes+5),"")</f>
        <v/>
      </c>
      <c r="I121" s="111" t="str">
        <f>IFERROR(INDEX(Venta!FcDetalle,MATCH(CONCATENATE(A121,"GT"),Venta!FcClave,0),FcInicioCantMes+6),"")</f>
        <v/>
      </c>
      <c r="J121" s="111" t="str">
        <f>IFERROR(INDEX(Venta!FcDetalle,MATCH(CONCATENATE(A121,"GT"),Venta!FcClave,0),FcInicioCantMes+7),"")</f>
        <v/>
      </c>
      <c r="K121" s="111" t="str">
        <f>IFERROR(INDEX(Venta!FcDetalle,MATCH(CONCATENATE(A121,"GT"),Venta!FcClave,0),FcInicioCantMes+8),"")</f>
        <v/>
      </c>
      <c r="L121" s="111" t="str">
        <f>IFERROR(INDEX(Venta!FcDetalle,MATCH(CONCATENATE(A121,"GT"),Venta!FcClave,0),FcInicioCantMes+9),"")</f>
        <v/>
      </c>
      <c r="M121" s="111" t="str">
        <f>IFERROR(INDEX(Venta!FcDetalle,MATCH(CONCATENATE(A121,"GT"),Venta!FcClave,0),FcInicioCantMes+10),"")</f>
        <v/>
      </c>
      <c r="N121" s="111" t="str">
        <f>IFERROR(INDEX(Venta!FcDetalle,MATCH(CONCATENATE(A121,"GT"),Venta!FcClave,0),FcInicioCantMes+11),"")</f>
        <v/>
      </c>
      <c r="O121" s="112" t="str">
        <f>IFERROR(INDEX(Venta!FcDetalle,MATCH(CONCATENATE(A121,"GT"),Venta!FcClave,0),FcInicioCantMes+12),"")</f>
        <v/>
      </c>
      <c r="Q121" s="142" t="str">
        <f>IFERROR(INDEX(Venta!FcDetalle,MATCH(CONCATENATE(A121,"GT"),Venta!FcClave,0),FcInicioCantAnual+0),"")</f>
        <v/>
      </c>
      <c r="R121" s="63" t="str">
        <f>IFERROR(INDEX(Venta!FcDetalle,MATCH(CONCATENATE(A121,"GT"),Venta!FcClave,0),FcInicioCantAnual+1),"")</f>
        <v/>
      </c>
      <c r="S121" s="63" t="str">
        <f>IFERROR(INDEX(Venta!FcDetalle,MATCH(CONCATENATE(A121,"GT"),Venta!FcClave,0),FcInicioCantAnual+2),"")</f>
        <v/>
      </c>
      <c r="T121" s="63" t="str">
        <f>IFERROR(INDEX(Venta!FcDetalle,MATCH(CONCATENATE(A121,"GT"),Venta!FcClave,0),FcInicioCantAnual+3),"")</f>
        <v/>
      </c>
      <c r="U121" s="64" t="str">
        <f>IFERROR(IF(FcCheckProy=FALSE,INDEX(Venta!FcDetalle,MATCH(CONCATENATE(A121,"GT"),Venta!FcClave,0),FcInicioCantAnual+4),INDEX(Venta!FcDetalle,MATCH(CONCATENATE(A121,"GT"),Venta!FcClave,0),FcInicioCantAnual+5)),"")</f>
        <v/>
      </c>
    </row>
    <row r="122" spans="1:21" hidden="1" outlineLevel="1" x14ac:dyDescent="0.2">
      <c r="A122" s="97" t="str">
        <f>IF($K$9="-","",$K$9)</f>
        <v/>
      </c>
      <c r="B122" s="98" t="str">
        <f>IFERROR(INDEX(Maestro!FcDetalle,MATCH(A122,Maestro!FcClave,0),5),"")</f>
        <v/>
      </c>
      <c r="C122" s="111" t="str">
        <f>IFERROR(INDEX(Venta!FcDetalle,MATCH(CONCATENATE(A122,"GT"),Venta!FcClave,0),FcInicioCantMes+0),"")</f>
        <v/>
      </c>
      <c r="D122" s="111" t="str">
        <f>IFERROR(INDEX(Venta!FcDetalle,MATCH(CONCATENATE(A122,"GT"),Venta!FcClave,0),FcInicioCantMes+1),"")</f>
        <v/>
      </c>
      <c r="E122" s="111" t="str">
        <f>IFERROR(INDEX(Venta!FcDetalle,MATCH(CONCATENATE(A122,"GT"),Venta!FcClave,0),FcInicioCantMes+2),"")</f>
        <v/>
      </c>
      <c r="F122" s="111" t="str">
        <f>IFERROR(INDEX(Venta!FcDetalle,MATCH(CONCATENATE(A122,"GT"),Venta!FcClave,0),FcInicioCantMes+3),"")</f>
        <v/>
      </c>
      <c r="G122" s="111" t="str">
        <f>IFERROR(INDEX(Venta!FcDetalle,MATCH(CONCATENATE(A122,"GT"),Venta!FcClave,0),FcInicioCantMes+4),"")</f>
        <v/>
      </c>
      <c r="H122" s="111" t="str">
        <f>IFERROR(INDEX(Venta!FcDetalle,MATCH(CONCATENATE(A122,"GT"),Venta!FcClave,0),FcInicioCantMes+5),"")</f>
        <v/>
      </c>
      <c r="I122" s="111" t="str">
        <f>IFERROR(INDEX(Venta!FcDetalle,MATCH(CONCATENATE(A122,"GT"),Venta!FcClave,0),FcInicioCantMes+6),"")</f>
        <v/>
      </c>
      <c r="J122" s="111" t="str">
        <f>IFERROR(INDEX(Venta!FcDetalle,MATCH(CONCATENATE(A122,"GT"),Venta!FcClave,0),FcInicioCantMes+7),"")</f>
        <v/>
      </c>
      <c r="K122" s="111" t="str">
        <f>IFERROR(INDEX(Venta!FcDetalle,MATCH(CONCATENATE(A122,"GT"),Venta!FcClave,0),FcInicioCantMes+8),"")</f>
        <v/>
      </c>
      <c r="L122" s="111" t="str">
        <f>IFERROR(INDEX(Venta!FcDetalle,MATCH(CONCATENATE(A122,"GT"),Venta!FcClave,0),FcInicioCantMes+9),"")</f>
        <v/>
      </c>
      <c r="M122" s="111" t="str">
        <f>IFERROR(INDEX(Venta!FcDetalle,MATCH(CONCATENATE(A122,"GT"),Venta!FcClave,0),FcInicioCantMes+10),"")</f>
        <v/>
      </c>
      <c r="N122" s="111" t="str">
        <f>IFERROR(INDEX(Venta!FcDetalle,MATCH(CONCATENATE(A122,"GT"),Venta!FcClave,0),FcInicioCantMes+11),"")</f>
        <v/>
      </c>
      <c r="O122" s="112" t="str">
        <f>IFERROR(INDEX(Venta!FcDetalle,MATCH(CONCATENATE(A122,"GT"),Venta!FcClave,0),FcInicioCantMes+12),"")</f>
        <v/>
      </c>
      <c r="Q122" s="142" t="str">
        <f>IFERROR(INDEX(Venta!FcDetalle,MATCH(CONCATENATE(A122,"GT"),Venta!FcClave,0),FcInicioCantAnual+0),"")</f>
        <v/>
      </c>
      <c r="R122" s="63" t="str">
        <f>IFERROR(INDEX(Venta!FcDetalle,MATCH(CONCATENATE(A122,"GT"),Venta!FcClave,0),FcInicioCantAnual+1),"")</f>
        <v/>
      </c>
      <c r="S122" s="63" t="str">
        <f>IFERROR(INDEX(Venta!FcDetalle,MATCH(CONCATENATE(A122,"GT"),Venta!FcClave,0),FcInicioCantAnual+2),"")</f>
        <v/>
      </c>
      <c r="T122" s="63" t="str">
        <f>IFERROR(INDEX(Venta!FcDetalle,MATCH(CONCATENATE(A122,"GT"),Venta!FcClave,0),FcInicioCantAnual+3),"")</f>
        <v/>
      </c>
      <c r="U122" s="64" t="str">
        <f>IFERROR(IF(FcCheckProy=FALSE,INDEX(Venta!FcDetalle,MATCH(CONCATENATE(A122,"GT"),Venta!FcClave,0),FcInicioCantAnual+4),INDEX(Venta!FcDetalle,MATCH(CONCATENATE(A122,"GT"),Venta!FcClave,0),FcInicioCantAnual+5)),"")</f>
        <v/>
      </c>
    </row>
    <row r="123" spans="1:21" ht="13.5" collapsed="1" thickBot="1" x14ac:dyDescent="0.25">
      <c r="A123" s="264" t="s">
        <v>43</v>
      </c>
      <c r="B123" s="265"/>
      <c r="C123" s="266">
        <f t="shared" ref="C123:O123" si="17">SUM(C113:C122)</f>
        <v>0</v>
      </c>
      <c r="D123" s="266">
        <f t="shared" si="17"/>
        <v>0</v>
      </c>
      <c r="E123" s="266">
        <f t="shared" si="17"/>
        <v>0</v>
      </c>
      <c r="F123" s="266">
        <f t="shared" si="17"/>
        <v>0</v>
      </c>
      <c r="G123" s="266">
        <f t="shared" si="17"/>
        <v>0</v>
      </c>
      <c r="H123" s="266">
        <f t="shared" si="17"/>
        <v>0</v>
      </c>
      <c r="I123" s="266">
        <f t="shared" si="17"/>
        <v>0</v>
      </c>
      <c r="J123" s="266">
        <f t="shared" si="17"/>
        <v>0</v>
      </c>
      <c r="K123" s="266">
        <f t="shared" si="17"/>
        <v>0</v>
      </c>
      <c r="L123" s="266">
        <f t="shared" si="17"/>
        <v>0</v>
      </c>
      <c r="M123" s="266">
        <f t="shared" si="17"/>
        <v>0</v>
      </c>
      <c r="N123" s="266">
        <f t="shared" si="17"/>
        <v>0</v>
      </c>
      <c r="O123" s="267">
        <f t="shared" si="17"/>
        <v>0</v>
      </c>
      <c r="P123" s="268"/>
      <c r="Q123" s="269">
        <f>SUM(Q113:Q122)</f>
        <v>0</v>
      </c>
      <c r="R123" s="270">
        <f>SUM(R113:R122)</f>
        <v>0</v>
      </c>
      <c r="S123" s="270">
        <f>SUM(S113:S122)</f>
        <v>0</v>
      </c>
      <c r="T123" s="270">
        <f>SUM(T113:T122)</f>
        <v>0</v>
      </c>
      <c r="U123" s="267">
        <f>SUM(U113:U122)</f>
        <v>0</v>
      </c>
    </row>
    <row r="124" spans="1:21" hidden="1" outlineLevel="1" x14ac:dyDescent="0.2">
      <c r="A124" s="43" t="str">
        <f>IF($E$10="-",$C$4,$E$10)</f>
        <v/>
      </c>
      <c r="B124" s="98" t="str">
        <f>IFERROR(INDEX(Maestro!FcDetalle,MATCH(A124,Maestro!FcClave,0),5),"")</f>
        <v/>
      </c>
      <c r="C124" s="111" t="str">
        <f>IFERROR(INDEX(Venta!FcDetalle,MATCH(CONCATENATE(A124,"CAP"),Venta!FcClave,0),FcInicioCantMes+0),"")</f>
        <v/>
      </c>
      <c r="D124" s="111" t="str">
        <f>IFERROR(INDEX(Venta!FcDetalle,MATCH(CONCATENATE(A124,"CAP"),Venta!FcClave,0),FcInicioCantMes+1),"")</f>
        <v/>
      </c>
      <c r="E124" s="111" t="str">
        <f>IFERROR(INDEX(Venta!FcDetalle,MATCH(CONCATENATE(A124,"CAP"),Venta!FcClave,0),FcInicioCantMes+2),"")</f>
        <v/>
      </c>
      <c r="F124" s="111" t="str">
        <f>IFERROR(INDEX(Venta!FcDetalle,MATCH(CONCATENATE(A124,"CAP"),Venta!FcClave,0),FcInicioCantMes+3),"")</f>
        <v/>
      </c>
      <c r="G124" s="111" t="str">
        <f>IFERROR(INDEX(Venta!FcDetalle,MATCH(CONCATENATE(A124,"CAP"),Venta!FcClave,0),FcInicioCantMes+4),"")</f>
        <v/>
      </c>
      <c r="H124" s="111" t="str">
        <f>IFERROR(INDEX(Venta!FcDetalle,MATCH(CONCATENATE(A124,"CAP"),Venta!FcClave,0),FcInicioCantMes+5),"")</f>
        <v/>
      </c>
      <c r="I124" s="111" t="str">
        <f>IFERROR(INDEX(Venta!FcDetalle,MATCH(CONCATENATE(A124,"CAP"),Venta!FcClave,0),FcInicioCantMes+6),"")</f>
        <v/>
      </c>
      <c r="J124" s="111" t="str">
        <f>IFERROR(INDEX(Venta!FcDetalle,MATCH(CONCATENATE(A124,"CAP"),Venta!FcClave,0),FcInicioCantMes+7),"")</f>
        <v/>
      </c>
      <c r="K124" s="111" t="str">
        <f>IFERROR(INDEX(Venta!FcDetalle,MATCH(CONCATENATE(A124,"CAP"),Venta!FcClave,0),FcInicioCantMes+8),"")</f>
        <v/>
      </c>
      <c r="L124" s="111" t="str">
        <f>IFERROR(INDEX(Venta!FcDetalle,MATCH(CONCATENATE(A124,"CAP"),Venta!FcClave,0),FcInicioCantMes+9),"")</f>
        <v/>
      </c>
      <c r="M124" s="111" t="str">
        <f>IFERROR(INDEX(Venta!FcDetalle,MATCH(CONCATENATE(A124,"CAP"),Venta!FcClave,0),FcInicioCantMes+10),"")</f>
        <v/>
      </c>
      <c r="N124" s="111" t="str">
        <f>IFERROR(INDEX(Venta!FcDetalle,MATCH(CONCATENATE(A124,"CAP"),Venta!FcClave,0),FcInicioCantMes+11),"")</f>
        <v/>
      </c>
      <c r="O124" s="112" t="str">
        <f>IFERROR(INDEX(Venta!FcDetalle,MATCH(CONCATENATE(A124,"CAP"),Venta!FcClave,0),FcInicioCantMes+12),"")</f>
        <v/>
      </c>
      <c r="Q124" s="146" t="str">
        <f>IFERROR(INDEX(Venta!FcDetalle,MATCH(CONCATENATE(A124,"CAP"),Venta!FcClave,0),FcInicioCantAnual+0),"")</f>
        <v/>
      </c>
      <c r="R124" s="147" t="str">
        <f>IFERROR(INDEX(Venta!FcDetalle,MATCH(CONCATENATE(A124,"CAP"),Venta!FcClave,0),FcInicioCantAnual+1),"")</f>
        <v/>
      </c>
      <c r="S124" s="147" t="str">
        <f>IFERROR(INDEX(Venta!FcDetalle,MATCH(CONCATENATE(A124,"CAP"),Venta!FcClave,0),FcInicioCantAnual+2),"")</f>
        <v/>
      </c>
      <c r="T124" s="147" t="str">
        <f>IFERROR(INDEX(Venta!FcDetalle,MATCH(CONCATENATE(A124,"CAP"),Venta!FcClave,0),FcInicioCantAnual+3),"")</f>
        <v/>
      </c>
      <c r="U124" s="148" t="str">
        <f>IFERROR(IF(FcCheckProy=FALSE,INDEX(Venta!FcDetalle,MATCH(CONCATENATE(A124,"CAP"),Venta!FcClave,0),FcInicioCantAnual+4),INDEX(Venta!FcDetalle,MATCH(CONCATENATE(A124,"CAP"),Venta!FcClave,0),FcInicioCantAnual+5)),"")</f>
        <v/>
      </c>
    </row>
    <row r="125" spans="1:21" hidden="1" outlineLevel="1" x14ac:dyDescent="0.2">
      <c r="A125" s="43" t="str">
        <f>IF($F$10="-","",$F$10)</f>
        <v/>
      </c>
      <c r="B125" s="98" t="str">
        <f>IFERROR(INDEX(Maestro!FcDetalle,MATCH(A125,Maestro!FcClave,0),5),"")</f>
        <v/>
      </c>
      <c r="C125" s="111" t="str">
        <f>IFERROR(INDEX(Venta!FcDetalle,MATCH(CONCATENATE(A125,"CAP"),Venta!FcClave,0),FcInicioCantMes+0),"")</f>
        <v/>
      </c>
      <c r="D125" s="111" t="str">
        <f>IFERROR(INDEX(Venta!FcDetalle,MATCH(CONCATENATE(A125,"CAP"),Venta!FcClave,0),FcInicioCantMes+1),"")</f>
        <v/>
      </c>
      <c r="E125" s="111" t="str">
        <f>IFERROR(INDEX(Venta!FcDetalle,MATCH(CONCATENATE(A125,"CAP"),Venta!FcClave,0),FcInicioCantMes+2),"")</f>
        <v/>
      </c>
      <c r="F125" s="111" t="str">
        <f>IFERROR(INDEX(Venta!FcDetalle,MATCH(CONCATENATE(A125,"CAP"),Venta!FcClave,0),FcInicioCantMes+3),"")</f>
        <v/>
      </c>
      <c r="G125" s="111" t="str">
        <f>IFERROR(INDEX(Venta!FcDetalle,MATCH(CONCATENATE(A125,"CAP"),Venta!FcClave,0),FcInicioCantMes+4),"")</f>
        <v/>
      </c>
      <c r="H125" s="111" t="str">
        <f>IFERROR(INDEX(Venta!FcDetalle,MATCH(CONCATENATE(A125,"CAP"),Venta!FcClave,0),FcInicioCantMes+5),"")</f>
        <v/>
      </c>
      <c r="I125" s="111" t="str">
        <f>IFERROR(INDEX(Venta!FcDetalle,MATCH(CONCATENATE(A125,"CAP"),Venta!FcClave,0),FcInicioCantMes+6),"")</f>
        <v/>
      </c>
      <c r="J125" s="111" t="str">
        <f>IFERROR(INDEX(Venta!FcDetalle,MATCH(CONCATENATE(A125,"CAP"),Venta!FcClave,0),FcInicioCantMes+7),"")</f>
        <v/>
      </c>
      <c r="K125" s="111" t="str">
        <f>IFERROR(INDEX(Venta!FcDetalle,MATCH(CONCATENATE(A125,"CAP"),Venta!FcClave,0),FcInicioCantMes+8),"")</f>
        <v/>
      </c>
      <c r="L125" s="111" t="str">
        <f>IFERROR(INDEX(Venta!FcDetalle,MATCH(CONCATENATE(A125,"CAP"),Venta!FcClave,0),FcInicioCantMes+9),"")</f>
        <v/>
      </c>
      <c r="M125" s="111" t="str">
        <f>IFERROR(INDEX(Venta!FcDetalle,MATCH(CONCATENATE(A125,"CAP"),Venta!FcClave,0),FcInicioCantMes+10),"")</f>
        <v/>
      </c>
      <c r="N125" s="111" t="str">
        <f>IFERROR(INDEX(Venta!FcDetalle,MATCH(CONCATENATE(A125,"CAP"),Venta!FcClave,0),FcInicioCantMes+11),"")</f>
        <v/>
      </c>
      <c r="O125" s="112" t="str">
        <f>IFERROR(INDEX(Venta!FcDetalle,MATCH(CONCATENATE(A125,"CAP"),Venta!FcClave,0),FcInicioCantMes+12),"")</f>
        <v/>
      </c>
      <c r="Q125" s="142" t="str">
        <f>IFERROR(INDEX(Venta!FcDetalle,MATCH(CONCATENATE(A125,"CAP"),Venta!FcClave,0),FcInicioCantAnual+0),"")</f>
        <v/>
      </c>
      <c r="R125" s="63" t="str">
        <f>IFERROR(INDEX(Venta!FcDetalle,MATCH(CONCATENATE(A125,"CAP"),Venta!FcClave,0),FcInicioCantAnual+1),"")</f>
        <v/>
      </c>
      <c r="S125" s="63" t="str">
        <f>IFERROR(INDEX(Venta!FcDetalle,MATCH(CONCATENATE(A125,"CAP"),Venta!FcClave,0),FcInicioCantAnual+2),"")</f>
        <v/>
      </c>
      <c r="T125" s="63" t="str">
        <f>IFERROR(INDEX(Venta!FcDetalle,MATCH(CONCATENATE(A125,"CAP"),Venta!FcClave,0),FcInicioCantAnual+3),"")</f>
        <v/>
      </c>
      <c r="U125" s="64" t="str">
        <f>IFERROR(IF(FcCheckProy=FALSE,INDEX(Venta!FcDetalle,MATCH(CONCATENATE(A125,"CAP"),Venta!FcClave,0),FcInicioCantAnual+4),INDEX(Venta!FcDetalle,MATCH(CONCATENATE(A125,"CAP"),Venta!FcClave,0),FcInicioCantAnual+5)),"")</f>
        <v/>
      </c>
    </row>
    <row r="126" spans="1:21" hidden="1" outlineLevel="1" x14ac:dyDescent="0.2">
      <c r="A126" s="43" t="str">
        <f>IF($G$10="-","",$G$10)</f>
        <v/>
      </c>
      <c r="B126" s="98" t="str">
        <f>IFERROR(INDEX(Maestro!FcDetalle,MATCH(A126,Maestro!FcClave,0),5),"")</f>
        <v/>
      </c>
      <c r="C126" s="111" t="str">
        <f>IFERROR(INDEX(Venta!FcDetalle,MATCH(CONCATENATE(A126,"CAP"),Venta!FcClave,0),FcInicioCantMes+0),"")</f>
        <v/>
      </c>
      <c r="D126" s="111" t="str">
        <f>IFERROR(INDEX(Venta!FcDetalle,MATCH(CONCATENATE(A126,"CAP"),Venta!FcClave,0),FcInicioCantMes+1),"")</f>
        <v/>
      </c>
      <c r="E126" s="111" t="str">
        <f>IFERROR(INDEX(Venta!FcDetalle,MATCH(CONCATENATE(A126,"CAP"),Venta!FcClave,0),FcInicioCantMes+2),"")</f>
        <v/>
      </c>
      <c r="F126" s="111" t="str">
        <f>IFERROR(INDEX(Venta!FcDetalle,MATCH(CONCATENATE(A126,"CAP"),Venta!FcClave,0),FcInicioCantMes+3),"")</f>
        <v/>
      </c>
      <c r="G126" s="111" t="str">
        <f>IFERROR(INDEX(Venta!FcDetalle,MATCH(CONCATENATE(A126,"CAP"),Venta!FcClave,0),FcInicioCantMes+4),"")</f>
        <v/>
      </c>
      <c r="H126" s="111" t="str">
        <f>IFERROR(INDEX(Venta!FcDetalle,MATCH(CONCATENATE(A126,"CAP"),Venta!FcClave,0),FcInicioCantMes+5),"")</f>
        <v/>
      </c>
      <c r="I126" s="111" t="str">
        <f>IFERROR(INDEX(Venta!FcDetalle,MATCH(CONCATENATE(A126,"CAP"),Venta!FcClave,0),FcInicioCantMes+6),"")</f>
        <v/>
      </c>
      <c r="J126" s="111" t="str">
        <f>IFERROR(INDEX(Venta!FcDetalle,MATCH(CONCATENATE(A126,"CAP"),Venta!FcClave,0),FcInicioCantMes+7),"")</f>
        <v/>
      </c>
      <c r="K126" s="111" t="str">
        <f>IFERROR(INDEX(Venta!FcDetalle,MATCH(CONCATENATE(A126,"CAP"),Venta!FcClave,0),FcInicioCantMes+8),"")</f>
        <v/>
      </c>
      <c r="L126" s="111" t="str">
        <f>IFERROR(INDEX(Venta!FcDetalle,MATCH(CONCATENATE(A126,"CAP"),Venta!FcClave,0),FcInicioCantMes+9),"")</f>
        <v/>
      </c>
      <c r="M126" s="111" t="str">
        <f>IFERROR(INDEX(Venta!FcDetalle,MATCH(CONCATENATE(A126,"CAP"),Venta!FcClave,0),FcInicioCantMes+10),"")</f>
        <v/>
      </c>
      <c r="N126" s="111" t="str">
        <f>IFERROR(INDEX(Venta!FcDetalle,MATCH(CONCATENATE(A126,"CAP"),Venta!FcClave,0),FcInicioCantMes+11),"")</f>
        <v/>
      </c>
      <c r="O126" s="112" t="str">
        <f>IFERROR(INDEX(Venta!FcDetalle,MATCH(CONCATENATE(A126,"CAP"),Venta!FcClave,0),FcInicioCantMes+12),"")</f>
        <v/>
      </c>
      <c r="Q126" s="142" t="str">
        <f>IFERROR(INDEX(Venta!FcDetalle,MATCH(CONCATENATE(A126,"CAP"),Venta!FcClave,0),FcInicioCantAnual+0),"")</f>
        <v/>
      </c>
      <c r="R126" s="63" t="str">
        <f>IFERROR(INDEX(Venta!FcDetalle,MATCH(CONCATENATE(A126,"CAP"),Venta!FcClave,0),FcInicioCantAnual+1),"")</f>
        <v/>
      </c>
      <c r="S126" s="63" t="str">
        <f>IFERROR(INDEX(Venta!FcDetalle,MATCH(CONCATENATE(A126,"CAP"),Venta!FcClave,0),FcInicioCantAnual+2),"")</f>
        <v/>
      </c>
      <c r="T126" s="63" t="str">
        <f>IFERROR(INDEX(Venta!FcDetalle,MATCH(CONCATENATE(A126,"CAP"),Venta!FcClave,0),FcInicioCantAnual+3),"")</f>
        <v/>
      </c>
      <c r="U126" s="64" t="str">
        <f>IFERROR(IF(FcCheckProy=FALSE,INDEX(Venta!FcDetalle,MATCH(CONCATENATE(A126,"CAP"),Venta!FcClave,0),FcInicioCantAnual+4),INDEX(Venta!FcDetalle,MATCH(CONCATENATE(A126,"CAP"),Venta!FcClave,0),FcInicioCantAnual+5)),"")</f>
        <v/>
      </c>
    </row>
    <row r="127" spans="1:21" hidden="1" outlineLevel="1" x14ac:dyDescent="0.2">
      <c r="A127" s="43" t="str">
        <f>IF($H$10="-","",$H$10)</f>
        <v/>
      </c>
      <c r="B127" s="98" t="str">
        <f>IFERROR(INDEX(Maestro!FcDetalle,MATCH(A127,Maestro!FcClave,0),5),"")</f>
        <v/>
      </c>
      <c r="C127" s="111" t="str">
        <f>IFERROR(INDEX(Venta!FcDetalle,MATCH(CONCATENATE(A127,"CAP"),Venta!FcClave,0),FcInicioCantMes+0),"")</f>
        <v/>
      </c>
      <c r="D127" s="111" t="str">
        <f>IFERROR(INDEX(Venta!FcDetalle,MATCH(CONCATENATE(A127,"CAP"),Venta!FcClave,0),FcInicioCantMes+1),"")</f>
        <v/>
      </c>
      <c r="E127" s="111" t="str">
        <f>IFERROR(INDEX(Venta!FcDetalle,MATCH(CONCATENATE(A127,"CAP"),Venta!FcClave,0),FcInicioCantMes+2),"")</f>
        <v/>
      </c>
      <c r="F127" s="111" t="str">
        <f>IFERROR(INDEX(Venta!FcDetalle,MATCH(CONCATENATE(A127,"CAP"),Venta!FcClave,0),FcInicioCantMes+3),"")</f>
        <v/>
      </c>
      <c r="G127" s="111" t="str">
        <f>IFERROR(INDEX(Venta!FcDetalle,MATCH(CONCATENATE(A127,"CAP"),Venta!FcClave,0),FcInicioCantMes+4),"")</f>
        <v/>
      </c>
      <c r="H127" s="111" t="str">
        <f>IFERROR(INDEX(Venta!FcDetalle,MATCH(CONCATENATE(A127,"CAP"),Venta!FcClave,0),FcInicioCantMes+5),"")</f>
        <v/>
      </c>
      <c r="I127" s="111" t="str">
        <f>IFERROR(INDEX(Venta!FcDetalle,MATCH(CONCATENATE(A127,"CAP"),Venta!FcClave,0),FcInicioCantMes+6),"")</f>
        <v/>
      </c>
      <c r="J127" s="111" t="str">
        <f>IFERROR(INDEX(Venta!FcDetalle,MATCH(CONCATENATE(A127,"CAP"),Venta!FcClave,0),FcInicioCantMes+7),"")</f>
        <v/>
      </c>
      <c r="K127" s="111" t="str">
        <f>IFERROR(INDEX(Venta!FcDetalle,MATCH(CONCATENATE(A127,"CAP"),Venta!FcClave,0),FcInicioCantMes+8),"")</f>
        <v/>
      </c>
      <c r="L127" s="111" t="str">
        <f>IFERROR(INDEX(Venta!FcDetalle,MATCH(CONCATENATE(A127,"CAP"),Venta!FcClave,0),FcInicioCantMes+9),"")</f>
        <v/>
      </c>
      <c r="M127" s="111" t="str">
        <f>IFERROR(INDEX(Venta!FcDetalle,MATCH(CONCATENATE(A127,"CAP"),Venta!FcClave,0),FcInicioCantMes+10),"")</f>
        <v/>
      </c>
      <c r="N127" s="111" t="str">
        <f>IFERROR(INDEX(Venta!FcDetalle,MATCH(CONCATENATE(A127,"CAP"),Venta!FcClave,0),FcInicioCantMes+11),"")</f>
        <v/>
      </c>
      <c r="O127" s="112" t="str">
        <f>IFERROR(INDEX(Venta!FcDetalle,MATCH(CONCATENATE(A127,"CAP"),Venta!FcClave,0),FcInicioCantMes+12),"")</f>
        <v/>
      </c>
      <c r="Q127" s="142" t="str">
        <f>IFERROR(INDEX(Venta!FcDetalle,MATCH(CONCATENATE(A127,"CAP"),Venta!FcClave,0),FcInicioCantAnual+0),"")</f>
        <v/>
      </c>
      <c r="R127" s="63" t="str">
        <f>IFERROR(INDEX(Venta!FcDetalle,MATCH(CONCATENATE(A127,"CAP"),Venta!FcClave,0),FcInicioCantAnual+1),"")</f>
        <v/>
      </c>
      <c r="S127" s="63" t="str">
        <f>IFERROR(INDEX(Venta!FcDetalle,MATCH(CONCATENATE(A127,"CAP"),Venta!FcClave,0),FcInicioCantAnual+2),"")</f>
        <v/>
      </c>
      <c r="T127" s="63" t="str">
        <f>IFERROR(INDEX(Venta!FcDetalle,MATCH(CONCATENATE(A127,"CAP"),Venta!FcClave,0),FcInicioCantAnual+3),"")</f>
        <v/>
      </c>
      <c r="U127" s="64" t="str">
        <f>IFERROR(IF(FcCheckProy=FALSE,INDEX(Venta!FcDetalle,MATCH(CONCATENATE(A127,"CAP"),Venta!FcClave,0),FcInicioCantAnual+4),INDEX(Venta!FcDetalle,MATCH(CONCATENATE(A127,"CAP"),Venta!FcClave,0),FcInicioCantAnual+5)),"")</f>
        <v/>
      </c>
    </row>
    <row r="128" spans="1:21" hidden="1" outlineLevel="1" x14ac:dyDescent="0.2">
      <c r="A128" s="43" t="str">
        <f>IF($I$10="-","",$I$10)</f>
        <v/>
      </c>
      <c r="B128" s="98" t="str">
        <f>IFERROR(INDEX(Maestro!FcDetalle,MATCH(A128,Maestro!FcClave,0),5),"")</f>
        <v/>
      </c>
      <c r="C128" s="111" t="str">
        <f>IFERROR(INDEX(Venta!FcDetalle,MATCH(CONCATENATE(A128,"CAP"),Venta!FcClave,0),FcInicioCantMes+0),"")</f>
        <v/>
      </c>
      <c r="D128" s="111" t="str">
        <f>IFERROR(INDEX(Venta!FcDetalle,MATCH(CONCATENATE(A128,"CAP"),Venta!FcClave,0),FcInicioCantMes+1),"")</f>
        <v/>
      </c>
      <c r="E128" s="111" t="str">
        <f>IFERROR(INDEX(Venta!FcDetalle,MATCH(CONCATENATE(A128,"CAP"),Venta!FcClave,0),FcInicioCantMes+2),"")</f>
        <v/>
      </c>
      <c r="F128" s="111" t="str">
        <f>IFERROR(INDEX(Venta!FcDetalle,MATCH(CONCATENATE(A128,"CAP"),Venta!FcClave,0),FcInicioCantMes+3),"")</f>
        <v/>
      </c>
      <c r="G128" s="111" t="str">
        <f>IFERROR(INDEX(Venta!FcDetalle,MATCH(CONCATENATE(A128,"CAP"),Venta!FcClave,0),FcInicioCantMes+4),"")</f>
        <v/>
      </c>
      <c r="H128" s="111" t="str">
        <f>IFERROR(INDEX(Venta!FcDetalle,MATCH(CONCATENATE(A128,"CAP"),Venta!FcClave,0),FcInicioCantMes+5),"")</f>
        <v/>
      </c>
      <c r="I128" s="111" t="str">
        <f>IFERROR(INDEX(Venta!FcDetalle,MATCH(CONCATENATE(A128,"CAP"),Venta!FcClave,0),FcInicioCantMes+6),"")</f>
        <v/>
      </c>
      <c r="J128" s="111" t="str">
        <f>IFERROR(INDEX(Venta!FcDetalle,MATCH(CONCATENATE(A128,"CAP"),Venta!FcClave,0),FcInicioCantMes+7),"")</f>
        <v/>
      </c>
      <c r="K128" s="111" t="str">
        <f>IFERROR(INDEX(Venta!FcDetalle,MATCH(CONCATENATE(A128,"CAP"),Venta!FcClave,0),FcInicioCantMes+8),"")</f>
        <v/>
      </c>
      <c r="L128" s="111" t="str">
        <f>IFERROR(INDEX(Venta!FcDetalle,MATCH(CONCATENATE(A128,"CAP"),Venta!FcClave,0),FcInicioCantMes+9),"")</f>
        <v/>
      </c>
      <c r="M128" s="111" t="str">
        <f>IFERROR(INDEX(Venta!FcDetalle,MATCH(CONCATENATE(A128,"CAP"),Venta!FcClave,0),FcInicioCantMes+10),"")</f>
        <v/>
      </c>
      <c r="N128" s="111" t="str">
        <f>IFERROR(INDEX(Venta!FcDetalle,MATCH(CONCATENATE(A128,"CAP"),Venta!FcClave,0),FcInicioCantMes+11),"")</f>
        <v/>
      </c>
      <c r="O128" s="112" t="str">
        <f>IFERROR(INDEX(Venta!FcDetalle,MATCH(CONCATENATE(A128,"CAP"),Venta!FcClave,0),FcInicioCantMes+12),"")</f>
        <v/>
      </c>
      <c r="Q128" s="142" t="str">
        <f>IFERROR(INDEX(Venta!FcDetalle,MATCH(CONCATENATE(A128,"CAP"),Venta!FcClave,0),FcInicioCantAnual+0),"")</f>
        <v/>
      </c>
      <c r="R128" s="63" t="str">
        <f>IFERROR(INDEX(Venta!FcDetalle,MATCH(CONCATENATE(A128,"CAP"),Venta!FcClave,0),FcInicioCantAnual+1),"")</f>
        <v/>
      </c>
      <c r="S128" s="63" t="str">
        <f>IFERROR(INDEX(Venta!FcDetalle,MATCH(CONCATENATE(A128,"CAP"),Venta!FcClave,0),FcInicioCantAnual+2),"")</f>
        <v/>
      </c>
      <c r="T128" s="63" t="str">
        <f>IFERROR(INDEX(Venta!FcDetalle,MATCH(CONCATENATE(A128,"CAP"),Venta!FcClave,0),FcInicioCantAnual+3),"")</f>
        <v/>
      </c>
      <c r="U128" s="64" t="str">
        <f>IFERROR(IF(FcCheckProy=FALSE,INDEX(Venta!FcDetalle,MATCH(CONCATENATE(A128,"CAP"),Venta!FcClave,0),FcInicioCantAnual+4),INDEX(Venta!FcDetalle,MATCH(CONCATENATE(A128,"CAP"),Venta!FcClave,0),FcInicioCantAnual+5)),"")</f>
        <v/>
      </c>
    </row>
    <row r="129" spans="1:21" hidden="1" outlineLevel="1" x14ac:dyDescent="0.2">
      <c r="A129" s="43" t="str">
        <f>IF($J$10="-","",$J$10)</f>
        <v/>
      </c>
      <c r="B129" s="98" t="str">
        <f>IFERROR(INDEX(Maestro!FcDetalle,MATCH(A129,Maestro!FcClave,0),5),"")</f>
        <v/>
      </c>
      <c r="C129" s="111" t="str">
        <f>IFERROR(INDEX(Venta!FcDetalle,MATCH(CONCATENATE(A129,"CAP"),Venta!FcClave,0),FcInicioCantMes+0),"")</f>
        <v/>
      </c>
      <c r="D129" s="111" t="str">
        <f>IFERROR(INDEX(Venta!FcDetalle,MATCH(CONCATENATE(A129,"CAP"),Venta!FcClave,0),FcInicioCantMes+1),"")</f>
        <v/>
      </c>
      <c r="E129" s="111" t="str">
        <f>IFERROR(INDEX(Venta!FcDetalle,MATCH(CONCATENATE(A129,"CAP"),Venta!FcClave,0),FcInicioCantMes+2),"")</f>
        <v/>
      </c>
      <c r="F129" s="111" t="str">
        <f>IFERROR(INDEX(Venta!FcDetalle,MATCH(CONCATENATE(A129,"CAP"),Venta!FcClave,0),FcInicioCantMes+3),"")</f>
        <v/>
      </c>
      <c r="G129" s="111" t="str">
        <f>IFERROR(INDEX(Venta!FcDetalle,MATCH(CONCATENATE(A129,"CAP"),Venta!FcClave,0),FcInicioCantMes+4),"")</f>
        <v/>
      </c>
      <c r="H129" s="111" t="str">
        <f>IFERROR(INDEX(Venta!FcDetalle,MATCH(CONCATENATE(A129,"CAP"),Venta!FcClave,0),FcInicioCantMes+5),"")</f>
        <v/>
      </c>
      <c r="I129" s="111" t="str">
        <f>IFERROR(INDEX(Venta!FcDetalle,MATCH(CONCATENATE(A129,"CAP"),Venta!FcClave,0),FcInicioCantMes+6),"")</f>
        <v/>
      </c>
      <c r="J129" s="111" t="str">
        <f>IFERROR(INDEX(Venta!FcDetalle,MATCH(CONCATENATE(A129,"CAP"),Venta!FcClave,0),FcInicioCantMes+7),"")</f>
        <v/>
      </c>
      <c r="K129" s="111" t="str">
        <f>IFERROR(INDEX(Venta!FcDetalle,MATCH(CONCATENATE(A129,"CAP"),Venta!FcClave,0),FcInicioCantMes+8),"")</f>
        <v/>
      </c>
      <c r="L129" s="111" t="str">
        <f>IFERROR(INDEX(Venta!FcDetalle,MATCH(CONCATENATE(A129,"CAP"),Venta!FcClave,0),FcInicioCantMes+9),"")</f>
        <v/>
      </c>
      <c r="M129" s="111" t="str">
        <f>IFERROR(INDEX(Venta!FcDetalle,MATCH(CONCATENATE(A129,"CAP"),Venta!FcClave,0),FcInicioCantMes+10),"")</f>
        <v/>
      </c>
      <c r="N129" s="111" t="str">
        <f>IFERROR(INDEX(Venta!FcDetalle,MATCH(CONCATENATE(A129,"CAP"),Venta!FcClave,0),FcInicioCantMes+11),"")</f>
        <v/>
      </c>
      <c r="O129" s="112" t="str">
        <f>IFERROR(INDEX(Venta!FcDetalle,MATCH(CONCATENATE(A129,"CAP"),Venta!FcClave,0),FcInicioCantMes+12),"")</f>
        <v/>
      </c>
      <c r="Q129" s="142" t="str">
        <f>IFERROR(INDEX(Venta!FcDetalle,MATCH(CONCATENATE(A129,"CAP"),Venta!FcClave,0),FcInicioCantAnual+0),"")</f>
        <v/>
      </c>
      <c r="R129" s="63" t="str">
        <f>IFERROR(INDEX(Venta!FcDetalle,MATCH(CONCATENATE(A129,"CAP"),Venta!FcClave,0),FcInicioCantAnual+1),"")</f>
        <v/>
      </c>
      <c r="S129" s="63" t="str">
        <f>IFERROR(INDEX(Venta!FcDetalle,MATCH(CONCATENATE(A129,"CAP"),Venta!FcClave,0),FcInicioCantAnual+2),"")</f>
        <v/>
      </c>
      <c r="T129" s="63" t="str">
        <f>IFERROR(INDEX(Venta!FcDetalle,MATCH(CONCATENATE(A129,"CAP"),Venta!FcClave,0),FcInicioCantAnual+3),"")</f>
        <v/>
      </c>
      <c r="U129" s="64" t="str">
        <f>IFERROR(IF(FcCheckProy=FALSE,INDEX(Venta!FcDetalle,MATCH(CONCATENATE(A129,"CAP"),Venta!FcClave,0),FcInicioCantAnual+4),INDEX(Venta!FcDetalle,MATCH(CONCATENATE(A129,"CAP"),Venta!FcClave,0),FcInicioCantAnual+5)),"")</f>
        <v/>
      </c>
    </row>
    <row r="130" spans="1:21" hidden="1" outlineLevel="1" x14ac:dyDescent="0.2">
      <c r="A130" s="43" t="str">
        <f>IF($K$10="-","",$K$10)</f>
        <v/>
      </c>
      <c r="B130" s="98" t="str">
        <f>IFERROR(INDEX(Maestro!FcDetalle,MATCH(A130,Maestro!FcClave,0),5),"")</f>
        <v/>
      </c>
      <c r="C130" s="111" t="str">
        <f>IFERROR(INDEX(Venta!FcDetalle,MATCH(CONCATENATE(A130,"CAP"),Venta!FcClave,0),FcInicioCantMes+0),"")</f>
        <v/>
      </c>
      <c r="D130" s="111" t="str">
        <f>IFERROR(INDEX(Venta!FcDetalle,MATCH(CONCATENATE(A130,"CAP"),Venta!FcClave,0),FcInicioCantMes+1),"")</f>
        <v/>
      </c>
      <c r="E130" s="111" t="str">
        <f>IFERROR(INDEX(Venta!FcDetalle,MATCH(CONCATENATE(A130,"CAP"),Venta!FcClave,0),FcInicioCantMes+2),"")</f>
        <v/>
      </c>
      <c r="F130" s="111" t="str">
        <f>IFERROR(INDEX(Venta!FcDetalle,MATCH(CONCATENATE(A130,"CAP"),Venta!FcClave,0),FcInicioCantMes+3),"")</f>
        <v/>
      </c>
      <c r="G130" s="111" t="str">
        <f>IFERROR(INDEX(Venta!FcDetalle,MATCH(CONCATENATE(A130,"CAP"),Venta!FcClave,0),FcInicioCantMes+4),"")</f>
        <v/>
      </c>
      <c r="H130" s="111" t="str">
        <f>IFERROR(INDEX(Venta!FcDetalle,MATCH(CONCATENATE(A130,"CAP"),Venta!FcClave,0),FcInicioCantMes+5),"")</f>
        <v/>
      </c>
      <c r="I130" s="111" t="str">
        <f>IFERROR(INDEX(Venta!FcDetalle,MATCH(CONCATENATE(A130,"CAP"),Venta!FcClave,0),FcInicioCantMes+6),"")</f>
        <v/>
      </c>
      <c r="J130" s="111" t="str">
        <f>IFERROR(INDEX(Venta!FcDetalle,MATCH(CONCATENATE(A130,"CAP"),Venta!FcClave,0),FcInicioCantMes+7),"")</f>
        <v/>
      </c>
      <c r="K130" s="111" t="str">
        <f>IFERROR(INDEX(Venta!FcDetalle,MATCH(CONCATENATE(A130,"CAP"),Venta!FcClave,0),FcInicioCantMes+8),"")</f>
        <v/>
      </c>
      <c r="L130" s="111" t="str">
        <f>IFERROR(INDEX(Venta!FcDetalle,MATCH(CONCATENATE(A130,"CAP"),Venta!FcClave,0),FcInicioCantMes+9),"")</f>
        <v/>
      </c>
      <c r="M130" s="111" t="str">
        <f>IFERROR(INDEX(Venta!FcDetalle,MATCH(CONCATENATE(A130,"CAP"),Venta!FcClave,0),FcInicioCantMes+10),"")</f>
        <v/>
      </c>
      <c r="N130" s="111" t="str">
        <f>IFERROR(INDEX(Venta!FcDetalle,MATCH(CONCATENATE(A130,"CAP"),Venta!FcClave,0),FcInicioCantMes+11),"")</f>
        <v/>
      </c>
      <c r="O130" s="112" t="str">
        <f>IFERROR(INDEX(Venta!FcDetalle,MATCH(CONCATENATE(A130,"CAP"),Venta!FcClave,0),FcInicioCantMes+12),"")</f>
        <v/>
      </c>
      <c r="Q130" s="142" t="str">
        <f>IFERROR(INDEX(Venta!FcDetalle,MATCH(CONCATENATE(A130,"CAP"),Venta!FcClave,0),FcInicioCantAnual+0),"")</f>
        <v/>
      </c>
      <c r="R130" s="63" t="str">
        <f>IFERROR(INDEX(Venta!FcDetalle,MATCH(CONCATENATE(A130,"CAP"),Venta!FcClave,0),FcInicioCantAnual+1),"")</f>
        <v/>
      </c>
      <c r="S130" s="63" t="str">
        <f>IFERROR(INDEX(Venta!FcDetalle,MATCH(CONCATENATE(A130,"CAP"),Venta!FcClave,0),FcInicioCantAnual+2),"")</f>
        <v/>
      </c>
      <c r="T130" s="63" t="str">
        <f>IFERROR(INDEX(Venta!FcDetalle,MATCH(CONCATENATE(A130,"CAP"),Venta!FcClave,0),FcInicioCantAnual+3),"")</f>
        <v/>
      </c>
      <c r="U130" s="64" t="str">
        <f>IFERROR(IF(FcCheckProy=FALSE,INDEX(Venta!FcDetalle,MATCH(CONCATENATE(A130,"CAP"),Venta!FcClave,0),FcInicioCantAnual+4),INDEX(Venta!FcDetalle,MATCH(CONCATENATE(A130,"CAP"),Venta!FcClave,0),FcInicioCantAnual+5)),"")</f>
        <v/>
      </c>
    </row>
    <row r="131" spans="1:21" hidden="1" outlineLevel="1" x14ac:dyDescent="0.2">
      <c r="A131" s="43" t="str">
        <f>IF($I$9="-","",$I$9)</f>
        <v/>
      </c>
      <c r="B131" s="98" t="str">
        <f>IFERROR(INDEX(Maestro!FcDetalle,MATCH(A131,Maestro!FcClave,0),5),"")</f>
        <v/>
      </c>
      <c r="C131" s="111" t="str">
        <f>IFERROR(INDEX(Venta!FcDetalle,MATCH(CONCATENATE(A131,"CAP"),Venta!FcClave,0),FcInicioCantMes+0),"")</f>
        <v/>
      </c>
      <c r="D131" s="111" t="str">
        <f>IFERROR(INDEX(Venta!FcDetalle,MATCH(CONCATENATE(A131,"CAP"),Venta!FcClave,0),FcInicioCantMes+1),"")</f>
        <v/>
      </c>
      <c r="E131" s="111" t="str">
        <f>IFERROR(INDEX(Venta!FcDetalle,MATCH(CONCATENATE(A131,"CAP"),Venta!FcClave,0),FcInicioCantMes+2),"")</f>
        <v/>
      </c>
      <c r="F131" s="111" t="str">
        <f>IFERROR(INDEX(Venta!FcDetalle,MATCH(CONCATENATE(A131,"CAP"),Venta!FcClave,0),FcInicioCantMes+3),"")</f>
        <v/>
      </c>
      <c r="G131" s="111" t="str">
        <f>IFERROR(INDEX(Venta!FcDetalle,MATCH(CONCATENATE(A131,"CAP"),Venta!FcClave,0),FcInicioCantMes+4),"")</f>
        <v/>
      </c>
      <c r="H131" s="111" t="str">
        <f>IFERROR(INDEX(Venta!FcDetalle,MATCH(CONCATENATE(A131,"CAP"),Venta!FcClave,0),FcInicioCantMes+5),"")</f>
        <v/>
      </c>
      <c r="I131" s="111" t="str">
        <f>IFERROR(INDEX(Venta!FcDetalle,MATCH(CONCATENATE(A131,"CAP"),Venta!FcClave,0),FcInicioCantMes+6),"")</f>
        <v/>
      </c>
      <c r="J131" s="111" t="str">
        <f>IFERROR(INDEX(Venta!FcDetalle,MATCH(CONCATENATE(A131,"CAP"),Venta!FcClave,0),FcInicioCantMes+7),"")</f>
        <v/>
      </c>
      <c r="K131" s="111" t="str">
        <f>IFERROR(INDEX(Venta!FcDetalle,MATCH(CONCATENATE(A131,"CAP"),Venta!FcClave,0),FcInicioCantMes+8),"")</f>
        <v/>
      </c>
      <c r="L131" s="111" t="str">
        <f>IFERROR(INDEX(Venta!FcDetalle,MATCH(CONCATENATE(A131,"CAP"),Venta!FcClave,0),FcInicioCantMes+9),"")</f>
        <v/>
      </c>
      <c r="M131" s="111" t="str">
        <f>IFERROR(INDEX(Venta!FcDetalle,MATCH(CONCATENATE(A131,"CAP"),Venta!FcClave,0),FcInicioCantMes+10),"")</f>
        <v/>
      </c>
      <c r="N131" s="111" t="str">
        <f>IFERROR(INDEX(Venta!FcDetalle,MATCH(CONCATENATE(A131,"CAP"),Venta!FcClave,0),FcInicioCantMes+11),"")</f>
        <v/>
      </c>
      <c r="O131" s="112" t="str">
        <f>IFERROR(INDEX(Venta!FcDetalle,MATCH(CONCATENATE(A131,"CAP"),Venta!FcClave,0),FcInicioCantMes+12),"")</f>
        <v/>
      </c>
      <c r="Q131" s="142" t="str">
        <f>IFERROR(INDEX(Venta!FcDetalle,MATCH(CONCATENATE(A131,"CAP"),Venta!FcClave,0),FcInicioCantAnual+0),"")</f>
        <v/>
      </c>
      <c r="R131" s="63" t="str">
        <f>IFERROR(INDEX(Venta!FcDetalle,MATCH(CONCATENATE(A131,"CAP"),Venta!FcClave,0),FcInicioCantAnual+1),"")</f>
        <v/>
      </c>
      <c r="S131" s="63" t="str">
        <f>IFERROR(INDEX(Venta!FcDetalle,MATCH(CONCATENATE(A131,"CAP"),Venta!FcClave,0),FcInicioCantAnual+2),"")</f>
        <v/>
      </c>
      <c r="T131" s="63" t="str">
        <f>IFERROR(INDEX(Venta!FcDetalle,MATCH(CONCATENATE(A131,"CAP"),Venta!FcClave,0),FcInicioCantAnual+3),"")</f>
        <v/>
      </c>
      <c r="U131" s="64" t="str">
        <f>IFERROR(IF(FcCheckProy=FALSE,INDEX(Venta!FcDetalle,MATCH(CONCATENATE(A131,"CAP"),Venta!FcClave,0),FcInicioCantAnual+4),INDEX(Venta!FcDetalle,MATCH(CONCATENATE(A131,"CAP"),Venta!FcClave,0),FcInicioCantAnual+5)),"")</f>
        <v/>
      </c>
    </row>
    <row r="132" spans="1:21" hidden="1" outlineLevel="1" x14ac:dyDescent="0.2">
      <c r="A132" s="43" t="str">
        <f>IF($J$9="-","",$J$9)</f>
        <v/>
      </c>
      <c r="B132" s="98" t="str">
        <f>IFERROR(INDEX(Maestro!FcDetalle,MATCH(A132,Maestro!FcClave,0),5),"")</f>
        <v/>
      </c>
      <c r="C132" s="111" t="str">
        <f>IFERROR(INDEX(Venta!FcDetalle,MATCH(CONCATENATE(A132,"CAP"),Venta!FcClave,0),FcInicioCantMes+0),"")</f>
        <v/>
      </c>
      <c r="D132" s="111" t="str">
        <f>IFERROR(INDEX(Venta!FcDetalle,MATCH(CONCATENATE(A132,"CAP"),Venta!FcClave,0),FcInicioCantMes+1),"")</f>
        <v/>
      </c>
      <c r="E132" s="111" t="str">
        <f>IFERROR(INDEX(Venta!FcDetalle,MATCH(CONCATENATE(A132,"CAP"),Venta!FcClave,0),FcInicioCantMes+2),"")</f>
        <v/>
      </c>
      <c r="F132" s="111" t="str">
        <f>IFERROR(INDEX(Venta!FcDetalle,MATCH(CONCATENATE(A132,"CAP"),Venta!FcClave,0),FcInicioCantMes+3),"")</f>
        <v/>
      </c>
      <c r="G132" s="111" t="str">
        <f>IFERROR(INDEX(Venta!FcDetalle,MATCH(CONCATENATE(A132,"CAP"),Venta!FcClave,0),FcInicioCantMes+4),"")</f>
        <v/>
      </c>
      <c r="H132" s="111" t="str">
        <f>IFERROR(INDEX(Venta!FcDetalle,MATCH(CONCATENATE(A132,"CAP"),Venta!FcClave,0),FcInicioCantMes+5),"")</f>
        <v/>
      </c>
      <c r="I132" s="111" t="str">
        <f>IFERROR(INDEX(Venta!FcDetalle,MATCH(CONCATENATE(A132,"CAP"),Venta!FcClave,0),FcInicioCantMes+6),"")</f>
        <v/>
      </c>
      <c r="J132" s="111" t="str">
        <f>IFERROR(INDEX(Venta!FcDetalle,MATCH(CONCATENATE(A132,"CAP"),Venta!FcClave,0),FcInicioCantMes+7),"")</f>
        <v/>
      </c>
      <c r="K132" s="111" t="str">
        <f>IFERROR(INDEX(Venta!FcDetalle,MATCH(CONCATENATE(A132,"CAP"),Venta!FcClave,0),FcInicioCantMes+8),"")</f>
        <v/>
      </c>
      <c r="L132" s="111" t="str">
        <f>IFERROR(INDEX(Venta!FcDetalle,MATCH(CONCATENATE(A132,"CAP"),Venta!FcClave,0),FcInicioCantMes+9),"")</f>
        <v/>
      </c>
      <c r="M132" s="111" t="str">
        <f>IFERROR(INDEX(Venta!FcDetalle,MATCH(CONCATENATE(A132,"CAP"),Venta!FcClave,0),FcInicioCantMes+10),"")</f>
        <v/>
      </c>
      <c r="N132" s="111" t="str">
        <f>IFERROR(INDEX(Venta!FcDetalle,MATCH(CONCATENATE(A132,"CAP"),Venta!FcClave,0),FcInicioCantMes+11),"")</f>
        <v/>
      </c>
      <c r="O132" s="112" t="str">
        <f>IFERROR(INDEX(Venta!FcDetalle,MATCH(CONCATENATE(A132,"CAP"),Venta!FcClave,0),FcInicioCantMes+12),"")</f>
        <v/>
      </c>
      <c r="Q132" s="142" t="str">
        <f>IFERROR(INDEX(Venta!FcDetalle,MATCH(CONCATENATE(A132,"CAP"),Venta!FcClave,0),FcInicioCantAnual+0),"")</f>
        <v/>
      </c>
      <c r="R132" s="63" t="str">
        <f>IFERROR(INDEX(Venta!FcDetalle,MATCH(CONCATENATE(A132,"CAP"),Venta!FcClave,0),FcInicioCantAnual+1),"")</f>
        <v/>
      </c>
      <c r="S132" s="63" t="str">
        <f>IFERROR(INDEX(Venta!FcDetalle,MATCH(CONCATENATE(A132,"CAP"),Venta!FcClave,0),FcInicioCantAnual+2),"")</f>
        <v/>
      </c>
      <c r="T132" s="63" t="str">
        <f>IFERROR(INDEX(Venta!FcDetalle,MATCH(CONCATENATE(A132,"CAP"),Venta!FcClave,0),FcInicioCantAnual+3),"")</f>
        <v/>
      </c>
      <c r="U132" s="64" t="str">
        <f>IFERROR(IF(FcCheckProy=FALSE,INDEX(Venta!FcDetalle,MATCH(CONCATENATE(A132,"CAP"),Venta!FcClave,0),FcInicioCantAnual+4),INDEX(Venta!FcDetalle,MATCH(CONCATENATE(A132,"CAP"),Venta!FcClave,0),FcInicioCantAnual+5)),"")</f>
        <v/>
      </c>
    </row>
    <row r="133" spans="1:21" hidden="1" outlineLevel="1" x14ac:dyDescent="0.2">
      <c r="A133" s="97" t="str">
        <f>IF($K$9="-","",$K$9)</f>
        <v/>
      </c>
      <c r="B133" s="98" t="str">
        <f>IFERROR(INDEX(Maestro!FcDetalle,MATCH(A133,Maestro!FcClave,0),5),"")</f>
        <v/>
      </c>
      <c r="C133" s="111" t="str">
        <f>IFERROR(INDEX(Venta!FcDetalle,MATCH(CONCATENATE(A133,"CAP"),Venta!FcClave,0),FcInicioCantMes+0),"")</f>
        <v/>
      </c>
      <c r="D133" s="111" t="str">
        <f>IFERROR(INDEX(Venta!FcDetalle,MATCH(CONCATENATE(A133,"CAP"),Venta!FcClave,0),FcInicioCantMes+1),"")</f>
        <v/>
      </c>
      <c r="E133" s="111" t="str">
        <f>IFERROR(INDEX(Venta!FcDetalle,MATCH(CONCATENATE(A133,"CAP"),Venta!FcClave,0),FcInicioCantMes+2),"")</f>
        <v/>
      </c>
      <c r="F133" s="111" t="str">
        <f>IFERROR(INDEX(Venta!FcDetalle,MATCH(CONCATENATE(A133,"CAP"),Venta!FcClave,0),FcInicioCantMes+3),"")</f>
        <v/>
      </c>
      <c r="G133" s="111" t="str">
        <f>IFERROR(INDEX(Venta!FcDetalle,MATCH(CONCATENATE(A133,"CAP"),Venta!FcClave,0),FcInicioCantMes+4),"")</f>
        <v/>
      </c>
      <c r="H133" s="111" t="str">
        <f>IFERROR(INDEX(Venta!FcDetalle,MATCH(CONCATENATE(A133,"CAP"),Venta!FcClave,0),FcInicioCantMes+5),"")</f>
        <v/>
      </c>
      <c r="I133" s="111" t="str">
        <f>IFERROR(INDEX(Venta!FcDetalle,MATCH(CONCATENATE(A133,"CAP"),Venta!FcClave,0),FcInicioCantMes+6),"")</f>
        <v/>
      </c>
      <c r="J133" s="111" t="str">
        <f>IFERROR(INDEX(Venta!FcDetalle,MATCH(CONCATENATE(A133,"CAP"),Venta!FcClave,0),FcInicioCantMes+7),"")</f>
        <v/>
      </c>
      <c r="K133" s="111" t="str">
        <f>IFERROR(INDEX(Venta!FcDetalle,MATCH(CONCATENATE(A133,"CAP"),Venta!FcClave,0),FcInicioCantMes+8),"")</f>
        <v/>
      </c>
      <c r="L133" s="111" t="str">
        <f>IFERROR(INDEX(Venta!FcDetalle,MATCH(CONCATENATE(A133,"CAP"),Venta!FcClave,0),FcInicioCantMes+9),"")</f>
        <v/>
      </c>
      <c r="M133" s="111" t="str">
        <f>IFERROR(INDEX(Venta!FcDetalle,MATCH(CONCATENATE(A133,"CAP"),Venta!FcClave,0),FcInicioCantMes+10),"")</f>
        <v/>
      </c>
      <c r="N133" s="111" t="str">
        <f>IFERROR(INDEX(Venta!FcDetalle,MATCH(CONCATENATE(A133,"CAP"),Venta!FcClave,0),FcInicioCantMes+11),"")</f>
        <v/>
      </c>
      <c r="O133" s="112" t="str">
        <f>IFERROR(INDEX(Venta!FcDetalle,MATCH(CONCATENATE(A133,"CAP"),Venta!FcClave,0),FcInicioCantMes+12),"")</f>
        <v/>
      </c>
      <c r="Q133" s="142" t="str">
        <f>IFERROR(INDEX(Venta!FcDetalle,MATCH(CONCATENATE(A133,"CAP"),Venta!FcClave,0),FcInicioCantAnual+0),"")</f>
        <v/>
      </c>
      <c r="R133" s="63" t="str">
        <f>IFERROR(INDEX(Venta!FcDetalle,MATCH(CONCATENATE(A133,"CAP"),Venta!FcClave,0),FcInicioCantAnual+1),"")</f>
        <v/>
      </c>
      <c r="S133" s="63" t="str">
        <f>IFERROR(INDEX(Venta!FcDetalle,MATCH(CONCATENATE(A133,"CAP"),Venta!FcClave,0),FcInicioCantAnual+2),"")</f>
        <v/>
      </c>
      <c r="T133" s="63" t="str">
        <f>IFERROR(INDEX(Venta!FcDetalle,MATCH(CONCATENATE(A133,"CAP"),Venta!FcClave,0),FcInicioCantAnual+3),"")</f>
        <v/>
      </c>
      <c r="U133" s="64" t="str">
        <f>IFERROR(IF(FcCheckProy=FALSE,INDEX(Venta!FcDetalle,MATCH(CONCATENATE(A133,"CAP"),Venta!FcClave,0),FcInicioCantAnual+4),INDEX(Venta!FcDetalle,MATCH(CONCATENATE(A133,"CAP"),Venta!FcClave,0),FcInicioCantAnual+5)),"")</f>
        <v/>
      </c>
    </row>
    <row r="134" spans="1:21" ht="13.5" collapsed="1" thickBot="1" x14ac:dyDescent="0.25">
      <c r="A134" s="161" t="s">
        <v>6</v>
      </c>
      <c r="B134" s="162"/>
      <c r="C134" s="163">
        <f t="shared" ref="C134:O134" si="18">SUM(C124:C133)</f>
        <v>0</v>
      </c>
      <c r="D134" s="163">
        <f t="shared" si="18"/>
        <v>0</v>
      </c>
      <c r="E134" s="163">
        <f t="shared" si="18"/>
        <v>0</v>
      </c>
      <c r="F134" s="163">
        <f t="shared" si="18"/>
        <v>0</v>
      </c>
      <c r="G134" s="163">
        <f t="shared" si="18"/>
        <v>0</v>
      </c>
      <c r="H134" s="163">
        <f t="shared" si="18"/>
        <v>0</v>
      </c>
      <c r="I134" s="163">
        <f t="shared" si="18"/>
        <v>0</v>
      </c>
      <c r="J134" s="163">
        <f t="shared" si="18"/>
        <v>0</v>
      </c>
      <c r="K134" s="163">
        <f t="shared" si="18"/>
        <v>0</v>
      </c>
      <c r="L134" s="163">
        <f t="shared" si="18"/>
        <v>0</v>
      </c>
      <c r="M134" s="163">
        <f t="shared" si="18"/>
        <v>0</v>
      </c>
      <c r="N134" s="163">
        <f t="shared" si="18"/>
        <v>0</v>
      </c>
      <c r="O134" s="160">
        <f t="shared" si="18"/>
        <v>0</v>
      </c>
      <c r="Q134" s="158">
        <f>SUM(Q124:Q133)</f>
        <v>0</v>
      </c>
      <c r="R134" s="159">
        <f>SUM(R124:R133)</f>
        <v>0</v>
      </c>
      <c r="S134" s="159">
        <f>SUM(S124:S133)</f>
        <v>0</v>
      </c>
      <c r="T134" s="159">
        <f>SUM(T124:T133)</f>
        <v>0</v>
      </c>
      <c r="U134" s="160">
        <f>SUM(U124:U133)</f>
        <v>0</v>
      </c>
    </row>
    <row r="135" spans="1:21" ht="13.5" thickBot="1" x14ac:dyDescent="0.25">
      <c r="A135" s="38" t="s">
        <v>10</v>
      </c>
      <c r="B135" s="81"/>
      <c r="C135" s="67">
        <f t="shared" ref="C135:O135" si="19">C101+C112+C123+C134</f>
        <v>0</v>
      </c>
      <c r="D135" s="67">
        <f t="shared" si="19"/>
        <v>0</v>
      </c>
      <c r="E135" s="67">
        <f t="shared" si="19"/>
        <v>0</v>
      </c>
      <c r="F135" s="67">
        <f t="shared" si="19"/>
        <v>0</v>
      </c>
      <c r="G135" s="67">
        <f t="shared" si="19"/>
        <v>0</v>
      </c>
      <c r="H135" s="67">
        <f t="shared" si="19"/>
        <v>0</v>
      </c>
      <c r="I135" s="67">
        <f t="shared" si="19"/>
        <v>0</v>
      </c>
      <c r="J135" s="67">
        <f t="shared" si="19"/>
        <v>0</v>
      </c>
      <c r="K135" s="67">
        <f t="shared" si="19"/>
        <v>0</v>
      </c>
      <c r="L135" s="67">
        <f t="shared" si="19"/>
        <v>0</v>
      </c>
      <c r="M135" s="67">
        <f t="shared" si="19"/>
        <v>0</v>
      </c>
      <c r="N135" s="67">
        <f t="shared" si="19"/>
        <v>0</v>
      </c>
      <c r="O135" s="68">
        <f t="shared" si="19"/>
        <v>0</v>
      </c>
      <c r="Q135" s="151">
        <f>Q101+Q112+Q123+Q134</f>
        <v>0</v>
      </c>
      <c r="R135" s="152">
        <f>R101+R112+R123+R134</f>
        <v>0</v>
      </c>
      <c r="S135" s="152">
        <f>S101+S112+S123+S134</f>
        <v>0</v>
      </c>
      <c r="T135" s="152">
        <f>T101+T112+T123+T134</f>
        <v>0</v>
      </c>
      <c r="U135" s="153">
        <f>U101+U112+U123+U134</f>
        <v>0</v>
      </c>
    </row>
    <row r="136" spans="1:21" hidden="1" x14ac:dyDescent="0.2">
      <c r="A136" s="48" t="s">
        <v>21</v>
      </c>
      <c r="B136" s="83"/>
      <c r="C136" s="69">
        <f>IF(ISERROR(AVERAGE(C101:D101)),"",AVERAGE(C101:D101))</f>
        <v>0</v>
      </c>
      <c r="D136" s="69">
        <f t="shared" ref="D136:N136" si="20">IF(ISERROR(AVERAGE(C101:E101)),"",AVERAGE(C101:E101))</f>
        <v>0</v>
      </c>
      <c r="E136" s="69">
        <f t="shared" si="20"/>
        <v>0</v>
      </c>
      <c r="F136" s="69">
        <f t="shared" si="20"/>
        <v>0</v>
      </c>
      <c r="G136" s="69">
        <f t="shared" si="20"/>
        <v>0</v>
      </c>
      <c r="H136" s="69">
        <f t="shared" si="20"/>
        <v>0</v>
      </c>
      <c r="I136" s="69">
        <f t="shared" si="20"/>
        <v>0</v>
      </c>
      <c r="J136" s="69">
        <f t="shared" si="20"/>
        <v>0</v>
      </c>
      <c r="K136" s="69">
        <f t="shared" si="20"/>
        <v>0</v>
      </c>
      <c r="L136" s="69">
        <f t="shared" si="20"/>
        <v>0</v>
      </c>
      <c r="M136" s="69">
        <f t="shared" si="20"/>
        <v>0</v>
      </c>
      <c r="N136" s="69">
        <f t="shared" si="20"/>
        <v>0</v>
      </c>
      <c r="O136" s="70"/>
    </row>
    <row r="137" spans="1:21" hidden="1" x14ac:dyDescent="0.2">
      <c r="A137" s="49" t="s">
        <v>22</v>
      </c>
      <c r="B137" s="84"/>
      <c r="C137" s="71">
        <f>IF(ISERROR(AVERAGE(C112:D112)),"",AVERAGE(C112:D112))</f>
        <v>0</v>
      </c>
      <c r="D137" s="71">
        <f t="shared" ref="D137:N137" si="21">IF(ISERROR(AVERAGE(C112:E112)),"",AVERAGE(C112:E112))</f>
        <v>0</v>
      </c>
      <c r="E137" s="71">
        <f t="shared" si="21"/>
        <v>0</v>
      </c>
      <c r="F137" s="71">
        <f t="shared" si="21"/>
        <v>0</v>
      </c>
      <c r="G137" s="71">
        <f t="shared" si="21"/>
        <v>0</v>
      </c>
      <c r="H137" s="71">
        <f t="shared" si="21"/>
        <v>0</v>
      </c>
      <c r="I137" s="71">
        <f t="shared" si="21"/>
        <v>0</v>
      </c>
      <c r="J137" s="71">
        <f t="shared" si="21"/>
        <v>0</v>
      </c>
      <c r="K137" s="71">
        <f t="shared" si="21"/>
        <v>0</v>
      </c>
      <c r="L137" s="71">
        <f t="shared" si="21"/>
        <v>0</v>
      </c>
      <c r="M137" s="71">
        <f t="shared" si="21"/>
        <v>0</v>
      </c>
      <c r="N137" s="71">
        <f t="shared" si="21"/>
        <v>0</v>
      </c>
      <c r="O137" s="72"/>
    </row>
    <row r="138" spans="1:21" hidden="1" x14ac:dyDescent="0.2">
      <c r="A138" s="134" t="s">
        <v>43</v>
      </c>
      <c r="B138" s="135"/>
      <c r="C138" s="71">
        <f>IF(ISERROR(AVERAGE(C123:D123)),"",AVERAGE(C123:D123))</f>
        <v>0</v>
      </c>
      <c r="D138" s="71">
        <f t="shared" ref="D138:N138" si="22">IF(ISERROR(AVERAGE(C123:E123)),"",AVERAGE(C123:E123))</f>
        <v>0</v>
      </c>
      <c r="E138" s="71">
        <f t="shared" si="22"/>
        <v>0</v>
      </c>
      <c r="F138" s="71">
        <f t="shared" si="22"/>
        <v>0</v>
      </c>
      <c r="G138" s="71">
        <f t="shared" si="22"/>
        <v>0</v>
      </c>
      <c r="H138" s="71">
        <f t="shared" si="22"/>
        <v>0</v>
      </c>
      <c r="I138" s="71">
        <f t="shared" si="22"/>
        <v>0</v>
      </c>
      <c r="J138" s="71">
        <f t="shared" si="22"/>
        <v>0</v>
      </c>
      <c r="K138" s="71">
        <f t="shared" si="22"/>
        <v>0</v>
      </c>
      <c r="L138" s="71">
        <f t="shared" si="22"/>
        <v>0</v>
      </c>
      <c r="M138" s="71">
        <f t="shared" si="22"/>
        <v>0</v>
      </c>
      <c r="N138" s="71">
        <f t="shared" si="22"/>
        <v>0</v>
      </c>
      <c r="O138" s="136"/>
    </row>
    <row r="139" spans="1:21" hidden="1" x14ac:dyDescent="0.2">
      <c r="A139" s="134" t="s">
        <v>6</v>
      </c>
      <c r="B139" s="135"/>
      <c r="C139" s="71">
        <f>IF(ISERROR(AVERAGE(C134:D134)),"",AVERAGE(C134:D134))</f>
        <v>0</v>
      </c>
      <c r="D139" s="71">
        <f t="shared" ref="D139:N139" si="23">IF(ISERROR(AVERAGE(C134:E134)),"",AVERAGE(C134:E134))</f>
        <v>0</v>
      </c>
      <c r="E139" s="71">
        <f t="shared" si="23"/>
        <v>0</v>
      </c>
      <c r="F139" s="71">
        <f t="shared" si="23"/>
        <v>0</v>
      </c>
      <c r="G139" s="71">
        <f t="shared" si="23"/>
        <v>0</v>
      </c>
      <c r="H139" s="71">
        <f t="shared" si="23"/>
        <v>0</v>
      </c>
      <c r="I139" s="71">
        <f t="shared" si="23"/>
        <v>0</v>
      </c>
      <c r="J139" s="71">
        <f t="shared" si="23"/>
        <v>0</v>
      </c>
      <c r="K139" s="71">
        <f t="shared" si="23"/>
        <v>0</v>
      </c>
      <c r="L139" s="71">
        <f t="shared" si="23"/>
        <v>0</v>
      </c>
      <c r="M139" s="71">
        <f t="shared" si="23"/>
        <v>0</v>
      </c>
      <c r="N139" s="71">
        <f t="shared" si="23"/>
        <v>0</v>
      </c>
      <c r="O139" s="136"/>
    </row>
    <row r="140" spans="1:21" ht="13.5" hidden="1" thickBot="1" x14ac:dyDescent="0.25">
      <c r="A140" s="50" t="s">
        <v>23</v>
      </c>
      <c r="B140" s="85"/>
      <c r="C140" s="73">
        <f>IF(ISERROR(AVERAGE(C135:D135)),"",AVERAGE(C135:D135))</f>
        <v>0</v>
      </c>
      <c r="D140" s="73">
        <f t="shared" ref="D140:N140" si="24">IF(ISERROR(AVERAGE(C135:E135)),"",AVERAGE(C135:E135))</f>
        <v>0</v>
      </c>
      <c r="E140" s="73">
        <f t="shared" si="24"/>
        <v>0</v>
      </c>
      <c r="F140" s="73">
        <f t="shared" si="24"/>
        <v>0</v>
      </c>
      <c r="G140" s="73">
        <f t="shared" si="24"/>
        <v>0</v>
      </c>
      <c r="H140" s="73">
        <f t="shared" si="24"/>
        <v>0</v>
      </c>
      <c r="I140" s="73">
        <f t="shared" si="24"/>
        <v>0</v>
      </c>
      <c r="J140" s="73">
        <f t="shared" si="24"/>
        <v>0</v>
      </c>
      <c r="K140" s="73">
        <f t="shared" si="24"/>
        <v>0</v>
      </c>
      <c r="L140" s="73">
        <f t="shared" si="24"/>
        <v>0</v>
      </c>
      <c r="M140" s="73">
        <f t="shared" si="24"/>
        <v>0</v>
      </c>
      <c r="N140" s="73">
        <f t="shared" si="24"/>
        <v>0</v>
      </c>
      <c r="O140" s="74"/>
    </row>
    <row r="141" spans="1:21" ht="15" outlineLevel="1" x14ac:dyDescent="0.2">
      <c r="A141" s="212" t="s">
        <v>66</v>
      </c>
      <c r="B141" s="213"/>
      <c r="C141" s="216" t="str">
        <f>IFERROR(INDEX(Cuota!FcDetalle,MATCH(CONCATENATE(FcGrupoRK,"LYS"),Cuota!FcClave,0),FcInicioCuotaMes+0),"")</f>
        <v/>
      </c>
      <c r="D141" s="216" t="str">
        <f>IFERROR(INDEX(Cuota!FcDetalle,MATCH(CONCATENATE(FcGrupoRK,"LYS"),Cuota!FcClave,0),FcInicioCuotaMes+1),"")</f>
        <v/>
      </c>
      <c r="E141" s="216" t="str">
        <f>IFERROR(INDEX(Cuota!FcDetalle,MATCH(CONCATENATE(FcGrupoRK,"LYS"),Cuota!FcClave,0),FcInicioCuotaMes+2),"")</f>
        <v/>
      </c>
      <c r="F141" s="216" t="str">
        <f>IFERROR(INDEX(Cuota!FcDetalle,MATCH(CONCATENATE(FcGrupoRK,"LYS"),Cuota!FcClave,0),FcInicioCuotaMes+3),"")</f>
        <v/>
      </c>
      <c r="G141" s="216" t="str">
        <f>IFERROR(INDEX(Cuota!FcDetalle,MATCH(CONCATENATE(FcGrupoRK,"LYS"),Cuota!FcClave,0),FcInicioCuotaMes+4),"")</f>
        <v/>
      </c>
      <c r="H141" s="216" t="str">
        <f>IFERROR(INDEX(Cuota!FcDetalle,MATCH(CONCATENATE(FcGrupoRK,"LYS"),Cuota!FcClave,0),FcInicioCuotaMes+5),"")</f>
        <v/>
      </c>
      <c r="I141" s="216" t="str">
        <f>IFERROR(INDEX(Cuota!FcDetalle,MATCH(CONCATENATE(FcGrupoRK,"LYS"),Cuota!FcClave,0),FcInicioCuotaMes+6),"")</f>
        <v/>
      </c>
      <c r="J141" s="216" t="str">
        <f>IFERROR(INDEX(Cuota!FcDetalle,MATCH(CONCATENATE(FcGrupoRK,"LYS"),Cuota!FcClave,0),FcInicioCuotaMes+7),"")</f>
        <v/>
      </c>
      <c r="K141" s="216" t="str">
        <f>IFERROR(INDEX(Cuota!FcDetalle,MATCH(CONCATENATE(FcGrupoRK,"LYS"),Cuota!FcClave,0),FcInicioCuotaMes+8),"")</f>
        <v/>
      </c>
      <c r="L141" s="216" t="str">
        <f>IFERROR(INDEX(Cuota!FcDetalle,MATCH(CONCATENATE(FcGrupoRK,"LYS"),Cuota!FcClave,0),FcInicioCuotaMes+9),"")</f>
        <v/>
      </c>
      <c r="M141" s="216" t="str">
        <f>IFERROR(INDEX(Cuota!FcDetalle,MATCH(CONCATENATE(FcGrupoRK,"LYS"),Cuota!FcClave,0),FcInicioCuotaMes+10),"")</f>
        <v/>
      </c>
      <c r="N141" s="216" t="str">
        <f>IFERROR(INDEX(Cuota!FcDetalle,MATCH(CONCATENATE(FcGrupoRK,"LYS"),Cuota!FcClave,0),FcInicioCuotaMes+11),"")</f>
        <v/>
      </c>
      <c r="O141" s="217" t="str">
        <f>IFERROR(INDEX(Cuota!FcDetalle,MATCH(CONCATENATE(FcGrupoRK,"LYS"),Cuota!FcClave,0),FcInicioCuotaMes+12),"")</f>
        <v/>
      </c>
      <c r="P141" s="299"/>
      <c r="Q141" s="220" t="str">
        <f>IFERROR(INDEX(Cuota!FcDetalle,MATCH(CONCATENATE(FcGrupoRK,"LYS"),Cuota!FcClave,0),FcInicioCuotaAnual+0),"")</f>
        <v/>
      </c>
      <c r="R141" s="216" t="str">
        <f>IFERROR(INDEX(Cuota!FcDetalle,MATCH(CONCATENATE(FcGrupoRK,"LYS"),Cuota!FcClave,0),FcInicioCuotaAnual+1),"")</f>
        <v/>
      </c>
      <c r="S141" s="216" t="str">
        <f>IFERROR(INDEX(Cuota!FcDetalle,MATCH(CONCATENATE(FcGrupoRK,"LYS"),Cuota!FcClave,0),FcInicioCuotaAnual+2),"")</f>
        <v/>
      </c>
      <c r="T141" s="216" t="str">
        <f>IFERROR(INDEX(Cuota!FcDetalle,MATCH(CONCATENATE(FcGrupoRK,"LYS"),Cuota!FcClave,0),FcInicioCuotaAnual+3),"")</f>
        <v/>
      </c>
      <c r="U141" s="217" t="str">
        <f>IFERROR(INDEX(Cuota!FcDetalle,MATCH(CONCATENATE(FcGrupoRK,"LYS"),Cuota!FcClave,0),FcInicioCuotaAnual+4),"")</f>
        <v/>
      </c>
    </row>
    <row r="142" spans="1:21" ht="15.75" outlineLevel="1" thickBot="1" x14ac:dyDescent="0.25">
      <c r="A142" s="232" t="s">
        <v>67</v>
      </c>
      <c r="B142" s="233"/>
      <c r="C142" s="296" t="str">
        <f>IFERROR(INDEX(Cuota!FcDetalle,MATCH(CONCATENATE(FcGrupoRK,"HPE"),Cuota!FcClave,0),FcInicioCuotaMes+0),"")</f>
        <v/>
      </c>
      <c r="D142" s="296" t="str">
        <f>IFERROR(INDEX(Cuota!FcDetalle,MATCH(CONCATENATE(FcGrupoRK,"HPE"),Cuota!FcClave,0),FcInicioCuotaMes+1),"")</f>
        <v/>
      </c>
      <c r="E142" s="296" t="str">
        <f>IFERROR(INDEX(Cuota!FcDetalle,MATCH(CONCATENATE(FcGrupoRK,"HPE"),Cuota!FcClave,0),FcInicioCuotaMes+2),"")</f>
        <v/>
      </c>
      <c r="F142" s="296" t="str">
        <f>IFERROR(INDEX(Cuota!FcDetalle,MATCH(CONCATENATE(FcGrupoRK,"HPE"),Cuota!FcClave,0),FcInicioCuotaMes+3),"")</f>
        <v/>
      </c>
      <c r="G142" s="296" t="str">
        <f>IFERROR(INDEX(Cuota!FcDetalle,MATCH(CONCATENATE(FcGrupoRK,"HPE"),Cuota!FcClave,0),FcInicioCuotaMes+4),"")</f>
        <v/>
      </c>
      <c r="H142" s="296" t="str">
        <f>IFERROR(INDEX(Cuota!FcDetalle,MATCH(CONCATENATE(FcGrupoRK,"HPE"),Cuota!FcClave,0),FcInicioCuotaMes+5),"")</f>
        <v/>
      </c>
      <c r="I142" s="296" t="str">
        <f>IFERROR(INDEX(Cuota!FcDetalle,MATCH(CONCATENATE(FcGrupoRK,"HPE"),Cuota!FcClave,0),FcInicioCuotaMes+6),"")</f>
        <v/>
      </c>
      <c r="J142" s="296" t="str">
        <f>IFERROR(INDEX(Cuota!FcDetalle,MATCH(CONCATENATE(FcGrupoRK,"HPE"),Cuota!FcClave,0),FcInicioCuotaMes+7),"")</f>
        <v/>
      </c>
      <c r="K142" s="296" t="str">
        <f>IFERROR(INDEX(Cuota!FcDetalle,MATCH(CONCATENATE(FcGrupoRK,"HPE"),Cuota!FcClave,0),FcInicioCuotaMes+8),"")</f>
        <v/>
      </c>
      <c r="L142" s="296" t="str">
        <f>IFERROR(INDEX(Cuota!FcDetalle,MATCH(CONCATENATE(FcGrupoRK,"HPE"),Cuota!FcClave,0),FcInicioCuotaMes+9),"")</f>
        <v/>
      </c>
      <c r="M142" s="296" t="str">
        <f>IFERROR(INDEX(Cuota!FcDetalle,MATCH(CONCATENATE(FcGrupoRK,"HPE"),Cuota!FcClave,0),FcInicioCuotaMes+10),"")</f>
        <v/>
      </c>
      <c r="N142" s="296" t="str">
        <f>IFERROR(INDEX(Cuota!FcDetalle,MATCH(CONCATENATE(FcGrupoRK,"HPE"),Cuota!FcClave,0),FcInicioCuotaMes+11),"")</f>
        <v/>
      </c>
      <c r="O142" s="297" t="str">
        <f>IFERROR(INDEX(Cuota!FcDetalle,MATCH(CONCATENATE(FcGrupoRK,"HPE"),Cuota!FcClave,0),FcInicioCuotaMes+12),"")</f>
        <v/>
      </c>
      <c r="P142" s="6"/>
      <c r="Q142" s="298" t="str">
        <f>IFERROR(INDEX(Cuota!FcDetalle,MATCH(CONCATENATE(FcGrupoRK,"HPE"),Cuota!FcClave,0),FcInicioCuotaAnual+0),"")</f>
        <v/>
      </c>
      <c r="R142" s="296" t="str">
        <f>IFERROR(INDEX(Cuota!FcDetalle,MATCH(CONCATENATE(FcGrupoRK,"HPE"),Cuota!FcClave,0),FcInicioCuotaAnual+1),"")</f>
        <v/>
      </c>
      <c r="S142" s="296" t="str">
        <f>IFERROR(INDEX(Cuota!FcDetalle,MATCH(CONCATENATE(FcGrupoRK,"HPE"),Cuota!FcClave,0),FcInicioCuotaAnual+2),"")</f>
        <v/>
      </c>
      <c r="T142" s="296" t="str">
        <f>IFERROR(INDEX(Cuota!FcDetalle,MATCH(CONCATENATE(FcGrupoRK,"HPE"),Cuota!FcClave,0),FcInicioCuotaAnual+3),"")</f>
        <v/>
      </c>
      <c r="U142" s="297" t="str">
        <f>IFERROR(INDEX(Cuota!FcDetalle,MATCH(CONCATENATE(FcGrupoRK,"HPE"),Cuota!FcClave,0),FcInicioCuotaAnual+4),"")</f>
        <v/>
      </c>
    </row>
    <row r="143" spans="1:21" ht="15.75" thickBot="1" x14ac:dyDescent="0.25">
      <c r="A143" s="208" t="s">
        <v>42</v>
      </c>
      <c r="B143" s="209"/>
      <c r="C143" s="210">
        <f>SUM(C141:C142)</f>
        <v>0</v>
      </c>
      <c r="D143" s="210">
        <f t="shared" ref="D143:O143" si="25">SUM(D141:D142)</f>
        <v>0</v>
      </c>
      <c r="E143" s="210">
        <f t="shared" si="25"/>
        <v>0</v>
      </c>
      <c r="F143" s="210">
        <f t="shared" si="25"/>
        <v>0</v>
      </c>
      <c r="G143" s="210">
        <f t="shared" si="25"/>
        <v>0</v>
      </c>
      <c r="H143" s="210">
        <f t="shared" si="25"/>
        <v>0</v>
      </c>
      <c r="I143" s="210">
        <f t="shared" si="25"/>
        <v>0</v>
      </c>
      <c r="J143" s="210">
        <f t="shared" si="25"/>
        <v>0</v>
      </c>
      <c r="K143" s="210">
        <f t="shared" si="25"/>
        <v>0</v>
      </c>
      <c r="L143" s="210">
        <f t="shared" si="25"/>
        <v>0</v>
      </c>
      <c r="M143" s="210">
        <f t="shared" si="25"/>
        <v>0</v>
      </c>
      <c r="N143" s="210">
        <f t="shared" si="25"/>
        <v>0</v>
      </c>
      <c r="O143" s="211">
        <f t="shared" si="25"/>
        <v>0</v>
      </c>
      <c r="P143" s="6"/>
      <c r="Q143" s="236">
        <f>SUM(Q141:Q142)</f>
        <v>0</v>
      </c>
      <c r="R143" s="237">
        <f>SUM(R141:R142)</f>
        <v>0</v>
      </c>
      <c r="S143" s="237">
        <f>SUM(S141:S142)</f>
        <v>0</v>
      </c>
      <c r="T143" s="237">
        <f>SUM(T141:T142)</f>
        <v>0</v>
      </c>
      <c r="U143" s="238">
        <f>SUM(U141:U142)</f>
        <v>0</v>
      </c>
    </row>
    <row r="145" spans="1:23" hidden="1" x14ac:dyDescent="0.2"/>
    <row r="146" spans="1:23" s="273" customFormat="1" ht="15" hidden="1" customHeight="1" x14ac:dyDescent="0.2">
      <c r="A146" s="340"/>
      <c r="B146" s="340"/>
      <c r="C146" s="340"/>
      <c r="D146" s="340"/>
      <c r="E146" s="340"/>
      <c r="F146" s="340"/>
      <c r="G146" s="340"/>
      <c r="H146" s="340"/>
      <c r="I146" s="340"/>
      <c r="J146" s="340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274"/>
    </row>
    <row r="147" spans="1:23" s="273" customFormat="1" ht="15" hidden="1" customHeight="1" x14ac:dyDescent="0.2">
      <c r="A147" s="275"/>
      <c r="B147" s="340"/>
      <c r="C147" s="340"/>
      <c r="D147" s="340"/>
      <c r="E147" s="340"/>
      <c r="F147" s="340"/>
      <c r="G147" s="340"/>
      <c r="H147" s="340"/>
      <c r="I147" s="340"/>
      <c r="J147" s="340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</row>
    <row r="148" spans="1:23" s="273" customFormat="1" ht="15" hidden="1" customHeight="1" x14ac:dyDescent="0.2">
      <c r="A148" s="15"/>
      <c r="B148" s="341"/>
      <c r="C148" s="341"/>
      <c r="D148" s="341"/>
      <c r="E148" s="341"/>
      <c r="F148" s="341"/>
      <c r="G148" s="341"/>
      <c r="H148" s="341"/>
      <c r="I148" s="341"/>
      <c r="J148" s="341"/>
      <c r="K148" s="341"/>
      <c r="L148" s="341"/>
      <c r="M148" s="341"/>
      <c r="N148" s="341"/>
      <c r="O148" s="341"/>
      <c r="P148" s="341"/>
      <c r="Q148" s="341"/>
      <c r="R148" s="341"/>
      <c r="S148" s="341"/>
      <c r="T148" s="341"/>
      <c r="U148" s="341"/>
      <c r="V148" s="341"/>
      <c r="W148" s="276"/>
    </row>
    <row r="149" spans="1:23" s="273" customFormat="1" ht="15" hidden="1" customHeight="1" x14ac:dyDescent="0.2"/>
    <row r="150" spans="1:23" s="273" customFormat="1" ht="15" hidden="1" customHeight="1" x14ac:dyDescent="0.2">
      <c r="C150" s="342"/>
      <c r="D150" s="342"/>
      <c r="E150" s="342"/>
      <c r="F150" s="342"/>
      <c r="G150" s="342"/>
      <c r="H150" s="342"/>
      <c r="I150" s="342"/>
      <c r="J150" s="342"/>
      <c r="K150" s="342"/>
      <c r="L150" s="342"/>
      <c r="M150" s="342"/>
      <c r="N150" s="342"/>
      <c r="O150" s="342"/>
      <c r="P150" s="342"/>
      <c r="Q150" s="342"/>
      <c r="R150" s="342"/>
      <c r="S150" s="342"/>
      <c r="T150" s="342"/>
      <c r="U150" s="342"/>
      <c r="V150" s="342"/>
    </row>
    <row r="151" spans="1:23" s="273" customFormat="1" ht="15" hidden="1" customHeight="1" x14ac:dyDescent="0.2">
      <c r="C151" s="342"/>
      <c r="D151" s="342"/>
      <c r="E151" s="342"/>
      <c r="F151" s="342"/>
      <c r="G151" s="342"/>
      <c r="H151" s="342"/>
      <c r="I151" s="342"/>
      <c r="J151" s="342"/>
      <c r="K151" s="342"/>
      <c r="L151" s="342"/>
      <c r="M151" s="342"/>
      <c r="N151" s="342"/>
      <c r="O151" s="342"/>
      <c r="P151" s="342"/>
      <c r="Q151" s="342"/>
      <c r="R151" s="342"/>
      <c r="S151" s="342"/>
      <c r="T151" s="342"/>
      <c r="U151" s="342"/>
      <c r="V151" s="342"/>
    </row>
    <row r="152" spans="1:23" s="273" customFormat="1" ht="15" hidden="1" customHeight="1" x14ac:dyDescent="0.2">
      <c r="C152" s="342"/>
      <c r="D152" s="342"/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342"/>
      <c r="Q152" s="342"/>
      <c r="R152" s="342"/>
      <c r="S152" s="342"/>
      <c r="T152" s="342"/>
      <c r="U152" s="342"/>
      <c r="V152" s="342"/>
    </row>
    <row r="153" spans="1:23" s="273" customFormat="1" ht="15" hidden="1" customHeight="1" x14ac:dyDescent="0.2">
      <c r="C153" s="342"/>
      <c r="D153" s="342"/>
      <c r="E153" s="342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</row>
    <row r="154" spans="1:23" s="273" customFormat="1" ht="15" hidden="1" customHeight="1" x14ac:dyDescent="0.2">
      <c r="C154" s="342"/>
      <c r="D154" s="342"/>
      <c r="E154" s="342"/>
      <c r="F154" s="342"/>
      <c r="G154" s="342"/>
      <c r="H154" s="342"/>
      <c r="I154" s="342"/>
      <c r="J154" s="342"/>
      <c r="K154" s="342"/>
      <c r="L154" s="342"/>
      <c r="M154" s="342"/>
      <c r="N154" s="342"/>
      <c r="O154" s="342"/>
      <c r="P154" s="342"/>
      <c r="Q154" s="342"/>
      <c r="R154" s="342"/>
      <c r="S154" s="342"/>
      <c r="T154" s="342"/>
      <c r="U154" s="342"/>
      <c r="V154" s="342"/>
    </row>
    <row r="155" spans="1:23" s="273" customFormat="1" ht="15" hidden="1" customHeight="1" x14ac:dyDescent="0.2">
      <c r="C155" s="342"/>
      <c r="D155" s="342"/>
      <c r="E155" s="342"/>
      <c r="F155" s="342"/>
      <c r="G155" s="342"/>
      <c r="H155" s="342"/>
      <c r="I155" s="342"/>
      <c r="J155" s="342"/>
      <c r="K155" s="342"/>
      <c r="L155" s="342"/>
      <c r="M155" s="342"/>
      <c r="N155" s="342"/>
      <c r="O155" s="342"/>
      <c r="P155" s="342"/>
      <c r="Q155" s="342"/>
      <c r="R155" s="342"/>
      <c r="S155" s="342"/>
      <c r="T155" s="342"/>
      <c r="U155" s="342"/>
      <c r="V155" s="342"/>
    </row>
    <row r="156" spans="1:23" s="273" customFormat="1" ht="15" hidden="1" customHeight="1" x14ac:dyDescent="0.2">
      <c r="C156" s="342"/>
      <c r="D156" s="342"/>
      <c r="E156" s="342"/>
      <c r="F156" s="342"/>
      <c r="G156" s="342"/>
      <c r="H156" s="342"/>
      <c r="I156" s="342"/>
      <c r="J156" s="342"/>
      <c r="K156" s="342"/>
      <c r="L156" s="342"/>
      <c r="M156" s="342"/>
      <c r="N156" s="342"/>
      <c r="O156" s="342"/>
      <c r="P156" s="342"/>
      <c r="Q156" s="342"/>
      <c r="R156" s="342"/>
      <c r="S156" s="342"/>
      <c r="T156" s="342"/>
      <c r="U156" s="342"/>
      <c r="V156" s="342"/>
    </row>
    <row r="157" spans="1:23" s="273" customFormat="1" ht="15" hidden="1" customHeight="1" x14ac:dyDescent="0.2">
      <c r="C157" s="342"/>
      <c r="D157" s="342"/>
      <c r="E157" s="342"/>
      <c r="F157" s="342"/>
      <c r="G157" s="342"/>
      <c r="H157" s="342"/>
      <c r="I157" s="342"/>
      <c r="J157" s="342"/>
      <c r="K157" s="342"/>
      <c r="L157" s="342"/>
      <c r="M157" s="342"/>
      <c r="N157" s="342"/>
      <c r="O157" s="342"/>
      <c r="P157" s="342"/>
      <c r="Q157" s="342"/>
      <c r="R157" s="342"/>
      <c r="S157" s="342"/>
      <c r="T157" s="342"/>
      <c r="U157" s="342"/>
      <c r="V157" s="342"/>
    </row>
    <row r="158" spans="1:23" s="273" customFormat="1" ht="15" hidden="1" customHeight="1" x14ac:dyDescent="0.2">
      <c r="C158" s="342"/>
      <c r="D158" s="342"/>
      <c r="E158" s="342"/>
      <c r="F158" s="342"/>
      <c r="G158" s="342"/>
      <c r="H158" s="342"/>
      <c r="I158" s="342"/>
      <c r="J158" s="342"/>
      <c r="K158" s="342"/>
      <c r="L158" s="342"/>
      <c r="M158" s="342"/>
      <c r="N158" s="342"/>
      <c r="O158" s="342"/>
      <c r="P158" s="342"/>
      <c r="Q158" s="342"/>
      <c r="R158" s="342"/>
      <c r="S158" s="342"/>
      <c r="T158" s="342"/>
      <c r="U158" s="342"/>
      <c r="V158" s="342"/>
    </row>
    <row r="159" spans="1:23" s="273" customFormat="1" ht="15" hidden="1" customHeight="1" x14ac:dyDescent="0.2">
      <c r="C159" s="342"/>
      <c r="D159" s="342"/>
      <c r="E159" s="342"/>
      <c r="F159" s="342"/>
      <c r="G159" s="342"/>
      <c r="H159" s="342"/>
      <c r="I159" s="342"/>
      <c r="J159" s="342"/>
      <c r="K159" s="342"/>
      <c r="L159" s="342"/>
      <c r="M159" s="342"/>
      <c r="N159" s="342"/>
      <c r="O159" s="342"/>
      <c r="P159" s="342"/>
      <c r="Q159" s="342"/>
      <c r="R159" s="342"/>
      <c r="S159" s="342"/>
      <c r="T159" s="342"/>
      <c r="U159" s="342"/>
      <c r="V159" s="342"/>
    </row>
    <row r="160" spans="1:23" s="273" customFormat="1" ht="15" hidden="1" customHeight="1" outlineLevel="1" x14ac:dyDescent="0.2">
      <c r="C160" s="342"/>
      <c r="D160" s="342"/>
      <c r="E160" s="342"/>
      <c r="F160" s="342"/>
      <c r="G160" s="342"/>
      <c r="H160" s="342"/>
      <c r="I160" s="342"/>
      <c r="J160" s="342"/>
      <c r="K160" s="342"/>
      <c r="L160" s="342"/>
      <c r="M160" s="342"/>
      <c r="N160" s="342"/>
      <c r="O160" s="342"/>
      <c r="P160" s="342"/>
      <c r="Q160" s="342"/>
      <c r="R160" s="342"/>
      <c r="S160" s="342"/>
      <c r="T160" s="342"/>
      <c r="U160" s="342"/>
      <c r="V160" s="342"/>
    </row>
    <row r="161" spans="3:22" s="273" customFormat="1" ht="15" hidden="1" customHeight="1" outlineLevel="1" x14ac:dyDescent="0.2">
      <c r="C161" s="342"/>
      <c r="D161" s="342"/>
      <c r="E161" s="342"/>
      <c r="F161" s="342"/>
      <c r="G161" s="342"/>
      <c r="H161" s="342"/>
      <c r="I161" s="342"/>
      <c r="J161" s="342"/>
      <c r="K161" s="342"/>
      <c r="L161" s="342"/>
      <c r="M161" s="342"/>
      <c r="N161" s="342"/>
      <c r="O161" s="342"/>
      <c r="P161" s="342"/>
      <c r="Q161" s="342"/>
      <c r="R161" s="342"/>
      <c r="S161" s="342"/>
      <c r="T161" s="342"/>
      <c r="U161" s="342"/>
      <c r="V161" s="342"/>
    </row>
    <row r="162" spans="3:22" s="273" customFormat="1" ht="15" hidden="1" customHeight="1" outlineLevel="1" x14ac:dyDescent="0.2">
      <c r="C162" s="342"/>
      <c r="D162" s="342"/>
      <c r="E162" s="342"/>
      <c r="F162" s="342"/>
      <c r="G162" s="342"/>
      <c r="H162" s="342"/>
      <c r="I162" s="342"/>
      <c r="J162" s="342"/>
      <c r="K162" s="342"/>
      <c r="L162" s="342"/>
      <c r="M162" s="342"/>
      <c r="N162" s="342"/>
      <c r="O162" s="342"/>
      <c r="P162" s="342"/>
      <c r="Q162" s="342"/>
      <c r="R162" s="342"/>
      <c r="S162" s="342"/>
      <c r="T162" s="342"/>
      <c r="U162" s="342"/>
      <c r="V162" s="342"/>
    </row>
    <row r="163" spans="3:22" s="273" customFormat="1" ht="15" hidden="1" customHeight="1" outlineLevel="1" x14ac:dyDescent="0.2">
      <c r="C163" s="342"/>
      <c r="D163" s="342"/>
      <c r="E163" s="342"/>
      <c r="F163" s="342"/>
      <c r="G163" s="342"/>
      <c r="H163" s="342"/>
      <c r="I163" s="342"/>
      <c r="J163" s="342"/>
      <c r="K163" s="342"/>
      <c r="L163" s="342"/>
      <c r="M163" s="342"/>
      <c r="N163" s="342"/>
      <c r="O163" s="342"/>
      <c r="P163" s="342"/>
      <c r="Q163" s="342"/>
      <c r="R163" s="342"/>
      <c r="S163" s="342"/>
      <c r="T163" s="342"/>
      <c r="U163" s="342"/>
      <c r="V163" s="342"/>
    </row>
    <row r="164" spans="3:22" s="273" customFormat="1" ht="15" hidden="1" customHeight="1" outlineLevel="1" x14ac:dyDescent="0.2">
      <c r="C164" s="342"/>
      <c r="D164" s="342"/>
      <c r="E164" s="342"/>
      <c r="F164" s="342"/>
      <c r="G164" s="342"/>
      <c r="H164" s="342"/>
      <c r="I164" s="342"/>
      <c r="J164" s="342"/>
      <c r="K164" s="342"/>
      <c r="L164" s="342"/>
      <c r="M164" s="342"/>
      <c r="N164" s="342"/>
      <c r="O164" s="342"/>
      <c r="P164" s="342"/>
      <c r="Q164" s="342"/>
      <c r="R164" s="342"/>
      <c r="S164" s="342"/>
      <c r="T164" s="342"/>
      <c r="U164" s="342"/>
      <c r="V164" s="342"/>
    </row>
    <row r="165" spans="3:22" s="273" customFormat="1" ht="15" hidden="1" customHeight="1" outlineLevel="1" x14ac:dyDescent="0.2">
      <c r="C165" s="342"/>
      <c r="D165" s="342"/>
      <c r="E165" s="342"/>
      <c r="F165" s="342"/>
      <c r="G165" s="342"/>
      <c r="H165" s="342"/>
      <c r="I165" s="342"/>
      <c r="J165" s="342"/>
      <c r="K165" s="342"/>
      <c r="L165" s="342"/>
      <c r="M165" s="342"/>
      <c r="N165" s="342"/>
      <c r="O165" s="342"/>
      <c r="P165" s="342"/>
      <c r="Q165" s="342"/>
      <c r="R165" s="342"/>
      <c r="S165" s="342"/>
      <c r="T165" s="342"/>
      <c r="U165" s="342"/>
      <c r="V165" s="342"/>
    </row>
    <row r="166" spans="3:22" s="273" customFormat="1" ht="15" hidden="1" customHeight="1" outlineLevel="1" x14ac:dyDescent="0.2">
      <c r="C166" s="342"/>
      <c r="D166" s="342"/>
      <c r="E166" s="342"/>
      <c r="F166" s="342"/>
      <c r="G166" s="342"/>
      <c r="H166" s="342"/>
      <c r="I166" s="342"/>
      <c r="J166" s="342"/>
      <c r="K166" s="342"/>
      <c r="L166" s="342"/>
      <c r="M166" s="342"/>
      <c r="N166" s="342"/>
      <c r="O166" s="342"/>
      <c r="P166" s="342"/>
      <c r="Q166" s="342"/>
      <c r="R166" s="342"/>
      <c r="S166" s="342"/>
      <c r="T166" s="342"/>
      <c r="U166" s="342"/>
      <c r="V166" s="342"/>
    </row>
    <row r="167" spans="3:22" s="273" customFormat="1" ht="15" hidden="1" customHeight="1" outlineLevel="1" x14ac:dyDescent="0.2">
      <c r="C167" s="342"/>
      <c r="D167" s="342"/>
      <c r="E167" s="342"/>
      <c r="F167" s="342"/>
      <c r="G167" s="342"/>
      <c r="H167" s="342"/>
      <c r="I167" s="342"/>
      <c r="J167" s="342"/>
      <c r="K167" s="342"/>
      <c r="L167" s="342"/>
      <c r="M167" s="342"/>
      <c r="N167" s="342"/>
      <c r="O167" s="342"/>
      <c r="P167" s="342"/>
      <c r="Q167" s="342"/>
      <c r="R167" s="342"/>
      <c r="S167" s="342"/>
      <c r="T167" s="342"/>
      <c r="U167" s="342"/>
      <c r="V167" s="342"/>
    </row>
    <row r="168" spans="3:22" s="273" customFormat="1" ht="15" hidden="1" customHeight="1" outlineLevel="1" x14ac:dyDescent="0.2">
      <c r="C168" s="342"/>
      <c r="D168" s="342"/>
      <c r="E168" s="342"/>
      <c r="F168" s="342"/>
      <c r="G168" s="342"/>
      <c r="H168" s="342"/>
      <c r="I168" s="342"/>
      <c r="J168" s="342"/>
      <c r="K168" s="342"/>
      <c r="L168" s="342"/>
      <c r="M168" s="342"/>
      <c r="N168" s="342"/>
      <c r="O168" s="342"/>
      <c r="P168" s="342"/>
      <c r="Q168" s="342"/>
      <c r="R168" s="342"/>
      <c r="S168" s="342"/>
      <c r="T168" s="342"/>
      <c r="U168" s="342"/>
      <c r="V168" s="342"/>
    </row>
    <row r="169" spans="3:22" s="273" customFormat="1" ht="15" hidden="1" customHeight="1" outlineLevel="1" x14ac:dyDescent="0.2">
      <c r="C169" s="342"/>
      <c r="D169" s="342"/>
      <c r="E169" s="342"/>
      <c r="F169" s="342"/>
      <c r="G169" s="342"/>
      <c r="H169" s="342"/>
      <c r="I169" s="342"/>
      <c r="J169" s="342"/>
      <c r="K169" s="342"/>
      <c r="L169" s="342"/>
      <c r="M169" s="342"/>
      <c r="N169" s="342"/>
      <c r="O169" s="342"/>
      <c r="P169" s="342"/>
      <c r="Q169" s="342"/>
      <c r="R169" s="342"/>
      <c r="S169" s="342"/>
      <c r="T169" s="342"/>
      <c r="U169" s="342"/>
      <c r="V169" s="342"/>
    </row>
    <row r="170" spans="3:22" s="273" customFormat="1" ht="15" hidden="1" customHeight="1" outlineLevel="1" x14ac:dyDescent="0.2">
      <c r="C170" s="342"/>
      <c r="D170" s="342"/>
      <c r="E170" s="342"/>
      <c r="F170" s="342"/>
      <c r="G170" s="342"/>
      <c r="H170" s="342"/>
      <c r="I170" s="342"/>
      <c r="J170" s="342"/>
      <c r="K170" s="342"/>
      <c r="L170" s="342"/>
      <c r="M170" s="342"/>
      <c r="N170" s="342"/>
      <c r="O170" s="342"/>
      <c r="P170" s="342"/>
      <c r="Q170" s="342"/>
      <c r="R170" s="342"/>
      <c r="S170" s="342"/>
      <c r="T170" s="342"/>
      <c r="U170" s="342"/>
      <c r="V170" s="342"/>
    </row>
    <row r="171" spans="3:22" s="273" customFormat="1" ht="15" hidden="1" customHeight="1" outlineLevel="1" x14ac:dyDescent="0.2">
      <c r="C171" s="342"/>
      <c r="D171" s="342"/>
      <c r="E171" s="342"/>
      <c r="F171" s="342"/>
      <c r="G171" s="342"/>
      <c r="H171" s="342"/>
      <c r="I171" s="342"/>
      <c r="J171" s="342"/>
      <c r="K171" s="342"/>
      <c r="L171" s="342"/>
      <c r="M171" s="342"/>
      <c r="N171" s="342"/>
      <c r="O171" s="342"/>
      <c r="P171" s="342"/>
      <c r="Q171" s="342"/>
      <c r="R171" s="342"/>
      <c r="S171" s="342"/>
      <c r="T171" s="342"/>
      <c r="U171" s="342"/>
      <c r="V171" s="342"/>
    </row>
    <row r="172" spans="3:22" s="273" customFormat="1" ht="15" hidden="1" customHeight="1" outlineLevel="1" x14ac:dyDescent="0.2">
      <c r="C172" s="342"/>
      <c r="D172" s="342"/>
      <c r="E172" s="342"/>
      <c r="F172" s="342"/>
      <c r="G172" s="342"/>
      <c r="H172" s="342"/>
      <c r="I172" s="342"/>
      <c r="J172" s="342"/>
      <c r="K172" s="342"/>
      <c r="L172" s="342"/>
      <c r="M172" s="342"/>
      <c r="N172" s="342"/>
      <c r="O172" s="342"/>
      <c r="P172" s="342"/>
      <c r="Q172" s="342"/>
      <c r="R172" s="342"/>
      <c r="S172" s="342"/>
      <c r="T172" s="342"/>
      <c r="U172" s="342"/>
      <c r="V172" s="342"/>
    </row>
    <row r="173" spans="3:22" s="273" customFormat="1" ht="15" hidden="1" customHeight="1" outlineLevel="1" x14ac:dyDescent="0.2">
      <c r="C173" s="342"/>
      <c r="D173" s="342"/>
      <c r="E173" s="342"/>
      <c r="F173" s="342"/>
      <c r="G173" s="342"/>
      <c r="H173" s="342"/>
      <c r="I173" s="342"/>
      <c r="J173" s="342"/>
      <c r="K173" s="342"/>
      <c r="L173" s="342"/>
      <c r="M173" s="342"/>
      <c r="N173" s="342"/>
      <c r="O173" s="342"/>
      <c r="P173" s="342"/>
      <c r="Q173" s="342"/>
      <c r="R173" s="342"/>
      <c r="S173" s="342"/>
      <c r="T173" s="342"/>
      <c r="U173" s="342"/>
      <c r="V173" s="342"/>
    </row>
    <row r="174" spans="3:22" s="273" customFormat="1" ht="15" hidden="1" customHeight="1" outlineLevel="1" x14ac:dyDescent="0.2">
      <c r="C174" s="342"/>
      <c r="D174" s="342"/>
      <c r="E174" s="342"/>
      <c r="F174" s="342"/>
      <c r="G174" s="342"/>
      <c r="H174" s="342"/>
      <c r="I174" s="342"/>
      <c r="J174" s="342"/>
      <c r="K174" s="342"/>
      <c r="L174" s="342"/>
      <c r="M174" s="342"/>
      <c r="N174" s="342"/>
      <c r="O174" s="342"/>
      <c r="P174" s="342"/>
      <c r="Q174" s="342"/>
      <c r="R174" s="342"/>
      <c r="S174" s="342"/>
      <c r="T174" s="342"/>
      <c r="U174" s="342"/>
      <c r="V174" s="342"/>
    </row>
    <row r="175" spans="3:22" s="273" customFormat="1" ht="15" hidden="1" customHeight="1" outlineLevel="1" x14ac:dyDescent="0.2">
      <c r="C175" s="342"/>
      <c r="D175" s="342"/>
      <c r="E175" s="342"/>
      <c r="F175" s="342"/>
      <c r="G175" s="342"/>
      <c r="H175" s="342"/>
      <c r="I175" s="342"/>
      <c r="J175" s="342"/>
      <c r="K175" s="342"/>
      <c r="L175" s="342"/>
      <c r="M175" s="342"/>
      <c r="N175" s="342"/>
      <c r="O175" s="342"/>
      <c r="P175" s="342"/>
      <c r="Q175" s="342"/>
      <c r="R175" s="342"/>
      <c r="S175" s="342"/>
      <c r="T175" s="342"/>
      <c r="U175" s="342"/>
      <c r="V175" s="342"/>
    </row>
    <row r="176" spans="3:22" s="273" customFormat="1" ht="15" hidden="1" customHeight="1" outlineLevel="1" x14ac:dyDescent="0.2">
      <c r="C176" s="342"/>
      <c r="D176" s="342"/>
      <c r="E176" s="342"/>
      <c r="F176" s="342"/>
      <c r="G176" s="342"/>
      <c r="H176" s="342"/>
      <c r="I176" s="342"/>
      <c r="J176" s="342"/>
      <c r="K176" s="342"/>
      <c r="L176" s="342"/>
      <c r="M176" s="342"/>
      <c r="N176" s="342"/>
      <c r="O176" s="342"/>
      <c r="P176" s="342"/>
      <c r="Q176" s="342"/>
      <c r="R176" s="342"/>
      <c r="S176" s="342"/>
      <c r="T176" s="342"/>
      <c r="U176" s="342"/>
      <c r="V176" s="342"/>
    </row>
    <row r="177" spans="3:22" s="273" customFormat="1" ht="15" hidden="1" customHeight="1" outlineLevel="1" x14ac:dyDescent="0.2">
      <c r="C177" s="342"/>
      <c r="D177" s="342"/>
      <c r="E177" s="342"/>
      <c r="F177" s="342"/>
      <c r="G177" s="342"/>
      <c r="H177" s="342"/>
      <c r="I177" s="342"/>
      <c r="J177" s="342"/>
      <c r="K177" s="342"/>
      <c r="L177" s="342"/>
      <c r="M177" s="342"/>
      <c r="N177" s="342"/>
      <c r="O177" s="342"/>
      <c r="P177" s="342"/>
      <c r="Q177" s="342"/>
      <c r="R177" s="342"/>
      <c r="S177" s="342"/>
      <c r="T177" s="342"/>
      <c r="U177" s="342"/>
      <c r="V177" s="342"/>
    </row>
    <row r="178" spans="3:22" s="273" customFormat="1" ht="15" hidden="1" customHeight="1" outlineLevel="1" x14ac:dyDescent="0.2">
      <c r="C178" s="342"/>
      <c r="D178" s="342"/>
      <c r="E178" s="342"/>
      <c r="F178" s="342"/>
      <c r="G178" s="342"/>
      <c r="H178" s="342"/>
      <c r="I178" s="342"/>
      <c r="J178" s="342"/>
      <c r="K178" s="342"/>
      <c r="L178" s="342"/>
      <c r="M178" s="342"/>
      <c r="N178" s="342"/>
      <c r="O178" s="342"/>
      <c r="P178" s="342"/>
      <c r="Q178" s="342"/>
      <c r="R178" s="342"/>
      <c r="S178" s="342"/>
      <c r="T178" s="342"/>
      <c r="U178" s="342"/>
      <c r="V178" s="342"/>
    </row>
    <row r="179" spans="3:22" s="273" customFormat="1" ht="15" hidden="1" customHeight="1" outlineLevel="1" x14ac:dyDescent="0.2">
      <c r="C179" s="342"/>
      <c r="D179" s="342"/>
      <c r="E179" s="342"/>
      <c r="F179" s="342"/>
      <c r="G179" s="342"/>
      <c r="H179" s="342"/>
      <c r="I179" s="342"/>
      <c r="J179" s="342"/>
      <c r="K179" s="342"/>
      <c r="L179" s="342"/>
      <c r="M179" s="342"/>
      <c r="N179" s="342"/>
      <c r="O179" s="342"/>
      <c r="P179" s="342"/>
      <c r="Q179" s="342"/>
      <c r="R179" s="342"/>
      <c r="S179" s="342"/>
      <c r="T179" s="342"/>
      <c r="U179" s="342"/>
      <c r="V179" s="342"/>
    </row>
    <row r="180" spans="3:22" s="273" customFormat="1" ht="15" hidden="1" customHeight="1" outlineLevel="1" x14ac:dyDescent="0.2">
      <c r="C180" s="342"/>
      <c r="D180" s="342"/>
      <c r="E180" s="342"/>
      <c r="F180" s="342"/>
      <c r="G180" s="342"/>
      <c r="H180" s="342"/>
      <c r="I180" s="342"/>
      <c r="J180" s="342"/>
      <c r="K180" s="342"/>
      <c r="L180" s="342"/>
      <c r="M180" s="342"/>
      <c r="N180" s="342"/>
      <c r="O180" s="342"/>
      <c r="P180" s="342"/>
      <c r="Q180" s="342"/>
      <c r="R180" s="342"/>
      <c r="S180" s="342"/>
      <c r="T180" s="342"/>
      <c r="U180" s="342"/>
      <c r="V180" s="342"/>
    </row>
    <row r="181" spans="3:22" s="273" customFormat="1" ht="15" hidden="1" customHeight="1" outlineLevel="1" x14ac:dyDescent="0.2">
      <c r="C181" s="342"/>
      <c r="D181" s="342"/>
      <c r="E181" s="342"/>
      <c r="F181" s="342"/>
      <c r="G181" s="342"/>
      <c r="H181" s="342"/>
      <c r="I181" s="342"/>
      <c r="J181" s="342"/>
      <c r="K181" s="342"/>
      <c r="L181" s="342"/>
      <c r="M181" s="342"/>
      <c r="N181" s="342"/>
      <c r="O181" s="342"/>
      <c r="P181" s="342"/>
      <c r="Q181" s="342"/>
      <c r="R181" s="342"/>
      <c r="S181" s="342"/>
      <c r="T181" s="342"/>
      <c r="U181" s="342"/>
      <c r="V181" s="342"/>
    </row>
    <row r="182" spans="3:22" s="273" customFormat="1" ht="15" hidden="1" customHeight="1" outlineLevel="1" x14ac:dyDescent="0.2">
      <c r="C182" s="342"/>
      <c r="D182" s="342"/>
      <c r="E182" s="342"/>
      <c r="F182" s="342"/>
      <c r="G182" s="342"/>
      <c r="H182" s="342"/>
      <c r="I182" s="342"/>
      <c r="J182" s="342"/>
      <c r="K182" s="342"/>
      <c r="L182" s="342"/>
      <c r="M182" s="342"/>
      <c r="N182" s="342"/>
      <c r="O182" s="342"/>
      <c r="P182" s="342"/>
      <c r="Q182" s="342"/>
      <c r="R182" s="342"/>
      <c r="S182" s="342"/>
      <c r="T182" s="342"/>
      <c r="U182" s="342"/>
      <c r="V182" s="342"/>
    </row>
    <row r="183" spans="3:22" s="273" customFormat="1" ht="15" hidden="1" customHeight="1" outlineLevel="1" x14ac:dyDescent="0.2">
      <c r="C183" s="342"/>
      <c r="D183" s="342"/>
      <c r="E183" s="342"/>
      <c r="F183" s="342"/>
      <c r="G183" s="342"/>
      <c r="H183" s="342"/>
      <c r="I183" s="342"/>
      <c r="J183" s="342"/>
      <c r="K183" s="342"/>
      <c r="L183" s="342"/>
      <c r="M183" s="342"/>
      <c r="N183" s="342"/>
      <c r="O183" s="342"/>
      <c r="P183" s="342"/>
      <c r="Q183" s="342"/>
      <c r="R183" s="342"/>
      <c r="S183" s="342"/>
      <c r="T183" s="342"/>
      <c r="U183" s="342"/>
      <c r="V183" s="342"/>
    </row>
    <row r="184" spans="3:22" s="273" customFormat="1" ht="15" hidden="1" customHeight="1" outlineLevel="1" x14ac:dyDescent="0.2">
      <c r="C184" s="342"/>
      <c r="D184" s="342"/>
      <c r="E184" s="342"/>
      <c r="F184" s="342"/>
      <c r="G184" s="342"/>
      <c r="H184" s="342"/>
      <c r="I184" s="342"/>
      <c r="J184" s="342"/>
      <c r="K184" s="342"/>
      <c r="L184" s="342"/>
      <c r="M184" s="342"/>
      <c r="N184" s="342"/>
      <c r="O184" s="342"/>
      <c r="P184" s="342"/>
      <c r="Q184" s="342"/>
      <c r="R184" s="342"/>
      <c r="S184" s="342"/>
      <c r="T184" s="342"/>
      <c r="U184" s="342"/>
      <c r="V184" s="342"/>
    </row>
    <row r="185" spans="3:22" s="273" customFormat="1" ht="15" hidden="1" customHeight="1" outlineLevel="1" x14ac:dyDescent="0.2">
      <c r="C185" s="342"/>
      <c r="D185" s="342"/>
      <c r="E185" s="342"/>
      <c r="F185" s="342"/>
      <c r="G185" s="342"/>
      <c r="H185" s="342"/>
      <c r="I185" s="342"/>
      <c r="J185" s="342"/>
      <c r="K185" s="342"/>
      <c r="L185" s="342"/>
      <c r="M185" s="342"/>
      <c r="N185" s="342"/>
      <c r="O185" s="342"/>
      <c r="P185" s="342"/>
      <c r="Q185" s="342"/>
      <c r="R185" s="342"/>
      <c r="S185" s="342"/>
      <c r="T185" s="342"/>
      <c r="U185" s="342"/>
      <c r="V185" s="342"/>
    </row>
    <row r="186" spans="3:22" s="273" customFormat="1" ht="15" hidden="1" customHeight="1" outlineLevel="1" x14ac:dyDescent="0.2">
      <c r="C186" s="342"/>
      <c r="D186" s="342"/>
      <c r="E186" s="342"/>
      <c r="F186" s="342"/>
      <c r="G186" s="342"/>
      <c r="H186" s="342"/>
      <c r="I186" s="342"/>
      <c r="J186" s="342"/>
      <c r="K186" s="342"/>
      <c r="L186" s="342"/>
      <c r="M186" s="342"/>
      <c r="N186" s="342"/>
      <c r="O186" s="342"/>
      <c r="P186" s="342"/>
      <c r="Q186" s="342"/>
      <c r="R186" s="342"/>
      <c r="S186" s="342"/>
      <c r="T186" s="342"/>
      <c r="U186" s="342"/>
      <c r="V186" s="342"/>
    </row>
    <row r="187" spans="3:22" s="273" customFormat="1" ht="15" hidden="1" customHeight="1" outlineLevel="1" x14ac:dyDescent="0.2">
      <c r="C187" s="342"/>
      <c r="D187" s="342"/>
      <c r="E187" s="342"/>
      <c r="F187" s="342"/>
      <c r="G187" s="342"/>
      <c r="H187" s="342"/>
      <c r="I187" s="342"/>
      <c r="J187" s="342"/>
      <c r="K187" s="342"/>
      <c r="L187" s="342"/>
      <c r="M187" s="342"/>
      <c r="N187" s="342"/>
      <c r="O187" s="342"/>
      <c r="P187" s="342"/>
      <c r="Q187" s="342"/>
      <c r="R187" s="342"/>
      <c r="S187" s="342"/>
      <c r="T187" s="342"/>
      <c r="U187" s="342"/>
      <c r="V187" s="342"/>
    </row>
    <row r="188" spans="3:22" s="273" customFormat="1" ht="15" hidden="1" customHeight="1" outlineLevel="1" x14ac:dyDescent="0.2">
      <c r="C188" s="342"/>
      <c r="D188" s="342"/>
      <c r="E188" s="342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  <c r="R188" s="342"/>
      <c r="S188" s="342"/>
      <c r="T188" s="342"/>
      <c r="U188" s="342"/>
      <c r="V188" s="342"/>
    </row>
    <row r="189" spans="3:22" s="273" customFormat="1" ht="15" hidden="1" customHeight="1" outlineLevel="1" x14ac:dyDescent="0.2">
      <c r="C189" s="342"/>
      <c r="D189" s="342"/>
      <c r="E189" s="342"/>
      <c r="F189" s="342"/>
      <c r="G189" s="342"/>
      <c r="H189" s="342"/>
      <c r="I189" s="342"/>
      <c r="J189" s="342"/>
      <c r="K189" s="342"/>
      <c r="L189" s="342"/>
      <c r="M189" s="342"/>
      <c r="N189" s="342"/>
      <c r="O189" s="342"/>
      <c r="P189" s="342"/>
      <c r="Q189" s="342"/>
      <c r="R189" s="342"/>
      <c r="S189" s="342"/>
      <c r="T189" s="342"/>
      <c r="U189" s="342"/>
      <c r="V189" s="342"/>
    </row>
    <row r="190" spans="3:22" s="273" customFormat="1" ht="15" hidden="1" customHeight="1" outlineLevel="1" x14ac:dyDescent="0.2">
      <c r="C190" s="342"/>
      <c r="D190" s="342"/>
      <c r="E190" s="342"/>
      <c r="F190" s="342"/>
      <c r="G190" s="342"/>
      <c r="H190" s="342"/>
      <c r="I190" s="342"/>
      <c r="J190" s="342"/>
      <c r="K190" s="342"/>
      <c r="L190" s="342"/>
      <c r="M190" s="342"/>
      <c r="N190" s="342"/>
      <c r="O190" s="342"/>
      <c r="P190" s="342"/>
      <c r="Q190" s="342"/>
      <c r="R190" s="342"/>
      <c r="S190" s="342"/>
      <c r="T190" s="342"/>
      <c r="U190" s="342"/>
      <c r="V190" s="342"/>
    </row>
    <row r="191" spans="3:22" s="273" customFormat="1" ht="15" hidden="1" customHeight="1" outlineLevel="1" x14ac:dyDescent="0.2">
      <c r="C191" s="342"/>
      <c r="D191" s="342"/>
      <c r="E191" s="342"/>
      <c r="F191" s="342"/>
      <c r="G191" s="342"/>
      <c r="H191" s="342"/>
      <c r="I191" s="342"/>
      <c r="J191" s="342"/>
      <c r="K191" s="342"/>
      <c r="L191" s="342"/>
      <c r="M191" s="342"/>
      <c r="N191" s="342"/>
      <c r="O191" s="342"/>
      <c r="P191" s="342"/>
      <c r="Q191" s="342"/>
      <c r="R191" s="342"/>
      <c r="S191" s="342"/>
      <c r="T191" s="342"/>
      <c r="U191" s="342"/>
      <c r="V191" s="342"/>
    </row>
    <row r="192" spans="3:22" s="273" customFormat="1" ht="15" hidden="1" customHeight="1" outlineLevel="1" x14ac:dyDescent="0.2">
      <c r="C192" s="342"/>
      <c r="D192" s="342"/>
      <c r="E192" s="342"/>
      <c r="F192" s="342"/>
      <c r="G192" s="342"/>
      <c r="H192" s="342"/>
      <c r="I192" s="342"/>
      <c r="J192" s="342"/>
      <c r="K192" s="342"/>
      <c r="L192" s="342"/>
      <c r="M192" s="342"/>
      <c r="N192" s="342"/>
      <c r="O192" s="342"/>
      <c r="P192" s="342"/>
      <c r="Q192" s="342"/>
      <c r="R192" s="342"/>
      <c r="S192" s="342"/>
      <c r="T192" s="342"/>
      <c r="U192" s="342"/>
      <c r="V192" s="342"/>
    </row>
    <row r="193" spans="3:22" s="273" customFormat="1" ht="15" hidden="1" customHeight="1" outlineLevel="1" x14ac:dyDescent="0.2"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</row>
    <row r="194" spans="3:22" s="273" customFormat="1" ht="15" hidden="1" customHeight="1" outlineLevel="1" x14ac:dyDescent="0.2">
      <c r="C194" s="342"/>
      <c r="D194" s="342"/>
      <c r="E194" s="342"/>
      <c r="F194" s="342"/>
      <c r="G194" s="342"/>
      <c r="H194" s="342"/>
      <c r="I194" s="342"/>
      <c r="J194" s="342"/>
      <c r="K194" s="342"/>
      <c r="L194" s="342"/>
      <c r="M194" s="342"/>
      <c r="N194" s="342"/>
      <c r="O194" s="342"/>
      <c r="P194" s="342"/>
      <c r="Q194" s="342"/>
      <c r="R194" s="342"/>
      <c r="S194" s="342"/>
      <c r="T194" s="342"/>
      <c r="U194" s="342"/>
      <c r="V194" s="342"/>
    </row>
    <row r="195" spans="3:22" s="273" customFormat="1" ht="15" hidden="1" customHeight="1" outlineLevel="1" x14ac:dyDescent="0.2">
      <c r="C195" s="342"/>
      <c r="D195" s="342"/>
      <c r="E195" s="342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R195" s="342"/>
      <c r="S195" s="342"/>
      <c r="T195" s="342"/>
      <c r="U195" s="342"/>
      <c r="V195" s="342"/>
    </row>
    <row r="196" spans="3:22" s="273" customFormat="1" ht="15" hidden="1" customHeight="1" outlineLevel="1" x14ac:dyDescent="0.2"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</row>
    <row r="197" spans="3:22" s="273" customFormat="1" ht="15" hidden="1" customHeight="1" outlineLevel="1" x14ac:dyDescent="0.2">
      <c r="C197" s="342"/>
      <c r="D197" s="342"/>
      <c r="E197" s="342"/>
      <c r="F197" s="342"/>
      <c r="G197" s="342"/>
      <c r="H197" s="342"/>
      <c r="I197" s="342"/>
      <c r="J197" s="342"/>
      <c r="K197" s="342"/>
      <c r="L197" s="342"/>
      <c r="M197" s="342"/>
      <c r="N197" s="342"/>
      <c r="O197" s="342"/>
      <c r="P197" s="342"/>
      <c r="Q197" s="342"/>
      <c r="R197" s="342"/>
      <c r="S197" s="342"/>
      <c r="T197" s="342"/>
      <c r="U197" s="342"/>
      <c r="V197" s="342"/>
    </row>
    <row r="198" spans="3:22" s="273" customFormat="1" ht="15" hidden="1" customHeight="1" outlineLevel="1" x14ac:dyDescent="0.2">
      <c r="C198" s="342"/>
      <c r="D198" s="342"/>
      <c r="E198" s="342"/>
      <c r="F198" s="342"/>
      <c r="G198" s="342"/>
      <c r="H198" s="342"/>
      <c r="I198" s="342"/>
      <c r="J198" s="342"/>
      <c r="K198" s="342"/>
      <c r="L198" s="342"/>
      <c r="M198" s="342"/>
      <c r="N198" s="342"/>
      <c r="O198" s="342"/>
      <c r="P198" s="342"/>
      <c r="Q198" s="342"/>
      <c r="R198" s="342"/>
      <c r="S198" s="342"/>
      <c r="T198" s="342"/>
      <c r="U198" s="342"/>
      <c r="V198" s="342"/>
    </row>
    <row r="199" spans="3:22" s="273" customFormat="1" ht="15" hidden="1" customHeight="1" outlineLevel="1" x14ac:dyDescent="0.2">
      <c r="C199" s="342"/>
      <c r="D199" s="342"/>
      <c r="E199" s="342"/>
      <c r="F199" s="342"/>
      <c r="G199" s="342"/>
      <c r="H199" s="342"/>
      <c r="I199" s="342"/>
      <c r="J199" s="342"/>
      <c r="K199" s="342"/>
      <c r="L199" s="342"/>
      <c r="M199" s="342"/>
      <c r="N199" s="342"/>
      <c r="O199" s="342"/>
      <c r="P199" s="342"/>
      <c r="Q199" s="342"/>
      <c r="R199" s="342"/>
      <c r="S199" s="342"/>
      <c r="T199" s="342"/>
      <c r="U199" s="342"/>
      <c r="V199" s="342"/>
    </row>
    <row r="200" spans="3:22" s="273" customFormat="1" ht="15" hidden="1" customHeight="1" outlineLevel="1" x14ac:dyDescent="0.2">
      <c r="C200" s="342"/>
      <c r="D200" s="342"/>
      <c r="E200" s="342"/>
      <c r="F200" s="342"/>
      <c r="G200" s="342"/>
      <c r="H200" s="342"/>
      <c r="I200" s="342"/>
      <c r="J200" s="342"/>
      <c r="K200" s="342"/>
      <c r="L200" s="342"/>
      <c r="M200" s="342"/>
      <c r="N200" s="342"/>
      <c r="O200" s="342"/>
      <c r="P200" s="342"/>
      <c r="Q200" s="342"/>
      <c r="R200" s="342"/>
      <c r="S200" s="342"/>
      <c r="T200" s="342"/>
      <c r="U200" s="342"/>
      <c r="V200" s="342"/>
    </row>
    <row r="201" spans="3:22" s="273" customFormat="1" ht="15" hidden="1" customHeight="1" outlineLevel="1" x14ac:dyDescent="0.2">
      <c r="C201" s="342"/>
      <c r="D201" s="342"/>
      <c r="E201" s="342"/>
      <c r="F201" s="342"/>
      <c r="G201" s="342"/>
      <c r="H201" s="342"/>
      <c r="I201" s="342"/>
      <c r="J201" s="342"/>
      <c r="K201" s="342"/>
      <c r="L201" s="342"/>
      <c r="M201" s="342"/>
      <c r="N201" s="342"/>
      <c r="O201" s="342"/>
      <c r="P201" s="342"/>
      <c r="Q201" s="342"/>
      <c r="R201" s="342"/>
      <c r="S201" s="342"/>
      <c r="T201" s="342"/>
      <c r="U201" s="342"/>
      <c r="V201" s="342"/>
    </row>
    <row r="202" spans="3:22" s="273" customFormat="1" ht="15" hidden="1" customHeight="1" outlineLevel="1" x14ac:dyDescent="0.2">
      <c r="C202" s="342"/>
      <c r="D202" s="342"/>
      <c r="E202" s="342"/>
      <c r="F202" s="342"/>
      <c r="G202" s="342"/>
      <c r="H202" s="342"/>
      <c r="I202" s="342"/>
      <c r="J202" s="342"/>
      <c r="K202" s="342"/>
      <c r="L202" s="342"/>
      <c r="M202" s="342"/>
      <c r="N202" s="342"/>
      <c r="O202" s="342"/>
      <c r="P202" s="342"/>
      <c r="Q202" s="342"/>
      <c r="R202" s="342"/>
      <c r="S202" s="342"/>
      <c r="T202" s="342"/>
      <c r="U202" s="342"/>
      <c r="V202" s="342"/>
    </row>
    <row r="203" spans="3:22" s="273" customFormat="1" ht="15" hidden="1" customHeight="1" outlineLevel="1" x14ac:dyDescent="0.2">
      <c r="C203" s="342"/>
      <c r="D203" s="342"/>
      <c r="E203" s="342"/>
      <c r="F203" s="342"/>
      <c r="G203" s="342"/>
      <c r="H203" s="342"/>
      <c r="I203" s="342"/>
      <c r="J203" s="342"/>
      <c r="K203" s="342"/>
      <c r="L203" s="342"/>
      <c r="M203" s="342"/>
      <c r="N203" s="342"/>
      <c r="O203" s="342"/>
      <c r="P203" s="342"/>
      <c r="Q203" s="342"/>
      <c r="R203" s="342"/>
      <c r="S203" s="342"/>
      <c r="T203" s="342"/>
      <c r="U203" s="342"/>
      <c r="V203" s="342"/>
    </row>
    <row r="204" spans="3:22" s="273" customFormat="1" ht="15" hidden="1" customHeight="1" outlineLevel="1" x14ac:dyDescent="0.2">
      <c r="C204" s="342"/>
      <c r="D204" s="342"/>
      <c r="E204" s="342"/>
      <c r="F204" s="342"/>
      <c r="G204" s="342"/>
      <c r="H204" s="342"/>
      <c r="I204" s="342"/>
      <c r="J204" s="342"/>
      <c r="K204" s="342"/>
      <c r="L204" s="342"/>
      <c r="M204" s="342"/>
      <c r="N204" s="342"/>
      <c r="O204" s="342"/>
      <c r="P204" s="342"/>
      <c r="Q204" s="342"/>
      <c r="R204" s="342"/>
      <c r="S204" s="342"/>
      <c r="T204" s="342"/>
      <c r="U204" s="342"/>
      <c r="V204" s="342"/>
    </row>
    <row r="205" spans="3:22" s="273" customFormat="1" ht="15" hidden="1" customHeight="1" outlineLevel="1" x14ac:dyDescent="0.2">
      <c r="C205" s="342"/>
      <c r="D205" s="342"/>
      <c r="E205" s="342"/>
      <c r="F205" s="342"/>
      <c r="G205" s="342"/>
      <c r="H205" s="342"/>
      <c r="I205" s="342"/>
      <c r="J205" s="342"/>
      <c r="K205" s="342"/>
      <c r="L205" s="342"/>
      <c r="M205" s="342"/>
      <c r="N205" s="342"/>
      <c r="O205" s="342"/>
      <c r="P205" s="342"/>
      <c r="Q205" s="342"/>
      <c r="R205" s="342"/>
      <c r="S205" s="342"/>
      <c r="T205" s="342"/>
      <c r="U205" s="342"/>
      <c r="V205" s="342"/>
    </row>
    <row r="206" spans="3:22" s="273" customFormat="1" ht="15" hidden="1" customHeight="1" outlineLevel="1" x14ac:dyDescent="0.2">
      <c r="C206" s="342"/>
      <c r="D206" s="342"/>
      <c r="E206" s="342"/>
      <c r="F206" s="342"/>
      <c r="G206" s="342"/>
      <c r="H206" s="342"/>
      <c r="I206" s="342"/>
      <c r="J206" s="342"/>
      <c r="K206" s="342"/>
      <c r="L206" s="342"/>
      <c r="M206" s="342"/>
      <c r="N206" s="342"/>
      <c r="O206" s="342"/>
      <c r="P206" s="342"/>
      <c r="Q206" s="342"/>
      <c r="R206" s="342"/>
      <c r="S206" s="342"/>
      <c r="T206" s="342"/>
      <c r="U206" s="342"/>
      <c r="V206" s="342"/>
    </row>
    <row r="207" spans="3:22" s="273" customFormat="1" ht="15" hidden="1" customHeight="1" outlineLevel="1" x14ac:dyDescent="0.2">
      <c r="C207" s="342"/>
      <c r="D207" s="342"/>
      <c r="E207" s="342"/>
      <c r="F207" s="342"/>
      <c r="G207" s="342"/>
      <c r="H207" s="342"/>
      <c r="I207" s="342"/>
      <c r="J207" s="342"/>
      <c r="K207" s="342"/>
      <c r="L207" s="342"/>
      <c r="M207" s="342"/>
      <c r="N207" s="342"/>
      <c r="O207" s="342"/>
      <c r="P207" s="342"/>
      <c r="Q207" s="342"/>
      <c r="R207" s="342"/>
      <c r="S207" s="342"/>
      <c r="T207" s="342"/>
      <c r="U207" s="342"/>
      <c r="V207" s="342"/>
    </row>
    <row r="208" spans="3:22" s="273" customFormat="1" ht="15" hidden="1" customHeight="1" outlineLevel="1" x14ac:dyDescent="0.2">
      <c r="C208" s="342"/>
      <c r="D208" s="342"/>
      <c r="E208" s="342"/>
      <c r="F208" s="342"/>
      <c r="G208" s="342"/>
      <c r="H208" s="342"/>
      <c r="I208" s="342"/>
      <c r="J208" s="342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</row>
    <row r="209" spans="3:22" s="273" customFormat="1" ht="15" hidden="1" customHeight="1" outlineLevel="1" x14ac:dyDescent="0.2">
      <c r="C209" s="342"/>
      <c r="D209" s="342"/>
      <c r="E209" s="342"/>
      <c r="F209" s="342"/>
      <c r="G209" s="342"/>
      <c r="H209" s="342"/>
      <c r="I209" s="342"/>
      <c r="J209" s="342"/>
      <c r="K209" s="342"/>
      <c r="L209" s="342"/>
      <c r="M209" s="342"/>
      <c r="N209" s="342"/>
      <c r="O209" s="342"/>
      <c r="P209" s="342"/>
      <c r="Q209" s="342"/>
      <c r="R209" s="342"/>
      <c r="S209" s="342"/>
      <c r="T209" s="342"/>
      <c r="U209" s="342"/>
      <c r="V209" s="342"/>
    </row>
    <row r="210" spans="3:22" s="273" customFormat="1" ht="15" hidden="1" customHeight="1" outlineLevel="1" x14ac:dyDescent="0.2">
      <c r="C210" s="342"/>
      <c r="D210" s="342"/>
      <c r="E210" s="342"/>
      <c r="F210" s="342"/>
      <c r="G210" s="342"/>
      <c r="H210" s="342"/>
      <c r="I210" s="342"/>
      <c r="J210" s="342"/>
      <c r="K210" s="342"/>
      <c r="L210" s="342"/>
      <c r="M210" s="342"/>
      <c r="N210" s="342"/>
      <c r="O210" s="342"/>
      <c r="P210" s="342"/>
      <c r="Q210" s="342"/>
      <c r="R210" s="342"/>
      <c r="S210" s="342"/>
      <c r="T210" s="342"/>
      <c r="U210" s="342"/>
      <c r="V210" s="342"/>
    </row>
    <row r="211" spans="3:22" s="273" customFormat="1" ht="15" hidden="1" customHeight="1" outlineLevel="1" x14ac:dyDescent="0.2">
      <c r="C211" s="342"/>
      <c r="D211" s="342"/>
      <c r="E211" s="342"/>
      <c r="F211" s="342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2"/>
    </row>
    <row r="212" spans="3:22" s="273" customFormat="1" ht="15" hidden="1" customHeight="1" outlineLevel="1" x14ac:dyDescent="0.2">
      <c r="C212" s="342"/>
      <c r="D212" s="342"/>
      <c r="E212" s="342"/>
      <c r="F212" s="342"/>
      <c r="G212" s="342"/>
      <c r="H212" s="342"/>
      <c r="I212" s="342"/>
      <c r="J212" s="342"/>
      <c r="K212" s="342"/>
      <c r="L212" s="342"/>
      <c r="M212" s="342"/>
      <c r="N212" s="342"/>
      <c r="O212" s="342"/>
      <c r="P212" s="342"/>
      <c r="Q212" s="342"/>
      <c r="R212" s="342"/>
      <c r="S212" s="342"/>
      <c r="T212" s="342"/>
      <c r="U212" s="342"/>
      <c r="V212" s="342"/>
    </row>
    <row r="213" spans="3:22" s="273" customFormat="1" ht="15" hidden="1" customHeight="1" outlineLevel="1" x14ac:dyDescent="0.2">
      <c r="C213" s="342"/>
      <c r="D213" s="342"/>
      <c r="E213" s="342"/>
      <c r="F213" s="342"/>
      <c r="G213" s="342"/>
      <c r="H213" s="342"/>
      <c r="I213" s="342"/>
      <c r="J213" s="342"/>
      <c r="K213" s="342"/>
      <c r="L213" s="342"/>
      <c r="M213" s="342"/>
      <c r="N213" s="342"/>
      <c r="O213" s="342"/>
      <c r="P213" s="342"/>
      <c r="Q213" s="342"/>
      <c r="R213" s="342"/>
      <c r="S213" s="342"/>
      <c r="T213" s="342"/>
      <c r="U213" s="342"/>
      <c r="V213" s="342"/>
    </row>
    <row r="214" spans="3:22" s="273" customFormat="1" ht="15" hidden="1" customHeight="1" outlineLevel="1" x14ac:dyDescent="0.2">
      <c r="C214" s="342"/>
      <c r="D214" s="342"/>
      <c r="E214" s="342"/>
      <c r="F214" s="342"/>
      <c r="G214" s="342"/>
      <c r="H214" s="342"/>
      <c r="I214" s="342"/>
      <c r="J214" s="342"/>
      <c r="K214" s="342"/>
      <c r="L214" s="342"/>
      <c r="M214" s="342"/>
      <c r="N214" s="342"/>
      <c r="O214" s="342"/>
      <c r="P214" s="342"/>
      <c r="Q214" s="342"/>
      <c r="R214" s="342"/>
      <c r="S214" s="342"/>
      <c r="T214" s="342"/>
      <c r="U214" s="342"/>
      <c r="V214" s="342"/>
    </row>
    <row r="215" spans="3:22" s="273" customFormat="1" ht="15" hidden="1" customHeight="1" outlineLevel="1" x14ac:dyDescent="0.2">
      <c r="C215" s="342"/>
      <c r="D215" s="342"/>
      <c r="E215" s="342"/>
      <c r="F215" s="342"/>
      <c r="G215" s="342"/>
      <c r="H215" s="342"/>
      <c r="I215" s="342"/>
      <c r="J215" s="342"/>
      <c r="K215" s="342"/>
      <c r="L215" s="342"/>
      <c r="M215" s="342"/>
      <c r="N215" s="342"/>
      <c r="O215" s="342"/>
      <c r="P215" s="342"/>
      <c r="Q215" s="342"/>
      <c r="R215" s="342"/>
      <c r="S215" s="342"/>
      <c r="T215" s="342"/>
      <c r="U215" s="342"/>
      <c r="V215" s="342"/>
    </row>
    <row r="216" spans="3:22" s="273" customFormat="1" ht="15" hidden="1" customHeight="1" outlineLevel="1" x14ac:dyDescent="0.2">
      <c r="C216" s="342"/>
      <c r="D216" s="342"/>
      <c r="E216" s="342"/>
      <c r="F216" s="342"/>
      <c r="G216" s="342"/>
      <c r="H216" s="342"/>
      <c r="I216" s="342"/>
      <c r="J216" s="342"/>
      <c r="K216" s="342"/>
      <c r="L216" s="342"/>
      <c r="M216" s="342"/>
      <c r="N216" s="342"/>
      <c r="O216" s="342"/>
      <c r="P216" s="342"/>
      <c r="Q216" s="342"/>
      <c r="R216" s="342"/>
      <c r="S216" s="342"/>
      <c r="T216" s="342"/>
      <c r="U216" s="342"/>
      <c r="V216" s="342"/>
    </row>
    <row r="217" spans="3:22" s="273" customFormat="1" ht="15" hidden="1" customHeight="1" outlineLevel="1" x14ac:dyDescent="0.2">
      <c r="C217" s="342"/>
      <c r="D217" s="342"/>
      <c r="E217" s="342"/>
      <c r="F217" s="342"/>
      <c r="G217" s="342"/>
      <c r="H217" s="342"/>
      <c r="I217" s="342"/>
      <c r="J217" s="342"/>
      <c r="K217" s="342"/>
      <c r="L217" s="342"/>
      <c r="M217" s="342"/>
      <c r="N217" s="342"/>
      <c r="O217" s="342"/>
      <c r="P217" s="342"/>
      <c r="Q217" s="342"/>
      <c r="R217" s="342"/>
      <c r="S217" s="342"/>
      <c r="T217" s="342"/>
      <c r="U217" s="342"/>
      <c r="V217" s="342"/>
    </row>
    <row r="218" spans="3:22" s="273" customFormat="1" ht="15" hidden="1" customHeight="1" outlineLevel="1" x14ac:dyDescent="0.2">
      <c r="C218" s="342"/>
      <c r="D218" s="342"/>
      <c r="E218" s="342"/>
      <c r="F218" s="342"/>
      <c r="G218" s="342"/>
      <c r="H218" s="342"/>
      <c r="I218" s="342"/>
      <c r="J218" s="342"/>
      <c r="K218" s="342"/>
      <c r="L218" s="342"/>
      <c r="M218" s="342"/>
      <c r="N218" s="342"/>
      <c r="O218" s="342"/>
      <c r="P218" s="342"/>
      <c r="Q218" s="342"/>
      <c r="R218" s="342"/>
      <c r="S218" s="342"/>
      <c r="T218" s="342"/>
      <c r="U218" s="342"/>
      <c r="V218" s="342"/>
    </row>
    <row r="219" spans="3:22" s="273" customFormat="1" ht="15" hidden="1" customHeight="1" outlineLevel="1" x14ac:dyDescent="0.2">
      <c r="C219" s="342"/>
      <c r="D219" s="342"/>
      <c r="E219" s="342"/>
      <c r="F219" s="342"/>
      <c r="G219" s="342"/>
      <c r="H219" s="342"/>
      <c r="I219" s="342"/>
      <c r="J219" s="342"/>
      <c r="K219" s="342"/>
      <c r="L219" s="342"/>
      <c r="M219" s="342"/>
      <c r="N219" s="342"/>
      <c r="O219" s="342"/>
      <c r="P219" s="342"/>
      <c r="Q219" s="342"/>
      <c r="R219" s="342"/>
      <c r="S219" s="342"/>
      <c r="T219" s="342"/>
      <c r="U219" s="342"/>
      <c r="V219" s="342"/>
    </row>
    <row r="220" spans="3:22" s="273" customFormat="1" ht="15" hidden="1" customHeight="1" outlineLevel="1" x14ac:dyDescent="0.2">
      <c r="C220" s="342"/>
      <c r="D220" s="342"/>
      <c r="E220" s="342"/>
      <c r="F220" s="342"/>
      <c r="G220" s="342"/>
      <c r="H220" s="342"/>
      <c r="I220" s="342"/>
      <c r="J220" s="342"/>
      <c r="K220" s="342"/>
      <c r="L220" s="342"/>
      <c r="M220" s="342"/>
      <c r="N220" s="342"/>
      <c r="O220" s="342"/>
      <c r="P220" s="342"/>
      <c r="Q220" s="342"/>
      <c r="R220" s="342"/>
      <c r="S220" s="342"/>
      <c r="T220" s="342"/>
      <c r="U220" s="342"/>
      <c r="V220" s="342"/>
    </row>
    <row r="221" spans="3:22" s="273" customFormat="1" ht="15" hidden="1" customHeight="1" outlineLevel="1" x14ac:dyDescent="0.2">
      <c r="C221" s="342"/>
      <c r="D221" s="342"/>
      <c r="E221" s="342"/>
      <c r="F221" s="342"/>
      <c r="G221" s="342"/>
      <c r="H221" s="342"/>
      <c r="I221" s="342"/>
      <c r="J221" s="342"/>
      <c r="K221" s="342"/>
      <c r="L221" s="342"/>
      <c r="M221" s="342"/>
      <c r="N221" s="342"/>
      <c r="O221" s="342"/>
      <c r="P221" s="342"/>
      <c r="Q221" s="342"/>
      <c r="R221" s="342"/>
      <c r="S221" s="342"/>
      <c r="T221" s="342"/>
      <c r="U221" s="342"/>
      <c r="V221" s="342"/>
    </row>
    <row r="222" spans="3:22" s="273" customFormat="1" ht="15" hidden="1" customHeight="1" outlineLevel="1" x14ac:dyDescent="0.2">
      <c r="C222" s="342"/>
      <c r="D222" s="342"/>
      <c r="E222" s="342"/>
      <c r="F222" s="342"/>
      <c r="G222" s="342"/>
      <c r="H222" s="342"/>
      <c r="I222" s="342"/>
      <c r="J222" s="342"/>
      <c r="K222" s="342"/>
      <c r="L222" s="342"/>
      <c r="M222" s="342"/>
      <c r="N222" s="342"/>
      <c r="O222" s="342"/>
      <c r="P222" s="342"/>
      <c r="Q222" s="342"/>
      <c r="R222" s="342"/>
      <c r="S222" s="342"/>
      <c r="T222" s="342"/>
      <c r="U222" s="342"/>
      <c r="V222" s="342"/>
    </row>
    <row r="223" spans="3:22" s="273" customFormat="1" ht="15" hidden="1" customHeight="1" outlineLevel="1" x14ac:dyDescent="0.2">
      <c r="C223" s="342"/>
      <c r="D223" s="342"/>
      <c r="E223" s="342"/>
      <c r="F223" s="342"/>
      <c r="G223" s="342"/>
      <c r="H223" s="342"/>
      <c r="I223" s="342"/>
      <c r="J223" s="342"/>
      <c r="K223" s="342"/>
      <c r="L223" s="342"/>
      <c r="M223" s="342"/>
      <c r="N223" s="342"/>
      <c r="O223" s="342"/>
      <c r="P223" s="342"/>
      <c r="Q223" s="342"/>
      <c r="R223" s="342"/>
      <c r="S223" s="342"/>
      <c r="T223" s="342"/>
      <c r="U223" s="342"/>
      <c r="V223" s="342"/>
    </row>
    <row r="224" spans="3:22" s="273" customFormat="1" ht="15" hidden="1" customHeight="1" outlineLevel="1" x14ac:dyDescent="0.2">
      <c r="C224" s="342"/>
      <c r="D224" s="342"/>
      <c r="E224" s="342"/>
      <c r="F224" s="342"/>
      <c r="G224" s="342"/>
      <c r="H224" s="342"/>
      <c r="I224" s="342"/>
      <c r="J224" s="342"/>
      <c r="K224" s="342"/>
      <c r="L224" s="342"/>
      <c r="M224" s="342"/>
      <c r="N224" s="342"/>
      <c r="O224" s="342"/>
      <c r="P224" s="342"/>
      <c r="Q224" s="342"/>
      <c r="R224" s="342"/>
      <c r="S224" s="342"/>
      <c r="T224" s="342"/>
      <c r="U224" s="342"/>
      <c r="V224" s="342"/>
    </row>
    <row r="225" spans="3:22" s="273" customFormat="1" ht="15" hidden="1" customHeight="1" outlineLevel="1" x14ac:dyDescent="0.2">
      <c r="C225" s="342"/>
      <c r="D225" s="342"/>
      <c r="E225" s="342"/>
      <c r="F225" s="342"/>
      <c r="G225" s="342"/>
      <c r="H225" s="342"/>
      <c r="I225" s="342"/>
      <c r="J225" s="342"/>
      <c r="K225" s="342"/>
      <c r="L225" s="342"/>
      <c r="M225" s="342"/>
      <c r="N225" s="342"/>
      <c r="O225" s="342"/>
      <c r="P225" s="342"/>
      <c r="Q225" s="342"/>
      <c r="R225" s="342"/>
      <c r="S225" s="342"/>
      <c r="T225" s="342"/>
      <c r="U225" s="342"/>
      <c r="V225" s="342"/>
    </row>
    <row r="226" spans="3:22" s="273" customFormat="1" ht="15" hidden="1" customHeight="1" outlineLevel="1" x14ac:dyDescent="0.2">
      <c r="C226" s="342"/>
      <c r="D226" s="342"/>
      <c r="E226" s="342"/>
      <c r="F226" s="342"/>
      <c r="G226" s="342"/>
      <c r="H226" s="342"/>
      <c r="I226" s="342"/>
      <c r="J226" s="342"/>
      <c r="K226" s="342"/>
      <c r="L226" s="342"/>
      <c r="M226" s="342"/>
      <c r="N226" s="342"/>
      <c r="O226" s="342"/>
      <c r="P226" s="342"/>
      <c r="Q226" s="342"/>
      <c r="R226" s="342"/>
      <c r="S226" s="342"/>
      <c r="T226" s="342"/>
      <c r="U226" s="342"/>
      <c r="V226" s="342"/>
    </row>
    <row r="227" spans="3:22" s="273" customFormat="1" ht="15" hidden="1" customHeight="1" outlineLevel="1" x14ac:dyDescent="0.2">
      <c r="C227" s="342"/>
      <c r="D227" s="342"/>
      <c r="E227" s="342"/>
      <c r="F227" s="342"/>
      <c r="G227" s="342"/>
      <c r="H227" s="342"/>
      <c r="I227" s="342"/>
      <c r="J227" s="342"/>
      <c r="K227" s="342"/>
      <c r="L227" s="342"/>
      <c r="M227" s="342"/>
      <c r="N227" s="342"/>
      <c r="O227" s="342"/>
      <c r="P227" s="342"/>
      <c r="Q227" s="342"/>
      <c r="R227" s="342"/>
      <c r="S227" s="342"/>
      <c r="T227" s="342"/>
      <c r="U227" s="342"/>
      <c r="V227" s="342"/>
    </row>
    <row r="228" spans="3:22" s="273" customFormat="1" ht="15" hidden="1" customHeight="1" outlineLevel="1" x14ac:dyDescent="0.2">
      <c r="C228" s="342"/>
      <c r="D228" s="342"/>
      <c r="E228" s="342"/>
      <c r="F228" s="342"/>
      <c r="G228" s="342"/>
      <c r="H228" s="342"/>
      <c r="I228" s="342"/>
      <c r="J228" s="342"/>
      <c r="K228" s="342"/>
      <c r="L228" s="342"/>
      <c r="M228" s="342"/>
      <c r="N228" s="342"/>
      <c r="O228" s="342"/>
      <c r="P228" s="342"/>
      <c r="Q228" s="342"/>
      <c r="R228" s="342"/>
      <c r="S228" s="342"/>
      <c r="T228" s="342"/>
      <c r="U228" s="342"/>
      <c r="V228" s="342"/>
    </row>
    <row r="229" spans="3:22" s="273" customFormat="1" ht="15" hidden="1" customHeight="1" outlineLevel="1" x14ac:dyDescent="0.2">
      <c r="C229" s="342"/>
      <c r="D229" s="342"/>
      <c r="E229" s="342"/>
      <c r="F229" s="342"/>
      <c r="G229" s="342"/>
      <c r="H229" s="342"/>
      <c r="I229" s="342"/>
      <c r="J229" s="342"/>
      <c r="K229" s="342"/>
      <c r="L229" s="342"/>
      <c r="M229" s="342"/>
      <c r="N229" s="342"/>
      <c r="O229" s="342"/>
      <c r="P229" s="342"/>
      <c r="Q229" s="342"/>
      <c r="R229" s="342"/>
      <c r="S229" s="342"/>
      <c r="T229" s="342"/>
      <c r="U229" s="342"/>
      <c r="V229" s="342"/>
    </row>
    <row r="230" spans="3:22" s="273" customFormat="1" ht="15" hidden="1" customHeight="1" outlineLevel="1" x14ac:dyDescent="0.2">
      <c r="C230" s="342"/>
      <c r="D230" s="342"/>
      <c r="E230" s="342"/>
      <c r="F230" s="342"/>
      <c r="G230" s="342"/>
      <c r="H230" s="342"/>
      <c r="I230" s="342"/>
      <c r="J230" s="342"/>
      <c r="K230" s="342"/>
      <c r="L230" s="342"/>
      <c r="M230" s="342"/>
      <c r="N230" s="342"/>
      <c r="O230" s="342"/>
      <c r="P230" s="342"/>
      <c r="Q230" s="342"/>
      <c r="R230" s="342"/>
      <c r="S230" s="342"/>
      <c r="T230" s="342"/>
      <c r="U230" s="342"/>
      <c r="V230" s="342"/>
    </row>
    <row r="231" spans="3:22" s="273" customFormat="1" ht="15" hidden="1" customHeight="1" outlineLevel="1" x14ac:dyDescent="0.2">
      <c r="C231" s="342"/>
      <c r="D231" s="342"/>
      <c r="E231" s="342"/>
      <c r="F231" s="342"/>
      <c r="G231" s="342"/>
      <c r="H231" s="342"/>
      <c r="I231" s="342"/>
      <c r="J231" s="342"/>
      <c r="K231" s="342"/>
      <c r="L231" s="342"/>
      <c r="M231" s="342"/>
      <c r="N231" s="342"/>
      <c r="O231" s="342"/>
      <c r="P231" s="342"/>
      <c r="Q231" s="342"/>
      <c r="R231" s="342"/>
      <c r="S231" s="342"/>
      <c r="T231" s="342"/>
      <c r="U231" s="342"/>
      <c r="V231" s="342"/>
    </row>
    <row r="232" spans="3:22" s="273" customFormat="1" ht="15" hidden="1" customHeight="1" outlineLevel="1" x14ac:dyDescent="0.2">
      <c r="C232" s="342"/>
      <c r="D232" s="342"/>
      <c r="E232" s="342"/>
      <c r="F232" s="342"/>
      <c r="G232" s="342"/>
      <c r="H232" s="342"/>
      <c r="I232" s="342"/>
      <c r="J232" s="342"/>
      <c r="K232" s="342"/>
      <c r="L232" s="342"/>
      <c r="M232" s="342"/>
      <c r="N232" s="342"/>
      <c r="O232" s="342"/>
      <c r="P232" s="342"/>
      <c r="Q232" s="342"/>
      <c r="R232" s="342"/>
      <c r="S232" s="342"/>
      <c r="T232" s="342"/>
      <c r="U232" s="342"/>
      <c r="V232" s="342"/>
    </row>
    <row r="233" spans="3:22" s="273" customFormat="1" ht="15" hidden="1" customHeight="1" outlineLevel="1" x14ac:dyDescent="0.2">
      <c r="C233" s="342"/>
      <c r="D233" s="342"/>
      <c r="E233" s="342"/>
      <c r="F233" s="342"/>
      <c r="G233" s="342"/>
      <c r="H233" s="342"/>
      <c r="I233" s="342"/>
      <c r="J233" s="342"/>
      <c r="K233" s="342"/>
      <c r="L233" s="342"/>
      <c r="M233" s="342"/>
      <c r="N233" s="342"/>
      <c r="O233" s="342"/>
      <c r="P233" s="342"/>
      <c r="Q233" s="342"/>
      <c r="R233" s="342"/>
      <c r="S233" s="342"/>
      <c r="T233" s="342"/>
      <c r="U233" s="342"/>
      <c r="V233" s="342"/>
    </row>
    <row r="234" spans="3:22" s="273" customFormat="1" ht="15" hidden="1" customHeight="1" outlineLevel="1" x14ac:dyDescent="0.2">
      <c r="C234" s="342"/>
      <c r="D234" s="342"/>
      <c r="E234" s="342"/>
      <c r="F234" s="342"/>
      <c r="G234" s="342"/>
      <c r="H234" s="342"/>
      <c r="I234" s="342"/>
      <c r="J234" s="342"/>
      <c r="K234" s="342"/>
      <c r="L234" s="342"/>
      <c r="M234" s="342"/>
      <c r="N234" s="342"/>
      <c r="O234" s="342"/>
      <c r="P234" s="342"/>
      <c r="Q234" s="342"/>
      <c r="R234" s="342"/>
      <c r="S234" s="342"/>
      <c r="T234" s="342"/>
      <c r="U234" s="342"/>
      <c r="V234" s="342"/>
    </row>
    <row r="235" spans="3:22" s="273" customFormat="1" ht="15" hidden="1" customHeight="1" outlineLevel="1" x14ac:dyDescent="0.2">
      <c r="C235" s="342"/>
      <c r="D235" s="342"/>
      <c r="E235" s="342"/>
      <c r="F235" s="342"/>
      <c r="G235" s="342"/>
      <c r="H235" s="342"/>
      <c r="I235" s="342"/>
      <c r="J235" s="342"/>
      <c r="K235" s="342"/>
      <c r="L235" s="342"/>
      <c r="M235" s="342"/>
      <c r="N235" s="342"/>
      <c r="O235" s="342"/>
      <c r="P235" s="342"/>
      <c r="Q235" s="342"/>
      <c r="R235" s="342"/>
      <c r="S235" s="342"/>
      <c r="T235" s="342"/>
      <c r="U235" s="342"/>
      <c r="V235" s="342"/>
    </row>
    <row r="236" spans="3:22" s="273" customFormat="1" ht="15" hidden="1" customHeight="1" outlineLevel="1" x14ac:dyDescent="0.2">
      <c r="C236" s="342"/>
      <c r="D236" s="342"/>
      <c r="E236" s="342"/>
      <c r="F236" s="342"/>
      <c r="G236" s="342"/>
      <c r="H236" s="342"/>
      <c r="I236" s="342"/>
      <c r="J236" s="342"/>
      <c r="K236" s="342"/>
      <c r="L236" s="342"/>
      <c r="M236" s="342"/>
      <c r="N236" s="342"/>
      <c r="O236" s="342"/>
      <c r="P236" s="342"/>
      <c r="Q236" s="342"/>
      <c r="R236" s="342"/>
      <c r="S236" s="342"/>
      <c r="T236" s="342"/>
      <c r="U236" s="342"/>
      <c r="V236" s="342"/>
    </row>
    <row r="237" spans="3:22" s="273" customFormat="1" ht="15" hidden="1" customHeight="1" outlineLevel="1" x14ac:dyDescent="0.2">
      <c r="C237" s="342"/>
      <c r="D237" s="342"/>
      <c r="E237" s="342"/>
      <c r="F237" s="342"/>
      <c r="G237" s="342"/>
      <c r="H237" s="342"/>
      <c r="I237" s="342"/>
      <c r="J237" s="342"/>
      <c r="K237" s="342"/>
      <c r="L237" s="342"/>
      <c r="M237" s="342"/>
      <c r="N237" s="342"/>
      <c r="O237" s="342"/>
      <c r="P237" s="342"/>
      <c r="Q237" s="342"/>
      <c r="R237" s="342"/>
      <c r="S237" s="342"/>
      <c r="T237" s="342"/>
      <c r="U237" s="342"/>
      <c r="V237" s="342"/>
    </row>
    <row r="238" spans="3:22" s="273" customFormat="1" ht="15" hidden="1" customHeight="1" outlineLevel="1" x14ac:dyDescent="0.2">
      <c r="C238" s="342"/>
      <c r="D238" s="342"/>
      <c r="E238" s="342"/>
      <c r="F238" s="342"/>
      <c r="G238" s="342"/>
      <c r="H238" s="342"/>
      <c r="I238" s="342"/>
      <c r="J238" s="342"/>
      <c r="K238" s="342"/>
      <c r="L238" s="342"/>
      <c r="M238" s="342"/>
      <c r="N238" s="342"/>
      <c r="O238" s="342"/>
      <c r="P238" s="342"/>
      <c r="Q238" s="342"/>
      <c r="R238" s="342"/>
      <c r="S238" s="342"/>
      <c r="T238" s="342"/>
      <c r="U238" s="342"/>
      <c r="V238" s="342"/>
    </row>
    <row r="239" spans="3:22" s="273" customFormat="1" ht="15" hidden="1" customHeight="1" outlineLevel="1" x14ac:dyDescent="0.2">
      <c r="C239" s="342"/>
      <c r="D239" s="342"/>
      <c r="E239" s="342"/>
      <c r="F239" s="342"/>
      <c r="G239" s="342"/>
      <c r="H239" s="342"/>
      <c r="I239" s="342"/>
      <c r="J239" s="342"/>
      <c r="K239" s="342"/>
      <c r="L239" s="342"/>
      <c r="M239" s="342"/>
      <c r="N239" s="342"/>
      <c r="O239" s="342"/>
      <c r="P239" s="342"/>
      <c r="Q239" s="342"/>
      <c r="R239" s="342"/>
      <c r="S239" s="342"/>
      <c r="T239" s="342"/>
      <c r="U239" s="342"/>
      <c r="V239" s="342"/>
    </row>
    <row r="240" spans="3:22" s="273" customFormat="1" ht="15" hidden="1" customHeight="1" outlineLevel="1" x14ac:dyDescent="0.2">
      <c r="C240" s="342"/>
      <c r="D240" s="342"/>
      <c r="E240" s="342"/>
      <c r="F240" s="342"/>
      <c r="G240" s="342"/>
      <c r="H240" s="342"/>
      <c r="I240" s="342"/>
      <c r="J240" s="342"/>
      <c r="K240" s="342"/>
      <c r="L240" s="342"/>
      <c r="M240" s="342"/>
      <c r="N240" s="342"/>
      <c r="O240" s="342"/>
      <c r="P240" s="342"/>
      <c r="Q240" s="342"/>
      <c r="R240" s="342"/>
      <c r="S240" s="342"/>
      <c r="T240" s="342"/>
      <c r="U240" s="342"/>
      <c r="V240" s="342"/>
    </row>
    <row r="241" spans="1:22" s="273" customFormat="1" ht="15" hidden="1" customHeight="1" outlineLevel="1" x14ac:dyDescent="0.2">
      <c r="C241" s="342"/>
      <c r="D241" s="342"/>
      <c r="E241" s="342"/>
      <c r="F241" s="342"/>
      <c r="G241" s="342"/>
      <c r="H241" s="342"/>
      <c r="I241" s="342"/>
      <c r="J241" s="342"/>
      <c r="K241" s="342"/>
      <c r="L241" s="342"/>
      <c r="M241" s="342"/>
      <c r="N241" s="342"/>
      <c r="O241" s="342"/>
      <c r="P241" s="342"/>
      <c r="Q241" s="342"/>
      <c r="R241" s="342"/>
      <c r="S241" s="342"/>
      <c r="T241" s="342"/>
      <c r="U241" s="342"/>
      <c r="V241" s="342"/>
    </row>
    <row r="242" spans="1:22" s="273" customFormat="1" ht="15" hidden="1" customHeight="1" outlineLevel="1" x14ac:dyDescent="0.2">
      <c r="C242" s="342"/>
      <c r="D242" s="342"/>
      <c r="E242" s="342"/>
      <c r="F242" s="342"/>
      <c r="G242" s="342"/>
      <c r="H242" s="342"/>
      <c r="I242" s="342"/>
      <c r="J242" s="342"/>
      <c r="K242" s="342"/>
      <c r="L242" s="342"/>
      <c r="M242" s="342"/>
      <c r="N242" s="342"/>
      <c r="O242" s="342"/>
      <c r="P242" s="342"/>
      <c r="Q242" s="342"/>
      <c r="R242" s="342"/>
      <c r="S242" s="342"/>
      <c r="T242" s="342"/>
      <c r="U242" s="342"/>
      <c r="V242" s="342"/>
    </row>
    <row r="243" spans="1:22" s="273" customFormat="1" ht="15" hidden="1" customHeight="1" outlineLevel="1" x14ac:dyDescent="0.2">
      <c r="C243" s="342"/>
      <c r="D243" s="342"/>
      <c r="E243" s="342"/>
      <c r="F243" s="342"/>
      <c r="G243" s="342"/>
      <c r="H243" s="342"/>
      <c r="I243" s="342"/>
      <c r="J243" s="342"/>
      <c r="K243" s="342"/>
      <c r="L243" s="342"/>
      <c r="M243" s="342"/>
      <c r="N243" s="342"/>
      <c r="O243" s="342"/>
      <c r="P243" s="342"/>
      <c r="Q243" s="342"/>
      <c r="R243" s="342"/>
      <c r="S243" s="342"/>
      <c r="T243" s="342"/>
      <c r="U243" s="342"/>
      <c r="V243" s="342"/>
    </row>
    <row r="244" spans="1:22" s="273" customFormat="1" ht="15" hidden="1" customHeight="1" outlineLevel="1" x14ac:dyDescent="0.2">
      <c r="C244" s="342"/>
      <c r="D244" s="342"/>
      <c r="E244" s="342"/>
      <c r="F244" s="342"/>
      <c r="G244" s="342"/>
      <c r="H244" s="342"/>
      <c r="I244" s="342"/>
      <c r="J244" s="342"/>
      <c r="K244" s="342"/>
      <c r="L244" s="342"/>
      <c r="M244" s="342"/>
      <c r="N244" s="342"/>
      <c r="O244" s="342"/>
      <c r="P244" s="342"/>
      <c r="Q244" s="342"/>
      <c r="R244" s="342"/>
      <c r="S244" s="342"/>
      <c r="T244" s="342"/>
      <c r="U244" s="342"/>
      <c r="V244" s="342"/>
    </row>
    <row r="245" spans="1:22" s="273" customFormat="1" ht="15" hidden="1" customHeight="1" outlineLevel="1" x14ac:dyDescent="0.2">
      <c r="C245" s="342"/>
      <c r="D245" s="342"/>
      <c r="E245" s="342"/>
      <c r="F245" s="342"/>
      <c r="G245" s="342"/>
      <c r="H245" s="342"/>
      <c r="I245" s="342"/>
      <c r="J245" s="342"/>
      <c r="K245" s="342"/>
      <c r="L245" s="342"/>
      <c r="M245" s="342"/>
      <c r="N245" s="342"/>
      <c r="O245" s="342"/>
      <c r="P245" s="342"/>
      <c r="Q245" s="342"/>
      <c r="R245" s="342"/>
      <c r="S245" s="342"/>
      <c r="T245" s="342"/>
      <c r="U245" s="342"/>
      <c r="V245" s="342"/>
    </row>
    <row r="246" spans="1:22" s="273" customFormat="1" ht="15" hidden="1" customHeight="1" outlineLevel="1" x14ac:dyDescent="0.2">
      <c r="C246" s="342"/>
      <c r="D246" s="342"/>
      <c r="E246" s="342"/>
      <c r="F246" s="342"/>
      <c r="G246" s="342"/>
      <c r="H246" s="342"/>
      <c r="I246" s="342"/>
      <c r="J246" s="342"/>
      <c r="K246" s="342"/>
      <c r="L246" s="342"/>
      <c r="M246" s="342"/>
      <c r="N246" s="342"/>
      <c r="O246" s="342"/>
      <c r="P246" s="342"/>
      <c r="Q246" s="342"/>
      <c r="R246" s="342"/>
      <c r="S246" s="342"/>
      <c r="T246" s="342"/>
      <c r="U246" s="342"/>
      <c r="V246" s="342"/>
    </row>
    <row r="247" spans="1:22" s="273" customFormat="1" ht="15" hidden="1" customHeight="1" outlineLevel="1" x14ac:dyDescent="0.2">
      <c r="C247" s="342"/>
      <c r="D247" s="342"/>
      <c r="E247" s="342"/>
      <c r="F247" s="342"/>
      <c r="G247" s="342"/>
      <c r="H247" s="342"/>
      <c r="I247" s="342"/>
      <c r="J247" s="342"/>
      <c r="K247" s="342"/>
      <c r="L247" s="342"/>
      <c r="M247" s="342"/>
      <c r="N247" s="342"/>
      <c r="O247" s="342"/>
      <c r="P247" s="342"/>
      <c r="Q247" s="342"/>
      <c r="R247" s="342"/>
      <c r="S247" s="342"/>
      <c r="T247" s="342"/>
      <c r="U247" s="342"/>
      <c r="V247" s="342"/>
    </row>
    <row r="248" spans="1:22" s="273" customFormat="1" ht="15" hidden="1" customHeight="1" outlineLevel="1" x14ac:dyDescent="0.2">
      <c r="C248" s="342"/>
      <c r="D248" s="342"/>
      <c r="E248" s="342"/>
      <c r="F248" s="342"/>
      <c r="G248" s="342"/>
      <c r="H248" s="342"/>
      <c r="I248" s="342"/>
      <c r="J248" s="342"/>
      <c r="K248" s="342"/>
      <c r="L248" s="342"/>
      <c r="M248" s="342"/>
      <c r="N248" s="342"/>
      <c r="O248" s="342"/>
      <c r="P248" s="342"/>
      <c r="Q248" s="342"/>
      <c r="R248" s="342"/>
      <c r="S248" s="342"/>
      <c r="T248" s="342"/>
      <c r="U248" s="342"/>
      <c r="V248" s="342"/>
    </row>
    <row r="249" spans="1:22" s="273" customFormat="1" ht="15" hidden="1" customHeight="1" outlineLevel="1" x14ac:dyDescent="0.2">
      <c r="C249" s="342"/>
      <c r="D249" s="342"/>
      <c r="E249" s="342"/>
      <c r="F249" s="342"/>
      <c r="G249" s="342"/>
      <c r="H249" s="342"/>
      <c r="I249" s="342"/>
      <c r="J249" s="342"/>
      <c r="K249" s="342"/>
      <c r="L249" s="342"/>
      <c r="M249" s="342"/>
      <c r="N249" s="342"/>
      <c r="O249" s="342"/>
      <c r="P249" s="342"/>
      <c r="Q249" s="342"/>
      <c r="R249" s="342"/>
      <c r="S249" s="342"/>
      <c r="T249" s="342"/>
      <c r="U249" s="342"/>
      <c r="V249" s="342"/>
    </row>
    <row r="250" spans="1:22" s="273" customFormat="1" ht="15" hidden="1" customHeight="1" outlineLevel="1" x14ac:dyDescent="0.2">
      <c r="C250" s="342"/>
      <c r="D250" s="342"/>
      <c r="E250" s="342"/>
      <c r="F250" s="342"/>
      <c r="G250" s="342"/>
      <c r="H250" s="342"/>
      <c r="I250" s="342"/>
      <c r="J250" s="342"/>
      <c r="K250" s="342"/>
      <c r="L250" s="342"/>
      <c r="M250" s="342"/>
      <c r="N250" s="342"/>
      <c r="O250" s="342"/>
      <c r="P250" s="342"/>
      <c r="Q250" s="342"/>
      <c r="R250" s="342"/>
      <c r="S250" s="342"/>
      <c r="T250" s="342"/>
      <c r="U250" s="342"/>
      <c r="V250" s="342"/>
    </row>
    <row r="251" spans="1:22" collapsed="1" x14ac:dyDescent="0.2"/>
    <row r="252" spans="1:22" ht="13.5" thickBot="1" x14ac:dyDescent="0.25">
      <c r="A252" s="121" t="s">
        <v>8</v>
      </c>
    </row>
    <row r="253" spans="1:22" x14ac:dyDescent="0.2">
      <c r="A253" s="128" t="str">
        <f>CONCATENATE(IF(FcCheckMoneda,"US$","S/."),IF(FcCheckIgv,"con IGV"," sin IGV"))</f>
        <v>S/. sin IGV</v>
      </c>
      <c r="B253" s="103"/>
      <c r="C253" s="104">
        <f t="shared" ref="C253:O253" si="26">C12</f>
        <v>41548</v>
      </c>
      <c r="D253" s="104">
        <f t="shared" si="26"/>
        <v>41579</v>
      </c>
      <c r="E253" s="104">
        <f t="shared" si="26"/>
        <v>41609</v>
      </c>
      <c r="F253" s="104">
        <f t="shared" si="26"/>
        <v>41640</v>
      </c>
      <c r="G253" s="104">
        <f t="shared" si="26"/>
        <v>41671</v>
      </c>
      <c r="H253" s="104">
        <f t="shared" si="26"/>
        <v>41699</v>
      </c>
      <c r="I253" s="104">
        <f t="shared" si="26"/>
        <v>41730</v>
      </c>
      <c r="J253" s="104">
        <f t="shared" si="26"/>
        <v>41760</v>
      </c>
      <c r="K253" s="104">
        <f t="shared" si="26"/>
        <v>41791</v>
      </c>
      <c r="L253" s="104">
        <f t="shared" si="26"/>
        <v>41821</v>
      </c>
      <c r="M253" s="104">
        <f t="shared" si="26"/>
        <v>41852</v>
      </c>
      <c r="N253" s="104">
        <f t="shared" si="26"/>
        <v>41883</v>
      </c>
      <c r="O253" s="105">
        <f t="shared" si="26"/>
        <v>41913</v>
      </c>
    </row>
    <row r="254" spans="1:22" x14ac:dyDescent="0.2">
      <c r="A254" s="51" t="str">
        <f>IF(FcGrafLys,A23,"")</f>
        <v>Lys</v>
      </c>
      <c r="B254" s="107"/>
      <c r="C254" s="52">
        <f t="shared" ref="C254:O254" si="27">IF(FcGrafLys,IF(FcTipoGrafico=1,C101,C23),"")</f>
        <v>0</v>
      </c>
      <c r="D254" s="52">
        <f t="shared" si="27"/>
        <v>0</v>
      </c>
      <c r="E254" s="52">
        <f t="shared" si="27"/>
        <v>0</v>
      </c>
      <c r="F254" s="52">
        <f t="shared" si="27"/>
        <v>0</v>
      </c>
      <c r="G254" s="52">
        <f t="shared" si="27"/>
        <v>0</v>
      </c>
      <c r="H254" s="52">
        <f t="shared" si="27"/>
        <v>0</v>
      </c>
      <c r="I254" s="52">
        <f t="shared" si="27"/>
        <v>0</v>
      </c>
      <c r="J254" s="52">
        <f t="shared" si="27"/>
        <v>0</v>
      </c>
      <c r="K254" s="52">
        <f t="shared" si="27"/>
        <v>0</v>
      </c>
      <c r="L254" s="52">
        <f t="shared" si="27"/>
        <v>0</v>
      </c>
      <c r="M254" s="52">
        <f t="shared" si="27"/>
        <v>0</v>
      </c>
      <c r="N254" s="52">
        <f t="shared" si="27"/>
        <v>0</v>
      </c>
      <c r="O254" s="53">
        <f t="shared" si="27"/>
        <v>0</v>
      </c>
    </row>
    <row r="255" spans="1:22" x14ac:dyDescent="0.2">
      <c r="A255" s="51" t="str">
        <f>IF(FcGrafHP,A34,"")</f>
        <v>HP</v>
      </c>
      <c r="B255" s="107"/>
      <c r="C255" s="52">
        <f t="shared" ref="C255:O255" si="28">IF(FcGrafHP,IF(FcTipoGrafico=1,C112,C34),"")</f>
        <v>0</v>
      </c>
      <c r="D255" s="52">
        <f t="shared" si="28"/>
        <v>0</v>
      </c>
      <c r="E255" s="52">
        <f t="shared" si="28"/>
        <v>0</v>
      </c>
      <c r="F255" s="52">
        <f t="shared" si="28"/>
        <v>0</v>
      </c>
      <c r="G255" s="52">
        <f t="shared" si="28"/>
        <v>0</v>
      </c>
      <c r="H255" s="52">
        <f t="shared" si="28"/>
        <v>0</v>
      </c>
      <c r="I255" s="52">
        <f t="shared" si="28"/>
        <v>0</v>
      </c>
      <c r="J255" s="52">
        <f t="shared" si="28"/>
        <v>0</v>
      </c>
      <c r="K255" s="52">
        <f t="shared" si="28"/>
        <v>0</v>
      </c>
      <c r="L255" s="52">
        <f t="shared" si="28"/>
        <v>0</v>
      </c>
      <c r="M255" s="52">
        <f t="shared" si="28"/>
        <v>0</v>
      </c>
      <c r="N255" s="52">
        <f t="shared" si="28"/>
        <v>0</v>
      </c>
      <c r="O255" s="53">
        <f t="shared" si="28"/>
        <v>0</v>
      </c>
    </row>
    <row r="256" spans="1:22" x14ac:dyDescent="0.2">
      <c r="A256" s="51" t="str">
        <f>IF(FcGrafGT,A45,"")</f>
        <v>GT</v>
      </c>
      <c r="B256" s="107"/>
      <c r="C256" s="52">
        <f t="shared" ref="C256:O256" si="29">IF(FcGrafGT,IF(FcTipoGrafico=1,C123,C45),"")</f>
        <v>0</v>
      </c>
      <c r="D256" s="52">
        <f t="shared" si="29"/>
        <v>0</v>
      </c>
      <c r="E256" s="52">
        <f t="shared" si="29"/>
        <v>0</v>
      </c>
      <c r="F256" s="52">
        <f t="shared" si="29"/>
        <v>0</v>
      </c>
      <c r="G256" s="52">
        <f t="shared" si="29"/>
        <v>0</v>
      </c>
      <c r="H256" s="52">
        <f t="shared" si="29"/>
        <v>0</v>
      </c>
      <c r="I256" s="52">
        <f t="shared" si="29"/>
        <v>0</v>
      </c>
      <c r="J256" s="52">
        <f t="shared" si="29"/>
        <v>0</v>
      </c>
      <c r="K256" s="52">
        <f t="shared" si="29"/>
        <v>0</v>
      </c>
      <c r="L256" s="52">
        <f t="shared" si="29"/>
        <v>0</v>
      </c>
      <c r="M256" s="52">
        <f t="shared" si="29"/>
        <v>0</v>
      </c>
      <c r="N256" s="52">
        <f t="shared" si="29"/>
        <v>0</v>
      </c>
      <c r="O256" s="53">
        <f t="shared" si="29"/>
        <v>0</v>
      </c>
    </row>
    <row r="257" spans="1:15" x14ac:dyDescent="0.2">
      <c r="A257" s="51" t="str">
        <f>IF(FcGrafCapsa,A56,"")</f>
        <v/>
      </c>
      <c r="B257" s="107"/>
      <c r="C257" s="52" t="str">
        <f t="shared" ref="C257:O257" si="30">IF(FcGrafCapsa,IF(FcTipoGrafico=1,C134,C56),"")</f>
        <v/>
      </c>
      <c r="D257" s="52" t="str">
        <f t="shared" si="30"/>
        <v/>
      </c>
      <c r="E257" s="52" t="str">
        <f t="shared" si="30"/>
        <v/>
      </c>
      <c r="F257" s="52" t="str">
        <f t="shared" si="30"/>
        <v/>
      </c>
      <c r="G257" s="52" t="str">
        <f t="shared" si="30"/>
        <v/>
      </c>
      <c r="H257" s="52" t="str">
        <f t="shared" si="30"/>
        <v/>
      </c>
      <c r="I257" s="52" t="str">
        <f t="shared" si="30"/>
        <v/>
      </c>
      <c r="J257" s="52" t="str">
        <f t="shared" si="30"/>
        <v/>
      </c>
      <c r="K257" s="52" t="str">
        <f t="shared" si="30"/>
        <v/>
      </c>
      <c r="L257" s="52" t="str">
        <f t="shared" si="30"/>
        <v/>
      </c>
      <c r="M257" s="52" t="str">
        <f t="shared" si="30"/>
        <v/>
      </c>
      <c r="N257" s="52" t="str">
        <f t="shared" si="30"/>
        <v/>
      </c>
      <c r="O257" s="53" t="str">
        <f t="shared" si="30"/>
        <v/>
      </c>
    </row>
    <row r="258" spans="1:15" x14ac:dyDescent="0.2">
      <c r="A258" s="106" t="str">
        <f>IF(FcGrafTotal,A57,"")</f>
        <v/>
      </c>
      <c r="B258" s="107"/>
      <c r="C258" s="172" t="str">
        <f t="shared" ref="C258:O258" si="31">IF(FcGrafTotal,IF(FcTipoGrafico=1,C135,C57),"")</f>
        <v/>
      </c>
      <c r="D258" s="172" t="str">
        <f t="shared" si="31"/>
        <v/>
      </c>
      <c r="E258" s="172" t="str">
        <f t="shared" si="31"/>
        <v/>
      </c>
      <c r="F258" s="172" t="str">
        <f t="shared" si="31"/>
        <v/>
      </c>
      <c r="G258" s="172" t="str">
        <f t="shared" si="31"/>
        <v/>
      </c>
      <c r="H258" s="172" t="str">
        <f t="shared" si="31"/>
        <v/>
      </c>
      <c r="I258" s="172" t="str">
        <f t="shared" si="31"/>
        <v/>
      </c>
      <c r="J258" s="172" t="str">
        <f t="shared" si="31"/>
        <v/>
      </c>
      <c r="K258" s="172" t="str">
        <f t="shared" si="31"/>
        <v/>
      </c>
      <c r="L258" s="172" t="str">
        <f t="shared" si="31"/>
        <v/>
      </c>
      <c r="M258" s="172" t="str">
        <f t="shared" si="31"/>
        <v/>
      </c>
      <c r="N258" s="172" t="str">
        <f t="shared" si="31"/>
        <v/>
      </c>
      <c r="O258" s="173" t="str">
        <f t="shared" si="31"/>
        <v/>
      </c>
    </row>
    <row r="259" spans="1:15" s="7" customFormat="1" x14ac:dyDescent="0.2">
      <c r="A259" s="51" t="str">
        <f>IF(FcPromMovil,IF(FcGrafLys,A73,""),"")</f>
        <v/>
      </c>
      <c r="B259" s="108"/>
      <c r="C259" s="52" t="str">
        <f t="shared" ref="C259:O259" si="32">IF(FcPromMovil,IF(FcGrafLys,IF(FcTipoGrafico=1,C136,C73),""),"")</f>
        <v/>
      </c>
      <c r="D259" s="52" t="str">
        <f t="shared" si="32"/>
        <v/>
      </c>
      <c r="E259" s="52" t="str">
        <f t="shared" si="32"/>
        <v/>
      </c>
      <c r="F259" s="52" t="str">
        <f t="shared" si="32"/>
        <v/>
      </c>
      <c r="G259" s="52" t="str">
        <f t="shared" si="32"/>
        <v/>
      </c>
      <c r="H259" s="52" t="str">
        <f t="shared" si="32"/>
        <v/>
      </c>
      <c r="I259" s="52" t="str">
        <f t="shared" si="32"/>
        <v/>
      </c>
      <c r="J259" s="52" t="str">
        <f t="shared" si="32"/>
        <v/>
      </c>
      <c r="K259" s="52" t="str">
        <f t="shared" si="32"/>
        <v/>
      </c>
      <c r="L259" s="52" t="str">
        <f t="shared" si="32"/>
        <v/>
      </c>
      <c r="M259" s="52" t="str">
        <f t="shared" si="32"/>
        <v/>
      </c>
      <c r="N259" s="52" t="str">
        <f t="shared" si="32"/>
        <v/>
      </c>
      <c r="O259" s="53" t="str">
        <f t="shared" si="32"/>
        <v/>
      </c>
    </row>
    <row r="260" spans="1:15" s="7" customFormat="1" x14ac:dyDescent="0.2">
      <c r="A260" s="51" t="str">
        <f>IF(FcPromMovil,IF(FcGrafHP,A74,""),"")</f>
        <v/>
      </c>
      <c r="B260" s="108"/>
      <c r="C260" s="52" t="str">
        <f t="shared" ref="C260:O260" si="33">IF(FcPromMovil,IF(FcGrafHP,IF(FcTipoGrafico=1,C137,C74),""),"")</f>
        <v/>
      </c>
      <c r="D260" s="52" t="str">
        <f t="shared" si="33"/>
        <v/>
      </c>
      <c r="E260" s="52" t="str">
        <f t="shared" si="33"/>
        <v/>
      </c>
      <c r="F260" s="52" t="str">
        <f t="shared" si="33"/>
        <v/>
      </c>
      <c r="G260" s="52" t="str">
        <f t="shared" si="33"/>
        <v/>
      </c>
      <c r="H260" s="52" t="str">
        <f t="shared" si="33"/>
        <v/>
      </c>
      <c r="I260" s="52" t="str">
        <f t="shared" si="33"/>
        <v/>
      </c>
      <c r="J260" s="52" t="str">
        <f t="shared" si="33"/>
        <v/>
      </c>
      <c r="K260" s="52" t="str">
        <f t="shared" si="33"/>
        <v/>
      </c>
      <c r="L260" s="52" t="str">
        <f t="shared" si="33"/>
        <v/>
      </c>
      <c r="M260" s="52" t="str">
        <f t="shared" si="33"/>
        <v/>
      </c>
      <c r="N260" s="52" t="str">
        <f t="shared" si="33"/>
        <v/>
      </c>
      <c r="O260" s="53" t="str">
        <f t="shared" si="33"/>
        <v/>
      </c>
    </row>
    <row r="261" spans="1:15" s="7" customFormat="1" x14ac:dyDescent="0.2">
      <c r="A261" s="164" t="str">
        <f>IF(FcPromMovil,IF(FcGrafGT,A75,""),"")</f>
        <v/>
      </c>
      <c r="B261" s="165"/>
      <c r="C261" s="52" t="str">
        <f t="shared" ref="C261:O261" si="34">IF(FcPromMovil,IF(FcGrafGT,IF(FcTipoGrafico=1,C138,C75),""),"")</f>
        <v/>
      </c>
      <c r="D261" s="52" t="str">
        <f t="shared" si="34"/>
        <v/>
      </c>
      <c r="E261" s="52" t="str">
        <f t="shared" si="34"/>
        <v/>
      </c>
      <c r="F261" s="52" t="str">
        <f t="shared" si="34"/>
        <v/>
      </c>
      <c r="G261" s="52" t="str">
        <f t="shared" si="34"/>
        <v/>
      </c>
      <c r="H261" s="52" t="str">
        <f t="shared" si="34"/>
        <v/>
      </c>
      <c r="I261" s="52" t="str">
        <f t="shared" si="34"/>
        <v/>
      </c>
      <c r="J261" s="52" t="str">
        <f t="shared" si="34"/>
        <v/>
      </c>
      <c r="K261" s="52" t="str">
        <f t="shared" si="34"/>
        <v/>
      </c>
      <c r="L261" s="52" t="str">
        <f t="shared" si="34"/>
        <v/>
      </c>
      <c r="M261" s="52" t="str">
        <f t="shared" si="34"/>
        <v/>
      </c>
      <c r="N261" s="52" t="str">
        <f t="shared" si="34"/>
        <v/>
      </c>
      <c r="O261" s="53" t="str">
        <f t="shared" si="34"/>
        <v/>
      </c>
    </row>
    <row r="262" spans="1:15" s="7" customFormat="1" x14ac:dyDescent="0.2">
      <c r="A262" s="164" t="str">
        <f>IF(FcPromMovil,IF(FcGrafCapsa,A76,""),"")</f>
        <v/>
      </c>
      <c r="B262" s="165"/>
      <c r="C262" s="52" t="str">
        <f t="shared" ref="C262:O262" si="35">IF(FcPromMovil,IF(FcGrafCapsa,IF(FcTipoGrafico=1,C139,C76),""),"")</f>
        <v/>
      </c>
      <c r="D262" s="52" t="str">
        <f t="shared" si="35"/>
        <v/>
      </c>
      <c r="E262" s="52" t="str">
        <f t="shared" si="35"/>
        <v/>
      </c>
      <c r="F262" s="52" t="str">
        <f t="shared" si="35"/>
        <v/>
      </c>
      <c r="G262" s="52" t="str">
        <f t="shared" si="35"/>
        <v/>
      </c>
      <c r="H262" s="52" t="str">
        <f t="shared" si="35"/>
        <v/>
      </c>
      <c r="I262" s="52" t="str">
        <f t="shared" si="35"/>
        <v/>
      </c>
      <c r="J262" s="52" t="str">
        <f t="shared" si="35"/>
        <v/>
      </c>
      <c r="K262" s="52" t="str">
        <f t="shared" si="35"/>
        <v/>
      </c>
      <c r="L262" s="52" t="str">
        <f t="shared" si="35"/>
        <v/>
      </c>
      <c r="M262" s="52" t="str">
        <f t="shared" si="35"/>
        <v/>
      </c>
      <c r="N262" s="52" t="str">
        <f t="shared" si="35"/>
        <v/>
      </c>
      <c r="O262" s="53" t="str">
        <f t="shared" si="35"/>
        <v/>
      </c>
    </row>
    <row r="263" spans="1:15" s="7" customFormat="1" ht="13.5" thickBot="1" x14ac:dyDescent="0.25">
      <c r="A263" s="170" t="str">
        <f>IF(FcPromMovil,IF(FcGrafTotal,A77,""),"")</f>
        <v/>
      </c>
      <c r="B263" s="171"/>
      <c r="C263" s="174" t="str">
        <f t="shared" ref="C263:O263" si="36">IF(FcPromMovil,IF(FcGrafTotal,IF(FcTipoGrafico=1,C140,C77),""),"")</f>
        <v/>
      </c>
      <c r="D263" s="174" t="str">
        <f t="shared" si="36"/>
        <v/>
      </c>
      <c r="E263" s="174" t="str">
        <f t="shared" si="36"/>
        <v/>
      </c>
      <c r="F263" s="174" t="str">
        <f t="shared" si="36"/>
        <v/>
      </c>
      <c r="G263" s="174" t="str">
        <f t="shared" si="36"/>
        <v/>
      </c>
      <c r="H263" s="174" t="str">
        <f t="shared" si="36"/>
        <v/>
      </c>
      <c r="I263" s="174" t="str">
        <f t="shared" si="36"/>
        <v/>
      </c>
      <c r="J263" s="174" t="str">
        <f t="shared" si="36"/>
        <v/>
      </c>
      <c r="K263" s="174" t="str">
        <f t="shared" si="36"/>
        <v/>
      </c>
      <c r="L263" s="174" t="str">
        <f t="shared" si="36"/>
        <v/>
      </c>
      <c r="M263" s="174" t="str">
        <f t="shared" si="36"/>
        <v/>
      </c>
      <c r="N263" s="174" t="str">
        <f t="shared" si="36"/>
        <v/>
      </c>
      <c r="O263" s="175" t="str">
        <f t="shared" si="36"/>
        <v/>
      </c>
    </row>
    <row r="264" spans="1:15" ht="13.5" thickBot="1" x14ac:dyDescent="0.25"/>
    <row r="265" spans="1:15" x14ac:dyDescent="0.2">
      <c r="A265" s="128"/>
      <c r="B265" s="167"/>
      <c r="C265" s="168">
        <f>Q12</f>
        <v>2010</v>
      </c>
      <c r="D265" s="168">
        <f>R12</f>
        <v>2011</v>
      </c>
      <c r="E265" s="168">
        <f>S12</f>
        <v>2012</v>
      </c>
      <c r="F265" s="168">
        <f>T12</f>
        <v>2013</v>
      </c>
      <c r="G265" s="169">
        <f>U12</f>
        <v>2014</v>
      </c>
    </row>
    <row r="266" spans="1:15" x14ac:dyDescent="0.2">
      <c r="A266" s="51" t="str">
        <f>IF(FcGrafLys,A23,"")</f>
        <v>Lys</v>
      </c>
      <c r="B266" s="7"/>
      <c r="C266" s="52">
        <f>IF(FcGrafLys,IF(FcTipoGrafico=1,Q101,Q23),"")</f>
        <v>0</v>
      </c>
      <c r="D266" s="52">
        <f>IF(FcGrafLys,IF(FcTipoGrafico=1,R101,R23),"")</f>
        <v>0</v>
      </c>
      <c r="E266" s="52">
        <f>IF(FcGrafLys,IF(FcTipoGrafico=1,S101,S23),"")</f>
        <v>0</v>
      </c>
      <c r="F266" s="52">
        <f>IF(FcGrafLys,IF(FcTipoGrafico=1,T101,T23),"")</f>
        <v>0</v>
      </c>
      <c r="G266" s="53">
        <f>IF(FcGrafLys,IF(FcTipoGrafico=1,U101,U23),"")</f>
        <v>0</v>
      </c>
    </row>
    <row r="267" spans="1:15" x14ac:dyDescent="0.2">
      <c r="A267" s="51" t="str">
        <f>IF(FcGrafHP,A34,"")</f>
        <v>HP</v>
      </c>
      <c r="B267" s="7"/>
      <c r="C267" s="52">
        <f>IF(FcGrafHP,IF(FcTipoGrafico=1,Q112,Q34),"")</f>
        <v>0</v>
      </c>
      <c r="D267" s="52">
        <f>IF(FcGrafHP,IF(FcTipoGrafico=1,R112,R34),"")</f>
        <v>0</v>
      </c>
      <c r="E267" s="52">
        <f>IF(FcGrafHP,IF(FcTipoGrafico=1,S112,S34),"")</f>
        <v>0</v>
      </c>
      <c r="F267" s="52">
        <f>IF(FcGrafHP,IF(FcTipoGrafico=1,T112,T34),"")</f>
        <v>0</v>
      </c>
      <c r="G267" s="53">
        <f>IF(FcGrafHP,IF(FcTipoGrafico=1,U112,U34),"")</f>
        <v>0</v>
      </c>
    </row>
    <row r="268" spans="1:15" x14ac:dyDescent="0.2">
      <c r="A268" s="51" t="str">
        <f>IF(FcGrafGT,A45,"")</f>
        <v>GT</v>
      </c>
      <c r="B268" s="107"/>
      <c r="C268" s="52">
        <f>IF(FcGrafGT,IF(FcTipoGrafico=1,Q123,Q45),"")</f>
        <v>0</v>
      </c>
      <c r="D268" s="52">
        <f>IF(FcGrafGT,IF(FcTipoGrafico=1,R123,R45),"")</f>
        <v>0</v>
      </c>
      <c r="E268" s="52">
        <f>IF(FcGrafGT,IF(FcTipoGrafico=1,S123,S45),"")</f>
        <v>0</v>
      </c>
      <c r="F268" s="52">
        <f>IF(FcGrafGT,IF(FcTipoGrafico=1,T123,T45),"")</f>
        <v>0</v>
      </c>
      <c r="G268" s="53">
        <f>IF(FcGrafGT,IF(FcTipoGrafico=1,U123,U45),"")</f>
        <v>0</v>
      </c>
    </row>
    <row r="269" spans="1:15" x14ac:dyDescent="0.2">
      <c r="A269" s="51" t="str">
        <f>IF(FcGrafCapsa,A56,"")</f>
        <v/>
      </c>
      <c r="B269" s="107"/>
      <c r="C269" s="52" t="str">
        <f>IF(FcGrafCapsa,IF(FcTipoGrafico=1,Q134,Q56),"")</f>
        <v/>
      </c>
      <c r="D269" s="52" t="str">
        <f>IF(FcGrafCapsa,IF(FcTipoGrafico=1,R134,R56),"")</f>
        <v/>
      </c>
      <c r="E269" s="52" t="str">
        <f>IF(FcGrafCapsa,IF(FcTipoGrafico=1,S134,S56),"")</f>
        <v/>
      </c>
      <c r="F269" s="52" t="str">
        <f>IF(FcGrafCapsa,IF(FcTipoGrafico=1,T134,T56),"")</f>
        <v/>
      </c>
      <c r="G269" s="53" t="str">
        <f>IF(FcGrafCapsa,IF(FcTipoGrafico=1,U134,U56),"")</f>
        <v/>
      </c>
    </row>
    <row r="270" spans="1:15" ht="13.5" thickBot="1" x14ac:dyDescent="0.25">
      <c r="A270" s="170" t="str">
        <f>IF(FcGrafTotal,A57,"")</f>
        <v/>
      </c>
      <c r="B270" s="171"/>
      <c r="C270" s="174" t="str">
        <f>IF(FcGrafTotal,IF(FcTipoGrafico=1,Q135,Q57),"")</f>
        <v/>
      </c>
      <c r="D270" s="174" t="str">
        <f>IF(FcGrafTotal,IF(FcTipoGrafico=1,R135,R57),"")</f>
        <v/>
      </c>
      <c r="E270" s="174" t="str">
        <f>IF(FcGrafTotal,IF(FcTipoGrafico=1,S135,S57),"")</f>
        <v/>
      </c>
      <c r="F270" s="174" t="str">
        <f>IF(FcGrafTotal,IF(FcTipoGrafico=1,T135,T57),"")</f>
        <v/>
      </c>
      <c r="G270" s="175" t="str">
        <f>IF(FcGrafTotal,IF(FcTipoGrafico=1,U135,U57),"")</f>
        <v/>
      </c>
    </row>
  </sheetData>
  <dataConsolidate/>
  <mergeCells count="114">
    <mergeCell ref="C237:V237"/>
    <mergeCell ref="C238:V238"/>
    <mergeCell ref="C239:V239"/>
    <mergeCell ref="C240:V240"/>
    <mergeCell ref="C241:V241"/>
    <mergeCell ref="C242:V242"/>
    <mergeCell ref="C249:V249"/>
    <mergeCell ref="C250:V250"/>
    <mergeCell ref="C243:V243"/>
    <mergeCell ref="C244:V244"/>
    <mergeCell ref="C245:V245"/>
    <mergeCell ref="C246:V246"/>
    <mergeCell ref="C247:V247"/>
    <mergeCell ref="C248:V248"/>
    <mergeCell ref="C228:V228"/>
    <mergeCell ref="C229:V229"/>
    <mergeCell ref="C230:V230"/>
    <mergeCell ref="C231:V231"/>
    <mergeCell ref="C232:V232"/>
    <mergeCell ref="C233:V233"/>
    <mergeCell ref="C234:V234"/>
    <mergeCell ref="C235:V235"/>
    <mergeCell ref="C236:V236"/>
    <mergeCell ref="C219:V219"/>
    <mergeCell ref="C220:V220"/>
    <mergeCell ref="C221:V221"/>
    <mergeCell ref="C222:V222"/>
    <mergeCell ref="C223:V223"/>
    <mergeCell ref="C224:V224"/>
    <mergeCell ref="C225:V225"/>
    <mergeCell ref="C226:V226"/>
    <mergeCell ref="C227:V227"/>
    <mergeCell ref="C210:V210"/>
    <mergeCell ref="C211:V211"/>
    <mergeCell ref="C212:V212"/>
    <mergeCell ref="C213:V213"/>
    <mergeCell ref="C214:V214"/>
    <mergeCell ref="C215:V215"/>
    <mergeCell ref="C216:V216"/>
    <mergeCell ref="C217:V217"/>
    <mergeCell ref="C218:V218"/>
    <mergeCell ref="C201:V201"/>
    <mergeCell ref="C202:V202"/>
    <mergeCell ref="C203:V203"/>
    <mergeCell ref="C204:V204"/>
    <mergeCell ref="C205:V205"/>
    <mergeCell ref="C206:V206"/>
    <mergeCell ref="C207:V207"/>
    <mergeCell ref="C208:V208"/>
    <mergeCell ref="C209:V209"/>
    <mergeCell ref="C192:V192"/>
    <mergeCell ref="C193:V193"/>
    <mergeCell ref="C194:V194"/>
    <mergeCell ref="C195:V195"/>
    <mergeCell ref="C196:V196"/>
    <mergeCell ref="C197:V197"/>
    <mergeCell ref="C198:V198"/>
    <mergeCell ref="C199:V199"/>
    <mergeCell ref="C200:V200"/>
    <mergeCell ref="C183:V183"/>
    <mergeCell ref="C184:V184"/>
    <mergeCell ref="C185:V185"/>
    <mergeCell ref="C186:V186"/>
    <mergeCell ref="C187:V187"/>
    <mergeCell ref="C188:V188"/>
    <mergeCell ref="C189:V189"/>
    <mergeCell ref="C190:V190"/>
    <mergeCell ref="C191:V191"/>
    <mergeCell ref="C174:V174"/>
    <mergeCell ref="C175:V175"/>
    <mergeCell ref="C176:V176"/>
    <mergeCell ref="C177:V177"/>
    <mergeCell ref="C178:V178"/>
    <mergeCell ref="C179:V179"/>
    <mergeCell ref="C180:V180"/>
    <mergeCell ref="C181:V181"/>
    <mergeCell ref="C182:V182"/>
    <mergeCell ref="C165:V165"/>
    <mergeCell ref="C166:V166"/>
    <mergeCell ref="C167:V167"/>
    <mergeCell ref="C168:V168"/>
    <mergeCell ref="C169:V169"/>
    <mergeCell ref="C170:V170"/>
    <mergeCell ref="C171:V171"/>
    <mergeCell ref="C172:V172"/>
    <mergeCell ref="C173:V173"/>
    <mergeCell ref="C156:V156"/>
    <mergeCell ref="C157:V157"/>
    <mergeCell ref="C158:V158"/>
    <mergeCell ref="C159:V159"/>
    <mergeCell ref="C160:V160"/>
    <mergeCell ref="C161:V161"/>
    <mergeCell ref="C162:V162"/>
    <mergeCell ref="C163:V163"/>
    <mergeCell ref="C164:V164"/>
    <mergeCell ref="A146:V146"/>
    <mergeCell ref="B147:V147"/>
    <mergeCell ref="B148:V148"/>
    <mergeCell ref="C150:V150"/>
    <mergeCell ref="C151:V151"/>
    <mergeCell ref="C152:V152"/>
    <mergeCell ref="C153:V153"/>
    <mergeCell ref="C154:V154"/>
    <mergeCell ref="C155:V155"/>
    <mergeCell ref="Q11:U11"/>
    <mergeCell ref="Q89:U89"/>
    <mergeCell ref="C3:D3"/>
    <mergeCell ref="C4:D4"/>
    <mergeCell ref="L10:M10"/>
    <mergeCell ref="L9:M9"/>
    <mergeCell ref="C9:D9"/>
    <mergeCell ref="C10:D10"/>
    <mergeCell ref="L3:M3"/>
    <mergeCell ref="L4:M4"/>
  </mergeCells>
  <phoneticPr fontId="0" type="noConversion"/>
  <conditionalFormatting sqref="C72">
    <cfRule type="cellIs" dxfId="4" priority="8" stopIfTrue="1" operator="equal">
      <formula>"Alerta"</formula>
    </cfRule>
  </conditionalFormatting>
  <conditionalFormatting sqref="C9 E10:F10 A9:A10 G9:K10">
    <cfRule type="expression" dxfId="3" priority="9" stopIfTrue="1">
      <formula>$A$9&lt;&gt;""</formula>
    </cfRule>
  </conditionalFormatting>
  <conditionalFormatting sqref="E9:F9">
    <cfRule type="expression" dxfId="2" priority="10" stopIfTrue="1">
      <formula>$A$9&lt;&gt;""</formula>
    </cfRule>
  </conditionalFormatting>
  <conditionalFormatting sqref="M8">
    <cfRule type="expression" dxfId="1" priority="12" stopIfTrue="1">
      <formula>#REF!="I"</formula>
    </cfRule>
  </conditionalFormatting>
  <conditionalFormatting sqref="D72:O72">
    <cfRule type="cellIs" dxfId="0" priority="13" stopIfTrue="1" operator="equal">
      <formula>"Alerta"</formula>
    </cfRule>
  </conditionalFormatting>
  <dataValidations xWindow="45" yWindow="136" count="2">
    <dataValidation type="date" operator="lessThanOrEqual" allowBlank="1" showInputMessage="1" showErrorMessage="1" errorTitle="Mensaje" error="Ingresar una fecha anterior al mes actual." sqref="B4">
      <formula1>DATE(YEAR(TODAY()),MONTH(TODAY())-1,DAY(TODAY()))</formula1>
    </dataValidation>
    <dataValidation operator="lessThanOrEqual" allowBlank="1" showInputMessage="1" showErrorMessage="1" errorTitle="Mensaje" error="Ingresar una fecha anterior al mes actual." sqref="A4"/>
  </dataValidations>
  <printOptions horizontalCentered="1"/>
  <pageMargins left="0.28000000000000003" right="0.23" top="0.78740157480314965" bottom="0.45" header="0.39370078740157483" footer="0.39370078740157483"/>
  <pageSetup paperSize="9" scale="70" orientation="landscape" blackAndWhite="1" horizontalDpi="4294967294" r:id="rId1"/>
  <headerFooter alignWithMargins="0"/>
  <ignoredErrors>
    <ignoredError sqref="U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5" r:id="rId4" name="Check Box 3">
              <controlPr locked="0" defaultSize="0" autoFill="0" autoLine="0" autoPict="0">
                <anchor moveWithCells="1" sizeWithCells="1">
                  <from>
                    <xdr:col>13</xdr:col>
                    <xdr:colOff>161925</xdr:colOff>
                    <xdr:row>81</xdr:row>
                    <xdr:rowOff>19050</xdr:rowOff>
                  </from>
                  <to>
                    <xdr:col>14</xdr:col>
                    <xdr:colOff>190500</xdr:colOff>
                    <xdr:row>82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5" name="Check Box 4">
              <controlPr defaultSize="0" autoFill="0" autoLine="0" autoPict="0">
                <anchor moveWithCells="1" sizeWithCells="1">
                  <from>
                    <xdr:col>13</xdr:col>
                    <xdr:colOff>161925</xdr:colOff>
                    <xdr:row>82</xdr:row>
                    <xdr:rowOff>19050</xdr:rowOff>
                  </from>
                  <to>
                    <xdr:col>14</xdr:col>
                    <xdr:colOff>161925</xdr:colOff>
                    <xdr:row>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6" name="Check Box 5">
              <controlPr defaultSize="0" autoFill="0" autoLine="0" autoPict="0">
                <anchor moveWithCells="1" sizeWithCells="1">
                  <from>
                    <xdr:col>13</xdr:col>
                    <xdr:colOff>161925</xdr:colOff>
                    <xdr:row>85</xdr:row>
                    <xdr:rowOff>0</xdr:rowOff>
                  </from>
                  <to>
                    <xdr:col>14</xdr:col>
                    <xdr:colOff>200025</xdr:colOff>
                    <xdr:row>86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7" name="Group Box 6">
              <controlPr defaultSize="0" autoFill="0" autoPict="0">
                <anchor moveWithCells="1" sizeWithCells="1">
                  <from>
                    <xdr:col>13</xdr:col>
                    <xdr:colOff>28575</xdr:colOff>
                    <xdr:row>80</xdr:row>
                    <xdr:rowOff>104775</xdr:rowOff>
                  </from>
                  <to>
                    <xdr:col>15</xdr:col>
                    <xdr:colOff>28575</xdr:colOff>
                    <xdr:row>86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8" name="Check Box 7">
              <controlPr defaultSize="0" autoFill="0" autoLine="0" autoPict="0">
                <anchor moveWithCells="1">
                  <from>
                    <xdr:col>13</xdr:col>
                    <xdr:colOff>38100</xdr:colOff>
                    <xdr:row>86</xdr:row>
                    <xdr:rowOff>104775</xdr:rowOff>
                  </from>
                  <to>
                    <xdr:col>15</xdr:col>
                    <xdr:colOff>28575</xdr:colOff>
                    <xdr:row>88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9" name="Option Button 8">
              <controlPr defaultSize="0" autoFill="0" autoLine="0" autoPict="0" altText="Unidadades">
                <anchor moveWithCells="1">
                  <from>
                    <xdr:col>13</xdr:col>
                    <xdr:colOff>47625</xdr:colOff>
                    <xdr:row>77</xdr:row>
                    <xdr:rowOff>85725</xdr:rowOff>
                  </from>
                  <to>
                    <xdr:col>15</xdr:col>
                    <xdr:colOff>38100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1" r:id="rId10" name="Option Button 9">
              <controlPr defaultSize="0" autoFill="0" autoLine="0" autoPict="0">
                <anchor moveWithCells="1">
                  <from>
                    <xdr:col>13</xdr:col>
                    <xdr:colOff>47625</xdr:colOff>
                    <xdr:row>78</xdr:row>
                    <xdr:rowOff>142875</xdr:rowOff>
                  </from>
                  <to>
                    <xdr:col>15</xdr:col>
                    <xdr:colOff>28575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2" r:id="rId11" name="Check Box 10">
              <controlPr defaultSize="0" autoFill="0" autoLine="0" autoPict="0">
                <anchor moveWithCells="1" sizeWithCells="1">
                  <from>
                    <xdr:col>13</xdr:col>
                    <xdr:colOff>161925</xdr:colOff>
                    <xdr:row>84</xdr:row>
                    <xdr:rowOff>19050</xdr:rowOff>
                  </from>
                  <to>
                    <xdr:col>14</xdr:col>
                    <xdr:colOff>228600</xdr:colOff>
                    <xdr:row>85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3" r:id="rId12" name="Check Box 11">
              <controlPr defaultSize="0" autoFill="0" autoLine="0" autoPict="0">
                <anchor moveWithCells="1">
                  <from>
                    <xdr:col>20</xdr:col>
                    <xdr:colOff>0</xdr:colOff>
                    <xdr:row>8</xdr:row>
                    <xdr:rowOff>142875</xdr:rowOff>
                  </from>
                  <to>
                    <xdr:col>20</xdr:col>
                    <xdr:colOff>428625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8" r:id="rId13" name="Drop Down 36">
              <controlPr defaultSize="0" autoLine="0" autoPict="0">
                <anchor moveWithCells="1">
                  <from>
                    <xdr:col>9</xdr:col>
                    <xdr:colOff>390525</xdr:colOff>
                    <xdr:row>0</xdr:row>
                    <xdr:rowOff>19050</xdr:rowOff>
                  </from>
                  <to>
                    <xdr:col>11</xdr:col>
                    <xdr:colOff>9525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9" r:id="rId14" name="Drop Down 37">
              <controlPr defaultSize="0" autoLine="0" autoPict="0">
                <anchor moveWithCells="1">
                  <from>
                    <xdr:col>7</xdr:col>
                    <xdr:colOff>428625</xdr:colOff>
                    <xdr:row>0</xdr:row>
                    <xdr:rowOff>19050</xdr:rowOff>
                  </from>
                  <to>
                    <xdr:col>9</xdr:col>
                    <xdr:colOff>47625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3" r:id="rId15" name="Drop Down 41">
              <controlPr defaultSize="0" autoLine="0" autoPict="0">
                <anchor moveWithCells="1">
                  <from>
                    <xdr:col>12</xdr:col>
                    <xdr:colOff>38100</xdr:colOff>
                    <xdr:row>0</xdr:row>
                    <xdr:rowOff>19050</xdr:rowOff>
                  </from>
                  <to>
                    <xdr:col>13</xdr:col>
                    <xdr:colOff>400050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4" r:id="rId16" name="Drop Down 42">
              <controlPr defaultSize="0" autoLine="0" autoPict="0">
                <anchor moveWithCells="1">
                  <from>
                    <xdr:col>15</xdr:col>
                    <xdr:colOff>57150</xdr:colOff>
                    <xdr:row>0</xdr:row>
                    <xdr:rowOff>19050</xdr:rowOff>
                  </from>
                  <to>
                    <xdr:col>18</xdr:col>
                    <xdr:colOff>123825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41" r:id="rId17" name="Check Box 189">
              <controlPr defaultSize="0" autoFill="0" autoLine="0" autoPict="0">
                <anchor moveWithCells="1">
                  <from>
                    <xdr:col>15</xdr:col>
                    <xdr:colOff>161925</xdr:colOff>
                    <xdr:row>1</xdr:row>
                    <xdr:rowOff>171450</xdr:rowOff>
                  </from>
                  <to>
                    <xdr:col>17</xdr:col>
                    <xdr:colOff>314325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558" r:id="rId18" name="Check Box 1382">
              <controlPr defaultSize="0" autoFill="0" autoLine="0" autoPict="0">
                <anchor moveWithCells="1">
                  <from>
                    <xdr:col>15</xdr:col>
                    <xdr:colOff>161925</xdr:colOff>
                    <xdr:row>3</xdr:row>
                    <xdr:rowOff>0</xdr:rowOff>
                  </from>
                  <to>
                    <xdr:col>17</xdr:col>
                    <xdr:colOff>314325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081" r:id="rId19" name="Check Box 2353">
              <controlPr defaultSize="0" autoFill="0" autoLine="0" autoPict="0">
                <anchor moveWithCells="1" sizeWithCells="1">
                  <from>
                    <xdr:col>13</xdr:col>
                    <xdr:colOff>161925</xdr:colOff>
                    <xdr:row>83</xdr:row>
                    <xdr:rowOff>19050</xdr:rowOff>
                  </from>
                  <to>
                    <xdr:col>14</xdr:col>
                    <xdr:colOff>161925</xdr:colOff>
                    <xdr:row>84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082" r:id="rId20" name="Drop Down 2354">
              <controlPr defaultSize="0" autoLine="0" autoPict="0">
                <anchor moveWithCells="1">
                  <from>
                    <xdr:col>19</xdr:col>
                    <xdr:colOff>57150</xdr:colOff>
                    <xdr:row>0</xdr:row>
                    <xdr:rowOff>28575</xdr:rowOff>
                  </from>
                  <to>
                    <xdr:col>20</xdr:col>
                    <xdr:colOff>361950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0" r:id="rId21" name="Spinner 38">
              <controlPr defaultSize="0" autoPict="0">
                <anchor moveWithCells="1" sizeWithCells="1">
                  <from>
                    <xdr:col>13</xdr:col>
                    <xdr:colOff>9525</xdr:colOff>
                    <xdr:row>2</xdr:row>
                    <xdr:rowOff>9525</xdr:rowOff>
                  </from>
                  <to>
                    <xdr:col>13</xdr:col>
                    <xdr:colOff>161925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data"/>
  <dimension ref="A1:DD7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9.42578125" style="287" customWidth="1"/>
    <col min="2" max="2" width="6.5703125" style="287" customWidth="1"/>
    <col min="3" max="3" width="6.42578125" style="287" customWidth="1"/>
    <col min="4" max="4" width="8.140625" style="287" customWidth="1"/>
    <col min="5" max="5" width="6" style="287" customWidth="1"/>
    <col min="6" max="6" width="7.28515625" style="287" customWidth="1"/>
    <col min="7" max="7" width="10.42578125" style="287" customWidth="1"/>
    <col min="8" max="108" width="8.42578125" style="287" customWidth="1"/>
    <col min="109" max="16384" width="11.42578125" style="287"/>
  </cols>
  <sheetData>
    <row r="1" spans="1:108" customFormat="1" x14ac:dyDescent="0.2">
      <c r="A1" s="271" t="s">
        <v>44</v>
      </c>
      <c r="B1" s="272" t="s">
        <v>28</v>
      </c>
      <c r="C1" s="272" t="s">
        <v>35</v>
      </c>
      <c r="D1" s="272" t="s">
        <v>258</v>
      </c>
      <c r="E1" s="271" t="s">
        <v>45</v>
      </c>
      <c r="F1" s="271" t="s">
        <v>46</v>
      </c>
      <c r="G1" s="272" t="s">
        <v>64</v>
      </c>
      <c r="H1" s="304" t="s">
        <v>89</v>
      </c>
      <c r="I1" s="304" t="s">
        <v>90</v>
      </c>
      <c r="J1" s="304" t="s">
        <v>91</v>
      </c>
      <c r="K1" s="304" t="s">
        <v>92</v>
      </c>
      <c r="L1" s="304" t="s">
        <v>93</v>
      </c>
      <c r="M1" s="304" t="s">
        <v>94</v>
      </c>
      <c r="N1" s="304" t="s">
        <v>95</v>
      </c>
      <c r="O1" s="304" t="s">
        <v>96</v>
      </c>
      <c r="P1" s="304" t="s">
        <v>97</v>
      </c>
      <c r="Q1" s="304" t="s">
        <v>98</v>
      </c>
      <c r="R1" s="304" t="s">
        <v>99</v>
      </c>
      <c r="S1" s="304" t="s">
        <v>100</v>
      </c>
      <c r="T1" s="304" t="s">
        <v>101</v>
      </c>
      <c r="U1" s="306" t="s">
        <v>102</v>
      </c>
      <c r="V1" s="306" t="s">
        <v>103</v>
      </c>
      <c r="W1" s="306" t="s">
        <v>104</v>
      </c>
      <c r="X1" s="306" t="s">
        <v>105</v>
      </c>
      <c r="Y1" s="306" t="s">
        <v>106</v>
      </c>
      <c r="Z1" s="306" t="s">
        <v>107</v>
      </c>
      <c r="AA1" s="306" t="s">
        <v>108</v>
      </c>
      <c r="AB1" s="306" t="s">
        <v>109</v>
      </c>
      <c r="AC1" s="306" t="s">
        <v>110</v>
      </c>
      <c r="AD1" s="306" t="s">
        <v>111</v>
      </c>
      <c r="AE1" s="306" t="s">
        <v>112</v>
      </c>
      <c r="AF1" s="306" t="s">
        <v>113</v>
      </c>
      <c r="AG1" s="306" t="s">
        <v>114</v>
      </c>
      <c r="AH1" s="306" t="s">
        <v>259</v>
      </c>
      <c r="AI1" s="306" t="s">
        <v>260</v>
      </c>
      <c r="AJ1" s="306" t="s">
        <v>261</v>
      </c>
      <c r="AK1" s="306" t="s">
        <v>262</v>
      </c>
      <c r="AL1" s="306" t="s">
        <v>263</v>
      </c>
      <c r="AM1" s="306" t="s">
        <v>264</v>
      </c>
      <c r="AN1" s="304" t="s">
        <v>115</v>
      </c>
      <c r="AO1" s="304" t="s">
        <v>116</v>
      </c>
      <c r="AP1" s="304" t="s">
        <v>117</v>
      </c>
      <c r="AQ1" s="304" t="s">
        <v>118</v>
      </c>
      <c r="AR1" s="304" t="s">
        <v>119</v>
      </c>
      <c r="AS1" s="304" t="s">
        <v>120</v>
      </c>
      <c r="AT1" s="304" t="s">
        <v>121</v>
      </c>
      <c r="AU1" s="304" t="s">
        <v>122</v>
      </c>
      <c r="AV1" s="304" t="s">
        <v>123</v>
      </c>
      <c r="AW1" s="304" t="s">
        <v>124</v>
      </c>
      <c r="AX1" s="304" t="s">
        <v>125</v>
      </c>
      <c r="AY1" s="304" t="s">
        <v>126</v>
      </c>
      <c r="AZ1" s="304" t="s">
        <v>127</v>
      </c>
      <c r="BA1" s="306" t="s">
        <v>128</v>
      </c>
      <c r="BB1" s="306" t="s">
        <v>129</v>
      </c>
      <c r="BC1" s="306" t="s">
        <v>130</v>
      </c>
      <c r="BD1" s="306" t="s">
        <v>131</v>
      </c>
      <c r="BE1" s="306" t="s">
        <v>132</v>
      </c>
      <c r="BF1" s="306" t="s">
        <v>133</v>
      </c>
      <c r="BG1" s="306" t="s">
        <v>134</v>
      </c>
      <c r="BH1" s="306" t="s">
        <v>135</v>
      </c>
      <c r="BI1" s="306" t="s">
        <v>136</v>
      </c>
      <c r="BJ1" s="306" t="s">
        <v>137</v>
      </c>
      <c r="BK1" s="306" t="s">
        <v>138</v>
      </c>
      <c r="BL1" s="306" t="s">
        <v>139</v>
      </c>
      <c r="BM1" s="306" t="s">
        <v>140</v>
      </c>
      <c r="BN1" s="304" t="s">
        <v>141</v>
      </c>
      <c r="BO1" s="304" t="s">
        <v>142</v>
      </c>
      <c r="BP1" s="304" t="s">
        <v>143</v>
      </c>
      <c r="BQ1" s="304" t="s">
        <v>144</v>
      </c>
      <c r="BR1" s="304" t="s">
        <v>145</v>
      </c>
      <c r="BS1" s="304" t="s">
        <v>146</v>
      </c>
      <c r="BT1" s="304" t="s">
        <v>147</v>
      </c>
      <c r="BU1" s="304" t="s">
        <v>148</v>
      </c>
      <c r="BV1" s="304" t="s">
        <v>149</v>
      </c>
      <c r="BW1" s="304" t="s">
        <v>150</v>
      </c>
      <c r="BX1" s="304" t="s">
        <v>151</v>
      </c>
      <c r="BY1" s="304" t="s">
        <v>152</v>
      </c>
      <c r="BZ1" s="304" t="s">
        <v>153</v>
      </c>
      <c r="CA1" s="304" t="s">
        <v>154</v>
      </c>
      <c r="CB1" s="304" t="s">
        <v>155</v>
      </c>
      <c r="CC1" s="304" t="s">
        <v>156</v>
      </c>
      <c r="CD1" s="304" t="s">
        <v>157</v>
      </c>
      <c r="CE1" s="304" t="s">
        <v>158</v>
      </c>
      <c r="CF1" s="304" t="s">
        <v>159</v>
      </c>
      <c r="CG1" s="306" t="s">
        <v>160</v>
      </c>
      <c r="CH1" s="306" t="s">
        <v>161</v>
      </c>
      <c r="CI1" s="306" t="s">
        <v>162</v>
      </c>
      <c r="CJ1" s="306" t="s">
        <v>163</v>
      </c>
      <c r="CK1" s="306" t="s">
        <v>164</v>
      </c>
      <c r="CL1" s="306" t="s">
        <v>165</v>
      </c>
      <c r="CM1" s="304" t="s">
        <v>166</v>
      </c>
      <c r="CN1" s="304" t="s">
        <v>167</v>
      </c>
      <c r="CO1" s="304" t="s">
        <v>168</v>
      </c>
      <c r="CP1" s="304" t="s">
        <v>169</v>
      </c>
      <c r="CQ1" s="304" t="s">
        <v>170</v>
      </c>
      <c r="CR1" s="304" t="s">
        <v>165</v>
      </c>
      <c r="CS1" s="306" t="s">
        <v>171</v>
      </c>
      <c r="CT1" s="306" t="s">
        <v>172</v>
      </c>
      <c r="CU1" s="306" t="s">
        <v>173</v>
      </c>
      <c r="CV1" s="306" t="s">
        <v>174</v>
      </c>
      <c r="CW1" s="306" t="s">
        <v>175</v>
      </c>
      <c r="CX1" s="306" t="s">
        <v>165</v>
      </c>
      <c r="CY1" s="304" t="s">
        <v>176</v>
      </c>
      <c r="CZ1" s="304" t="s">
        <v>177</v>
      </c>
      <c r="DA1" s="304" t="s">
        <v>178</v>
      </c>
      <c r="DB1" s="304" t="s">
        <v>179</v>
      </c>
      <c r="DC1" s="304" t="s">
        <v>180</v>
      </c>
      <c r="DD1" s="304" t="s">
        <v>165</v>
      </c>
    </row>
    <row r="2" spans="1:108" customFormat="1" x14ac:dyDescent="0.2">
      <c r="A2" s="307"/>
      <c r="B2" s="287"/>
      <c r="C2" s="287"/>
      <c r="D2" s="287"/>
      <c r="E2" s="321"/>
      <c r="F2" s="308"/>
      <c r="G2" s="308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  <c r="AG2" s="309"/>
      <c r="AH2" s="309"/>
      <c r="AI2" s="309"/>
      <c r="AJ2" s="309"/>
      <c r="AK2" s="309"/>
      <c r="AL2" s="309"/>
      <c r="AM2" s="309"/>
      <c r="AN2" s="309"/>
      <c r="AO2" s="309"/>
      <c r="AP2" s="309"/>
      <c r="AQ2" s="309"/>
      <c r="AR2" s="309"/>
      <c r="AS2" s="309"/>
      <c r="AT2" s="309"/>
      <c r="AU2" s="309"/>
      <c r="AV2" s="309"/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09"/>
      <c r="BL2" s="309"/>
      <c r="BM2" s="309"/>
      <c r="BN2" s="309"/>
      <c r="BO2" s="309"/>
      <c r="BP2" s="309"/>
      <c r="BQ2" s="309"/>
      <c r="BR2" s="309"/>
      <c r="BS2" s="309"/>
      <c r="BT2" s="309"/>
      <c r="BU2" s="309"/>
      <c r="BV2" s="309"/>
      <c r="BW2" s="309"/>
      <c r="BX2" s="309"/>
      <c r="BY2" s="309"/>
      <c r="BZ2" s="309"/>
      <c r="CA2" s="309"/>
      <c r="CB2" s="309"/>
      <c r="CC2" s="309"/>
      <c r="CD2" s="309"/>
      <c r="CE2" s="309"/>
      <c r="CF2" s="309"/>
      <c r="CG2" s="309"/>
      <c r="CH2" s="309"/>
      <c r="CI2" s="309"/>
      <c r="CJ2" s="309"/>
      <c r="CK2" s="309"/>
      <c r="CL2" s="309"/>
      <c r="CM2" s="309"/>
      <c r="CN2" s="309"/>
      <c r="CO2" s="309"/>
      <c r="CP2" s="309"/>
      <c r="CQ2" s="309"/>
      <c r="CR2" s="309"/>
      <c r="CS2" s="309"/>
      <c r="CT2" s="309"/>
      <c r="CU2" s="309"/>
      <c r="CV2" s="309"/>
      <c r="CW2" s="309"/>
      <c r="CX2" s="309"/>
      <c r="CY2" s="309"/>
      <c r="CZ2" s="309"/>
      <c r="DA2" s="309"/>
      <c r="DB2" s="309"/>
      <c r="DC2" s="309"/>
      <c r="DD2" s="309"/>
    </row>
    <row r="3" spans="1:108" x14ac:dyDescent="0.2">
      <c r="E3" s="321"/>
      <c r="F3" s="308"/>
      <c r="G3" s="308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  <c r="Z3" s="322"/>
      <c r="AA3" s="322"/>
      <c r="AB3" s="322"/>
      <c r="AC3" s="322"/>
      <c r="AD3" s="322"/>
      <c r="AE3" s="322"/>
      <c r="AF3" s="322"/>
      <c r="AG3" s="322"/>
      <c r="AH3" s="322"/>
      <c r="AI3" s="322"/>
      <c r="AJ3" s="322"/>
      <c r="AK3" s="322"/>
      <c r="AL3" s="322"/>
      <c r="AM3" s="322"/>
      <c r="AN3" s="322"/>
      <c r="AO3" s="322"/>
      <c r="AP3" s="322"/>
    </row>
    <row r="4" spans="1:108" x14ac:dyDescent="0.2">
      <c r="D4" s="321"/>
      <c r="E4" s="321"/>
      <c r="F4" s="308"/>
      <c r="G4" s="308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2"/>
      <c r="S4" s="322"/>
      <c r="T4" s="322"/>
      <c r="U4" s="322"/>
      <c r="V4" s="322"/>
      <c r="W4" s="322"/>
      <c r="X4" s="322"/>
      <c r="Y4" s="322"/>
      <c r="Z4" s="322"/>
      <c r="AA4" s="322"/>
      <c r="AB4" s="322"/>
      <c r="AC4" s="322"/>
      <c r="AD4" s="322"/>
      <c r="AE4" s="322"/>
      <c r="AF4" s="322"/>
      <c r="AG4" s="322"/>
      <c r="AH4" s="322"/>
      <c r="AI4" s="322"/>
      <c r="AJ4" s="322"/>
      <c r="AK4" s="322"/>
      <c r="AL4" s="322"/>
      <c r="AM4" s="322"/>
    </row>
    <row r="5" spans="1:108" x14ac:dyDescent="0.2">
      <c r="B5" s="321"/>
      <c r="C5" s="321"/>
      <c r="D5" s="321"/>
      <c r="E5" s="321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  <c r="Z5" s="322"/>
      <c r="AA5" s="322"/>
      <c r="AB5" s="322"/>
      <c r="AC5" s="322"/>
      <c r="AD5" s="322"/>
      <c r="AE5" s="322"/>
      <c r="AF5" s="322"/>
      <c r="AG5" s="322"/>
      <c r="AH5" s="322"/>
      <c r="AI5" s="322"/>
      <c r="AJ5" s="322"/>
      <c r="AK5" s="322"/>
      <c r="AL5" s="322"/>
      <c r="AM5" s="322"/>
    </row>
    <row r="6" spans="1:108" x14ac:dyDescent="0.2">
      <c r="A6" s="321"/>
      <c r="B6" s="321"/>
      <c r="C6" s="321"/>
      <c r="D6" s="321"/>
      <c r="E6" s="321"/>
      <c r="F6" s="322"/>
      <c r="G6" s="322"/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2"/>
      <c r="S6" s="322"/>
      <c r="T6" s="322"/>
      <c r="U6" s="322"/>
      <c r="V6" s="322"/>
      <c r="W6" s="322"/>
      <c r="X6" s="322"/>
      <c r="Y6" s="322"/>
      <c r="Z6" s="322"/>
      <c r="AA6" s="322"/>
      <c r="AB6" s="322"/>
      <c r="AC6" s="322"/>
      <c r="AD6" s="322"/>
      <c r="AE6" s="322"/>
      <c r="AF6" s="322"/>
      <c r="AG6" s="322"/>
      <c r="AH6" s="322"/>
      <c r="AI6" s="322"/>
      <c r="AJ6" s="322"/>
      <c r="AK6" s="322"/>
      <c r="AL6" s="322"/>
      <c r="AM6" s="322"/>
    </row>
    <row r="7" spans="1:108" x14ac:dyDescent="0.2">
      <c r="A7" s="321"/>
      <c r="B7" s="321"/>
      <c r="C7" s="321"/>
      <c r="D7" s="321"/>
      <c r="E7" s="321"/>
      <c r="F7" s="322"/>
      <c r="G7" s="322"/>
      <c r="H7" s="322"/>
      <c r="I7" s="322"/>
      <c r="J7" s="322"/>
      <c r="K7" s="322"/>
      <c r="L7" s="322"/>
      <c r="M7" s="322"/>
      <c r="N7" s="322"/>
      <c r="O7" s="322"/>
      <c r="P7" s="322"/>
      <c r="Q7" s="322"/>
      <c r="R7" s="322"/>
      <c r="S7" s="322"/>
      <c r="T7" s="322"/>
      <c r="U7" s="322"/>
      <c r="V7" s="322"/>
      <c r="W7" s="322"/>
      <c r="X7" s="322"/>
      <c r="Y7" s="322"/>
      <c r="Z7" s="322"/>
      <c r="AA7" s="322"/>
      <c r="AB7" s="322"/>
      <c r="AC7" s="322"/>
      <c r="AD7" s="322"/>
      <c r="AE7" s="322"/>
      <c r="AF7" s="322"/>
      <c r="AG7" s="322"/>
      <c r="AH7" s="322"/>
      <c r="AI7" s="322"/>
      <c r="AJ7" s="322"/>
      <c r="AK7" s="322"/>
      <c r="AL7" s="322"/>
      <c r="AM7" s="3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cliente"/>
  <dimension ref="A1:AH2"/>
  <sheetViews>
    <sheetView topLeftCell="R1" zoomScale="85" zoomScaleNormal="85" workbookViewId="0">
      <selection activeCell="AG2" sqref="AG2"/>
    </sheetView>
  </sheetViews>
  <sheetFormatPr baseColWidth="10" defaultRowHeight="12.75" x14ac:dyDescent="0.2"/>
  <cols>
    <col min="1" max="1" width="9.5703125" customWidth="1"/>
    <col min="2" max="2" width="10.28515625" customWidth="1"/>
    <col min="3" max="3" width="6.85546875" customWidth="1"/>
    <col min="4" max="4" width="8.42578125" customWidth="1"/>
    <col min="5" max="5" width="12.42578125" customWidth="1"/>
    <col min="8" max="8" width="10.140625" customWidth="1"/>
    <col min="32" max="32" width="27.5703125" customWidth="1"/>
    <col min="33" max="33" width="14" customWidth="1"/>
  </cols>
  <sheetData>
    <row r="1" spans="1:34" x14ac:dyDescent="0.2">
      <c r="A1" s="272" t="s">
        <v>68</v>
      </c>
      <c r="B1" s="272" t="s">
        <v>28</v>
      </c>
      <c r="C1" s="272" t="s">
        <v>35</v>
      </c>
      <c r="D1" s="272" t="s">
        <v>265</v>
      </c>
      <c r="E1" s="305" t="s">
        <v>69</v>
      </c>
      <c r="F1" s="305" t="s">
        <v>70</v>
      </c>
      <c r="G1" s="305" t="s">
        <v>71</v>
      </c>
      <c r="H1" s="305" t="s">
        <v>3</v>
      </c>
      <c r="I1" s="305" t="s">
        <v>72</v>
      </c>
      <c r="J1" s="305" t="s">
        <v>60</v>
      </c>
      <c r="K1" s="305" t="s">
        <v>73</v>
      </c>
      <c r="L1" s="305" t="s">
        <v>2</v>
      </c>
      <c r="M1" s="305" t="s">
        <v>74</v>
      </c>
      <c r="N1" s="305" t="s">
        <v>75</v>
      </c>
      <c r="O1" s="305" t="s">
        <v>61</v>
      </c>
      <c r="P1" s="305" t="s">
        <v>14</v>
      </c>
      <c r="Q1" s="305" t="s">
        <v>62</v>
      </c>
      <c r="R1" s="305" t="s">
        <v>63</v>
      </c>
      <c r="S1" s="305" t="s">
        <v>76</v>
      </c>
      <c r="T1" s="305" t="s">
        <v>77</v>
      </c>
      <c r="U1" s="305" t="s">
        <v>78</v>
      </c>
      <c r="V1" s="305" t="s">
        <v>79</v>
      </c>
      <c r="W1" s="305" t="s">
        <v>80</v>
      </c>
      <c r="X1" s="305" t="s">
        <v>36</v>
      </c>
      <c r="Y1" s="305" t="s">
        <v>81</v>
      </c>
      <c r="Z1" s="305" t="s">
        <v>82</v>
      </c>
      <c r="AA1" s="305" t="s">
        <v>83</v>
      </c>
      <c r="AB1" s="305" t="s">
        <v>84</v>
      </c>
      <c r="AC1" s="305" t="s">
        <v>85</v>
      </c>
      <c r="AD1" s="305" t="s">
        <v>86</v>
      </c>
      <c r="AE1" s="305" t="s">
        <v>87</v>
      </c>
      <c r="AF1" s="305" t="s">
        <v>88</v>
      </c>
      <c r="AG1" s="305" t="s">
        <v>280</v>
      </c>
      <c r="AH1" s="318" t="s">
        <v>266</v>
      </c>
    </row>
    <row r="2" spans="1:34" x14ac:dyDescent="0.2"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pago"/>
  <dimension ref="A1:BC1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8.5703125" customWidth="1"/>
    <col min="2" max="2" width="6.42578125" customWidth="1"/>
    <col min="3" max="3" width="5.85546875" customWidth="1"/>
    <col min="4" max="4" width="5.5703125" customWidth="1"/>
    <col min="5" max="5" width="5.42578125" customWidth="1"/>
    <col min="6" max="6" width="4.5703125" customWidth="1"/>
    <col min="7" max="7" width="6.5703125" customWidth="1"/>
    <col min="8" max="8" width="5.140625" customWidth="1"/>
    <col min="9" max="9" width="5" customWidth="1"/>
    <col min="10" max="10" width="5.7109375" customWidth="1"/>
    <col min="11" max="11" width="7" customWidth="1"/>
    <col min="12" max="14" width="5.7109375" customWidth="1"/>
    <col min="15" max="15" width="6.7109375" customWidth="1"/>
    <col min="16" max="18" width="5.7109375" customWidth="1"/>
    <col min="19" max="19" width="6.85546875" customWidth="1"/>
    <col min="20" max="22" width="5.7109375" customWidth="1"/>
    <col min="23" max="23" width="6.7109375" customWidth="1"/>
    <col min="24" max="26" width="5.7109375" customWidth="1"/>
    <col min="27" max="27" width="7.5703125" customWidth="1"/>
    <col min="28" max="30" width="5.7109375" customWidth="1"/>
    <col min="31" max="31" width="7.28515625" customWidth="1"/>
    <col min="32" max="34" width="5.7109375" customWidth="1"/>
    <col min="35" max="35" width="7.7109375" customWidth="1"/>
    <col min="36" max="38" width="5.7109375" customWidth="1"/>
    <col min="39" max="39" width="7.28515625" customWidth="1"/>
    <col min="40" max="42" width="5.7109375" customWidth="1"/>
    <col min="43" max="43" width="7.5703125" customWidth="1"/>
    <col min="44" max="46" width="5.7109375" customWidth="1"/>
    <col min="47" max="47" width="7.7109375" customWidth="1"/>
    <col min="48" max="50" width="5.7109375" customWidth="1"/>
    <col min="51" max="51" width="7" customWidth="1"/>
    <col min="52" max="54" width="5.7109375" customWidth="1"/>
    <col min="55" max="55" width="7.42578125" customWidth="1"/>
  </cols>
  <sheetData>
    <row r="1" spans="1:55" x14ac:dyDescent="0.2">
      <c r="A1" s="272" t="s">
        <v>68</v>
      </c>
      <c r="B1" s="272" t="s">
        <v>181</v>
      </c>
      <c r="C1" s="272" t="s">
        <v>182</v>
      </c>
      <c r="D1" s="305" t="s">
        <v>183</v>
      </c>
      <c r="E1" s="305" t="s">
        <v>184</v>
      </c>
      <c r="F1" s="305" t="s">
        <v>185</v>
      </c>
      <c r="G1" s="310" t="s">
        <v>47</v>
      </c>
      <c r="H1" s="305" t="s">
        <v>186</v>
      </c>
      <c r="I1" s="305" t="s">
        <v>187</v>
      </c>
      <c r="J1" s="305" t="s">
        <v>188</v>
      </c>
      <c r="K1" s="310" t="s">
        <v>48</v>
      </c>
      <c r="L1" s="305" t="s">
        <v>189</v>
      </c>
      <c r="M1" s="305" t="s">
        <v>190</v>
      </c>
      <c r="N1" s="305" t="s">
        <v>191</v>
      </c>
      <c r="O1" s="310" t="s">
        <v>49</v>
      </c>
      <c r="P1" s="305" t="s">
        <v>192</v>
      </c>
      <c r="Q1" s="305" t="s">
        <v>193</v>
      </c>
      <c r="R1" s="305" t="s">
        <v>194</v>
      </c>
      <c r="S1" s="310" t="s">
        <v>50</v>
      </c>
      <c r="T1" s="305" t="s">
        <v>195</v>
      </c>
      <c r="U1" s="305" t="s">
        <v>196</v>
      </c>
      <c r="V1" s="305" t="s">
        <v>197</v>
      </c>
      <c r="W1" s="310" t="s">
        <v>51</v>
      </c>
      <c r="X1" s="305" t="s">
        <v>198</v>
      </c>
      <c r="Y1" s="305" t="s">
        <v>199</v>
      </c>
      <c r="Z1" s="305" t="s">
        <v>200</v>
      </c>
      <c r="AA1" s="310" t="s">
        <v>52</v>
      </c>
      <c r="AB1" s="305" t="s">
        <v>201</v>
      </c>
      <c r="AC1" s="305" t="s">
        <v>202</v>
      </c>
      <c r="AD1" s="305" t="s">
        <v>203</v>
      </c>
      <c r="AE1" s="310" t="s">
        <v>53</v>
      </c>
      <c r="AF1" s="305" t="s">
        <v>204</v>
      </c>
      <c r="AG1" s="305" t="s">
        <v>205</v>
      </c>
      <c r="AH1" s="305" t="s">
        <v>206</v>
      </c>
      <c r="AI1" s="310" t="s">
        <v>54</v>
      </c>
      <c r="AJ1" s="305" t="s">
        <v>207</v>
      </c>
      <c r="AK1" s="305" t="s">
        <v>208</v>
      </c>
      <c r="AL1" s="305" t="s">
        <v>209</v>
      </c>
      <c r="AM1" s="310" t="s">
        <v>55</v>
      </c>
      <c r="AN1" s="305" t="s">
        <v>210</v>
      </c>
      <c r="AO1" s="305" t="s">
        <v>211</v>
      </c>
      <c r="AP1" s="305" t="s">
        <v>212</v>
      </c>
      <c r="AQ1" s="310" t="s">
        <v>56</v>
      </c>
      <c r="AR1" s="305" t="s">
        <v>213</v>
      </c>
      <c r="AS1" s="305" t="s">
        <v>214</v>
      </c>
      <c r="AT1" s="305" t="s">
        <v>215</v>
      </c>
      <c r="AU1" s="310" t="s">
        <v>57</v>
      </c>
      <c r="AV1" s="305" t="s">
        <v>216</v>
      </c>
      <c r="AW1" s="305" t="s">
        <v>217</v>
      </c>
      <c r="AX1" s="305" t="s">
        <v>218</v>
      </c>
      <c r="AY1" s="310" t="s">
        <v>58</v>
      </c>
      <c r="AZ1" s="305" t="s">
        <v>219</v>
      </c>
      <c r="BA1" s="305" t="s">
        <v>220</v>
      </c>
      <c r="BB1" s="305" t="s">
        <v>221</v>
      </c>
      <c r="BC1" s="311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cuota"/>
  <dimension ref="A1:AO4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6.7109375" customWidth="1"/>
    <col min="2" max="2" width="7.5703125" customWidth="1"/>
    <col min="3" max="3" width="5.42578125" customWidth="1"/>
    <col min="4" max="4" width="4.5703125" customWidth="1"/>
    <col min="5" max="5" width="9.5703125" customWidth="1"/>
    <col min="6" max="36" width="7.7109375" customWidth="1"/>
  </cols>
  <sheetData>
    <row r="1" spans="1:41" x14ac:dyDescent="0.2">
      <c r="A1" s="272" t="s">
        <v>68</v>
      </c>
      <c r="B1" s="272" t="s">
        <v>35</v>
      </c>
      <c r="C1" s="272" t="s">
        <v>45</v>
      </c>
      <c r="D1" s="272" t="s">
        <v>46</v>
      </c>
      <c r="E1" s="272" t="s">
        <v>64</v>
      </c>
      <c r="F1" s="304" t="s">
        <v>222</v>
      </c>
      <c r="G1" s="304" t="s">
        <v>223</v>
      </c>
      <c r="H1" s="304" t="s">
        <v>224</v>
      </c>
      <c r="I1" s="304" t="s">
        <v>225</v>
      </c>
      <c r="J1" s="304" t="s">
        <v>226</v>
      </c>
      <c r="K1" s="304" t="s">
        <v>227</v>
      </c>
      <c r="L1" s="304" t="s">
        <v>228</v>
      </c>
      <c r="M1" s="304" t="s">
        <v>229</v>
      </c>
      <c r="N1" s="304" t="s">
        <v>230</v>
      </c>
      <c r="O1" s="304" t="s">
        <v>231</v>
      </c>
      <c r="P1" s="304" t="s">
        <v>232</v>
      </c>
      <c r="Q1" s="304" t="s">
        <v>233</v>
      </c>
      <c r="R1" s="304" t="s">
        <v>234</v>
      </c>
      <c r="S1" s="306" t="s">
        <v>235</v>
      </c>
      <c r="T1" s="306" t="s">
        <v>236</v>
      </c>
      <c r="U1" s="306" t="s">
        <v>237</v>
      </c>
      <c r="V1" s="306" t="s">
        <v>238</v>
      </c>
      <c r="W1" s="306" t="s">
        <v>239</v>
      </c>
      <c r="X1" s="305" t="s">
        <v>240</v>
      </c>
      <c r="Y1" s="305" t="s">
        <v>241</v>
      </c>
      <c r="Z1" s="305" t="s">
        <v>242</v>
      </c>
      <c r="AA1" s="305" t="s">
        <v>243</v>
      </c>
      <c r="AB1" s="305" t="s">
        <v>244</v>
      </c>
      <c r="AC1" s="305" t="s">
        <v>245</v>
      </c>
      <c r="AD1" s="305" t="s">
        <v>246</v>
      </c>
      <c r="AE1" s="305" t="s">
        <v>247</v>
      </c>
      <c r="AF1" s="305" t="s">
        <v>248</v>
      </c>
      <c r="AG1" s="305" t="s">
        <v>249</v>
      </c>
      <c r="AH1" s="305" t="s">
        <v>250</v>
      </c>
      <c r="AI1" s="305" t="s">
        <v>251</v>
      </c>
      <c r="AJ1" s="305" t="s">
        <v>252</v>
      </c>
      <c r="AK1" s="312" t="s">
        <v>253</v>
      </c>
      <c r="AL1" s="312" t="s">
        <v>254</v>
      </c>
      <c r="AM1" s="312" t="s">
        <v>255</v>
      </c>
      <c r="AN1" s="312" t="s">
        <v>256</v>
      </c>
      <c r="AO1" s="312" t="s">
        <v>257</v>
      </c>
    </row>
    <row r="2" spans="1:41" x14ac:dyDescent="0.2">
      <c r="D2" s="313"/>
      <c r="E2" s="313"/>
    </row>
    <row r="3" spans="1:41" x14ac:dyDescent="0.2">
      <c r="D3" s="313"/>
      <c r="E3" s="313"/>
    </row>
    <row r="4" spans="1:41" x14ac:dyDescent="0.2">
      <c r="D4" s="313"/>
      <c r="E4" s="3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ankin"/>
  <dimension ref="A1:S10"/>
  <sheetViews>
    <sheetView zoomScale="85" zoomScaleNormal="85" workbookViewId="0">
      <selection activeCell="A2" sqref="A2"/>
    </sheetView>
  </sheetViews>
  <sheetFormatPr baseColWidth="10" defaultRowHeight="12.75" x14ac:dyDescent="0.2"/>
  <cols>
    <col min="1" max="1" width="5.7109375" customWidth="1"/>
    <col min="2" max="2" width="7.42578125" customWidth="1"/>
    <col min="3" max="3" width="6.42578125" customWidth="1"/>
    <col min="4" max="4" width="7.5703125" customWidth="1"/>
    <col min="5" max="5" width="6.7109375" customWidth="1"/>
    <col min="6" max="6" width="8.7109375" customWidth="1"/>
    <col min="7" max="7" width="6.5703125" customWidth="1"/>
    <col min="8" max="8" width="5.85546875" customWidth="1"/>
    <col min="9" max="9" width="5.42578125" customWidth="1"/>
    <col min="10" max="10" width="8.7109375" customWidth="1"/>
    <col min="11" max="11" width="8.5703125" customWidth="1"/>
    <col min="12" max="12" width="7.7109375" customWidth="1"/>
    <col min="13" max="14" width="9.140625" customWidth="1"/>
  </cols>
  <sheetData>
    <row r="1" spans="1:19" x14ac:dyDescent="0.2">
      <c r="A1" s="319" t="s">
        <v>68</v>
      </c>
      <c r="B1" s="319" t="s">
        <v>267</v>
      </c>
      <c r="C1" s="319" t="s">
        <v>268</v>
      </c>
      <c r="D1" s="319" t="s">
        <v>269</v>
      </c>
      <c r="E1" s="319" t="s">
        <v>270</v>
      </c>
      <c r="F1" s="319" t="s">
        <v>271</v>
      </c>
      <c r="G1" s="320"/>
      <c r="H1" s="320"/>
      <c r="I1" s="320"/>
      <c r="J1" s="319" t="s">
        <v>273</v>
      </c>
      <c r="K1" s="319" t="s">
        <v>274</v>
      </c>
      <c r="L1" s="319" t="s">
        <v>272</v>
      </c>
      <c r="M1" s="319" t="s">
        <v>275</v>
      </c>
      <c r="N1" s="319" t="s">
        <v>276</v>
      </c>
      <c r="O1" s="320"/>
      <c r="P1" s="319" t="s">
        <v>277</v>
      </c>
      <c r="Q1" s="319" t="s">
        <v>278</v>
      </c>
      <c r="R1" s="319" t="s">
        <v>279</v>
      </c>
      <c r="S1" s="320"/>
    </row>
    <row r="2" spans="1:19" x14ac:dyDescent="0.2">
      <c r="C2" s="313"/>
      <c r="D2" s="313"/>
      <c r="E2" s="313"/>
      <c r="F2" s="313"/>
      <c r="J2">
        <f>IFERROR(INDEX(Venta!FcDetalle,MATCH(B2,Venta!FcGrupoRK,0),35),0)</f>
        <v>0</v>
      </c>
      <c r="K2">
        <f>IFERROR(INDEX(Venta!FcDetalle,MATCH(B2,Venta!FcGrupoRK,0),36),0)</f>
        <v>0</v>
      </c>
      <c r="L2">
        <f>IFERROR(INDEX(Venta!FcDetalle,MATCH(B2,Venta!FcGrupoRK,0),37),0)</f>
        <v>0</v>
      </c>
      <c r="M2">
        <f>IFERROR(INDEX(Venta!FcDetalle,MATCH(B2,Venta!FcGrupoRK,0),38),0)</f>
        <v>0</v>
      </c>
      <c r="N2">
        <f>IFERROR(INDEX(Venta!FcDetalle,MATCH(B2,Venta!FcGrupoRK,0),39),0)</f>
        <v>0</v>
      </c>
      <c r="P2">
        <f>IFERROR(((J2*INDEX(Filtro!FcFiltroMarca,MATCH("LYS",Filtro!FcFiltroMarcaClave,0),3))+(K2*INDEX(Filtro!FcFiltroMarca,MATCH("HPE",Filtro!FcFiltroMarcaClave,0),3))+(L2*INDEX(Filtro!FcFiltroMarca,MATCH("GT",Filtro!FcFiltroMarcaClave,0),3))+(M2*INDEX(Filtro!FcFiltroMarca,MATCH("CAP",Filtro!FcFiltroMarcaClave,0),3)))*IFERROR(INDEX(Filtro!FcFiltroUnidNeg,MATCH(C2,Filtro!FcFiltroUnidNegClave,0),3),0)*IFERROR(INDEX(Filtro!FcFiltroSegmento,MATCH(D2,Filtro!FcFiltroSegmentoClave,0),3),0)*IFERROR(INDEX(Filtro!FcFiltroZona,MATCH(E2,Filtro!FcFiltroZonaClave,0),3),0)*IFERROR(INDEX(Filtro!FcFiltroVendedor,MATCH(F2,Filtro!FcFiltroVendedorClave,0),3),0),0)</f>
        <v>0</v>
      </c>
      <c r="Q2" s="313">
        <f>IFERROR(RANK(IF(N2&gt;0,N2,""),FcMontoTotal,0),0)</f>
        <v>0</v>
      </c>
      <c r="R2">
        <f>IFERROR(RANK(IF(P2&gt;0,P2,""),FcMontoFiltro,0),0)</f>
        <v>0</v>
      </c>
    </row>
    <row r="3" spans="1:19" x14ac:dyDescent="0.2">
      <c r="C3" s="313"/>
      <c r="D3" s="313"/>
      <c r="E3" s="313"/>
      <c r="F3" s="313"/>
      <c r="Q3" s="313"/>
    </row>
    <row r="4" spans="1:19" x14ac:dyDescent="0.2">
      <c r="C4" s="313"/>
      <c r="D4" s="313"/>
      <c r="E4" s="313"/>
      <c r="F4" s="313"/>
      <c r="Q4" s="313"/>
    </row>
    <row r="5" spans="1:19" x14ac:dyDescent="0.2">
      <c r="C5" s="322"/>
      <c r="D5" s="322"/>
      <c r="E5" s="322"/>
      <c r="F5" s="322"/>
      <c r="Q5" s="313"/>
    </row>
    <row r="6" spans="1:19" x14ac:dyDescent="0.2">
      <c r="C6" s="322"/>
      <c r="D6" s="322"/>
      <c r="E6" s="322"/>
      <c r="F6" s="322"/>
      <c r="Q6" s="313"/>
    </row>
    <row r="7" spans="1:19" x14ac:dyDescent="0.2">
      <c r="C7" s="322"/>
      <c r="D7" s="322"/>
      <c r="E7" s="322"/>
      <c r="F7" s="322"/>
      <c r="Q7" s="313"/>
    </row>
    <row r="8" spans="1:19" x14ac:dyDescent="0.2">
      <c r="C8" s="322"/>
      <c r="D8" s="322"/>
      <c r="E8" s="322"/>
      <c r="F8" s="322"/>
      <c r="Q8" s="313"/>
    </row>
    <row r="9" spans="1:19" x14ac:dyDescent="0.2">
      <c r="C9" s="322"/>
      <c r="D9" s="322"/>
      <c r="E9" s="322"/>
      <c r="F9" s="322"/>
      <c r="Q9" s="313"/>
    </row>
    <row r="10" spans="1:19" x14ac:dyDescent="0.2">
      <c r="C10" s="322"/>
      <c r="D10" s="322"/>
      <c r="E10" s="322"/>
      <c r="F10" s="322"/>
      <c r="Q10" s="3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filtro"/>
  <dimension ref="A1:AA130"/>
  <sheetViews>
    <sheetView zoomScale="85" zoomScaleNormal="85" workbookViewId="0">
      <selection activeCell="A3" sqref="A3"/>
    </sheetView>
  </sheetViews>
  <sheetFormatPr baseColWidth="10" defaultRowHeight="12.75" x14ac:dyDescent="0.2"/>
  <cols>
    <col min="1" max="1" width="5" style="291" customWidth="1"/>
    <col min="2" max="2" width="8.140625" customWidth="1"/>
    <col min="3" max="3" width="5" style="279" customWidth="1"/>
    <col min="4" max="5" width="5.140625" customWidth="1"/>
    <col min="6" max="6" width="7.85546875" customWidth="1"/>
    <col min="7" max="7" width="5.5703125" style="279" customWidth="1"/>
    <col min="8" max="8" width="6.140625" customWidth="1"/>
    <col min="9" max="9" width="4.85546875" customWidth="1"/>
    <col min="10" max="10" width="18.85546875" customWidth="1"/>
    <col min="11" max="11" width="6.5703125" style="279" customWidth="1"/>
    <col min="12" max="13" width="5.7109375" customWidth="1"/>
    <col min="14" max="14" width="7.140625" customWidth="1"/>
    <col min="15" max="15" width="6" style="279" customWidth="1"/>
    <col min="16" max="16" width="5.5703125" customWidth="1"/>
    <col min="17" max="17" width="6" customWidth="1"/>
    <col min="18" max="18" width="23.140625" bestFit="1" customWidth="1"/>
    <col min="19" max="19" width="7.28515625" style="279" customWidth="1"/>
    <col min="20" max="20" width="47.85546875" customWidth="1"/>
    <col min="21" max="21" width="24" customWidth="1"/>
  </cols>
  <sheetData>
    <row r="1" spans="1:27" x14ac:dyDescent="0.2">
      <c r="A1" s="277" t="s">
        <v>32</v>
      </c>
      <c r="B1" s="278"/>
      <c r="C1" s="281">
        <v>1</v>
      </c>
      <c r="E1" s="282" t="s">
        <v>65</v>
      </c>
      <c r="F1" s="280"/>
      <c r="G1" s="281">
        <v>1</v>
      </c>
      <c r="I1" s="282" t="s">
        <v>3</v>
      </c>
      <c r="J1" s="284"/>
      <c r="K1" s="281">
        <v>1</v>
      </c>
      <c r="M1" s="282" t="s">
        <v>27</v>
      </c>
      <c r="N1" s="280"/>
      <c r="O1" s="281">
        <v>1</v>
      </c>
      <c r="Q1" s="282" t="s">
        <v>15</v>
      </c>
      <c r="R1" s="284"/>
      <c r="S1" s="281">
        <v>1</v>
      </c>
    </row>
    <row r="2" spans="1:27" x14ac:dyDescent="0.2">
      <c r="A2" s="288">
        <v>1</v>
      </c>
      <c r="B2" s="289" t="s">
        <v>25</v>
      </c>
      <c r="C2" s="288">
        <f>IF(OR($C$1=1,$C$1=A2),1,0)</f>
        <v>1</v>
      </c>
      <c r="D2" s="287"/>
      <c r="E2" s="288">
        <v>1</v>
      </c>
      <c r="F2" s="290" t="s">
        <v>25</v>
      </c>
      <c r="G2" s="288">
        <f>IF(OR($G$1=1,$G$1=E2),1,0)</f>
        <v>1</v>
      </c>
      <c r="H2" s="287"/>
      <c r="I2" s="288">
        <v>1</v>
      </c>
      <c r="J2" s="290" t="s">
        <v>4</v>
      </c>
      <c r="K2" s="288">
        <f>IF(OR($K$1=1,$K$1=I2),1,0)</f>
        <v>1</v>
      </c>
      <c r="L2" s="287"/>
      <c r="M2" s="288">
        <v>1</v>
      </c>
      <c r="N2" s="289" t="s">
        <v>4</v>
      </c>
      <c r="O2" s="288">
        <f>IF(OR($O$1=1,$O$1=M2),1,0)</f>
        <v>1</v>
      </c>
      <c r="P2" s="287"/>
      <c r="Q2" s="288">
        <v>1</v>
      </c>
      <c r="R2" s="290" t="s">
        <v>4</v>
      </c>
      <c r="S2" s="288">
        <f>IF(OR($S$1=1,$S$1=Q2),1,0)</f>
        <v>1</v>
      </c>
    </row>
    <row r="3" spans="1:27" x14ac:dyDescent="0.2">
      <c r="A3" s="294"/>
      <c r="B3" s="293"/>
      <c r="C3" s="283"/>
      <c r="D3" s="295"/>
      <c r="E3" s="294"/>
      <c r="F3" s="295"/>
      <c r="G3" s="283"/>
      <c r="H3" s="295"/>
      <c r="I3" s="294"/>
      <c r="J3" s="293"/>
      <c r="K3" s="283"/>
      <c r="L3" s="295"/>
      <c r="M3" s="294"/>
      <c r="N3" s="295"/>
      <c r="O3" s="283"/>
      <c r="P3" s="295"/>
      <c r="Q3" s="294"/>
      <c r="R3" s="295"/>
      <c r="S3" s="283"/>
      <c r="V3" s="285"/>
      <c r="W3" s="285"/>
      <c r="X3" s="285"/>
      <c r="Y3" s="285"/>
      <c r="Z3" s="285"/>
      <c r="AA3" s="285"/>
    </row>
    <row r="4" spans="1:27" x14ac:dyDescent="0.2">
      <c r="A4" s="294"/>
      <c r="B4" s="293"/>
      <c r="C4" s="283"/>
      <c r="D4" s="295"/>
      <c r="E4" s="294"/>
      <c r="F4" s="295"/>
      <c r="G4" s="283"/>
      <c r="H4" s="295"/>
      <c r="I4" s="294"/>
      <c r="J4" s="293"/>
      <c r="K4" s="283"/>
      <c r="L4" s="295"/>
      <c r="M4" s="294"/>
      <c r="N4" s="295"/>
      <c r="O4" s="283"/>
      <c r="P4" s="295"/>
      <c r="Q4" s="294"/>
      <c r="R4" s="293"/>
      <c r="S4" s="283"/>
      <c r="V4" s="285"/>
      <c r="W4" s="285"/>
      <c r="X4" s="285"/>
      <c r="Y4" s="285"/>
      <c r="Z4" s="285"/>
      <c r="AA4" s="285"/>
    </row>
    <row r="5" spans="1:27" x14ac:dyDescent="0.2">
      <c r="A5" s="294"/>
      <c r="B5" s="293"/>
      <c r="C5" s="283"/>
      <c r="D5" s="295"/>
      <c r="E5" s="294"/>
      <c r="F5" s="295"/>
      <c r="G5" s="283"/>
      <c r="H5" s="295"/>
      <c r="I5" s="294"/>
      <c r="J5" s="293"/>
      <c r="K5" s="283"/>
      <c r="L5" s="295"/>
      <c r="M5" s="294"/>
      <c r="N5" s="295"/>
      <c r="O5" s="283"/>
      <c r="P5" s="295"/>
      <c r="Q5" s="294"/>
      <c r="R5" s="295"/>
      <c r="S5" s="283"/>
      <c r="V5" s="285"/>
      <c r="W5" s="285"/>
      <c r="X5" s="286"/>
      <c r="Y5" s="286"/>
      <c r="Z5" s="285"/>
      <c r="AA5" s="285"/>
    </row>
    <row r="6" spans="1:27" x14ac:dyDescent="0.2">
      <c r="A6" s="292"/>
      <c r="B6" s="293"/>
      <c r="C6" s="283"/>
      <c r="D6" s="295"/>
      <c r="E6" s="294"/>
      <c r="F6" s="295"/>
      <c r="G6" s="294"/>
      <c r="H6" s="295"/>
      <c r="I6" s="294"/>
      <c r="J6" s="293"/>
      <c r="K6" s="283"/>
      <c r="L6" s="295"/>
      <c r="M6" s="294"/>
      <c r="N6" s="295"/>
      <c r="O6" s="283"/>
      <c r="P6" s="295"/>
      <c r="Q6" s="294"/>
      <c r="R6" s="295"/>
      <c r="S6" s="283"/>
      <c r="V6" s="285"/>
      <c r="W6" s="285"/>
      <c r="X6" s="286"/>
      <c r="Y6" s="286"/>
      <c r="Z6" s="285"/>
      <c r="AA6" s="285"/>
    </row>
    <row r="7" spans="1:27" x14ac:dyDescent="0.2">
      <c r="A7" s="294"/>
      <c r="B7" s="295"/>
      <c r="C7" s="283"/>
      <c r="D7" s="295"/>
      <c r="E7" s="294"/>
      <c r="F7" s="295"/>
      <c r="G7" s="294"/>
      <c r="H7" s="295"/>
      <c r="I7" s="294"/>
      <c r="J7" s="295"/>
      <c r="K7" s="283"/>
      <c r="L7" s="295"/>
      <c r="M7" s="294"/>
      <c r="N7" s="295"/>
      <c r="O7" s="283"/>
      <c r="P7" s="295"/>
      <c r="Q7" s="294"/>
      <c r="R7" s="295"/>
      <c r="S7" s="283"/>
      <c r="V7" s="285"/>
      <c r="W7" s="285"/>
      <c r="X7" s="286"/>
      <c r="Y7" s="286"/>
      <c r="Z7" s="285"/>
      <c r="AA7" s="285"/>
    </row>
    <row r="8" spans="1:27" x14ac:dyDescent="0.2">
      <c r="A8" s="294"/>
      <c r="B8" s="295"/>
      <c r="C8" s="294"/>
      <c r="D8" s="295"/>
      <c r="E8" s="294"/>
      <c r="F8" s="295"/>
      <c r="G8" s="294"/>
      <c r="H8" s="295"/>
      <c r="I8" s="294"/>
      <c r="J8" s="295"/>
      <c r="K8" s="283"/>
      <c r="L8" s="295"/>
      <c r="M8" s="294"/>
      <c r="N8" s="295"/>
      <c r="O8" s="283"/>
      <c r="P8" s="295"/>
      <c r="Q8" s="294"/>
      <c r="R8" s="295"/>
      <c r="S8" s="283"/>
      <c r="V8" s="285"/>
      <c r="W8" s="285"/>
      <c r="X8" s="285"/>
      <c r="Y8" s="286"/>
      <c r="Z8" s="285"/>
      <c r="AA8" s="285"/>
    </row>
    <row r="9" spans="1:27" x14ac:dyDescent="0.2">
      <c r="A9" s="294"/>
      <c r="B9" s="295"/>
      <c r="C9" s="294"/>
      <c r="D9" s="295"/>
      <c r="E9" s="294"/>
      <c r="F9" s="295"/>
      <c r="G9" s="294"/>
      <c r="H9" s="295"/>
      <c r="I9" s="294"/>
      <c r="J9" s="295"/>
      <c r="K9" s="283"/>
      <c r="L9" s="295"/>
      <c r="M9" s="294"/>
      <c r="N9" s="295"/>
      <c r="O9" s="283"/>
      <c r="P9" s="295"/>
      <c r="Q9" s="294"/>
      <c r="R9" s="295"/>
      <c r="S9" s="283"/>
      <c r="V9" s="285"/>
      <c r="W9" s="285"/>
      <c r="X9" s="285"/>
      <c r="Y9" s="286"/>
      <c r="Z9" s="285"/>
      <c r="AA9" s="285"/>
    </row>
    <row r="10" spans="1:27" x14ac:dyDescent="0.2">
      <c r="A10" s="294"/>
      <c r="B10" s="295"/>
      <c r="C10" s="294"/>
      <c r="D10" s="295"/>
      <c r="E10" s="294"/>
      <c r="F10" s="295"/>
      <c r="G10" s="294"/>
      <c r="H10" s="295"/>
      <c r="I10" s="294"/>
      <c r="J10" s="295"/>
      <c r="K10" s="283"/>
      <c r="L10" s="295"/>
      <c r="M10" s="294"/>
      <c r="N10" s="295"/>
      <c r="O10" s="283"/>
      <c r="P10" s="295"/>
      <c r="Q10" s="294"/>
      <c r="R10" s="295"/>
      <c r="S10" s="283"/>
      <c r="V10" s="285"/>
      <c r="W10" s="285"/>
      <c r="X10" s="285"/>
      <c r="Y10" s="285"/>
      <c r="Z10" s="285"/>
      <c r="AA10" s="285"/>
    </row>
    <row r="11" spans="1:27" x14ac:dyDescent="0.2">
      <c r="A11" s="294"/>
      <c r="B11" s="295"/>
      <c r="C11" s="294"/>
      <c r="D11" s="295"/>
      <c r="E11" s="294"/>
      <c r="F11" s="295"/>
      <c r="G11" s="294"/>
      <c r="H11" s="295"/>
      <c r="I11" s="294"/>
      <c r="J11" s="295"/>
      <c r="K11" s="283"/>
      <c r="L11" s="295"/>
      <c r="M11" s="294"/>
      <c r="N11" s="295"/>
      <c r="O11" s="283"/>
      <c r="P11" s="295"/>
      <c r="Q11" s="294"/>
      <c r="R11" s="295"/>
      <c r="S11" s="283"/>
      <c r="V11" s="285"/>
      <c r="W11" s="285"/>
      <c r="X11" s="285"/>
      <c r="Y11" s="285"/>
      <c r="Z11" s="285"/>
      <c r="AA11" s="285"/>
    </row>
    <row r="12" spans="1:27" x14ac:dyDescent="0.2">
      <c r="A12" s="294"/>
      <c r="B12" s="295"/>
      <c r="C12" s="294"/>
      <c r="D12" s="295"/>
      <c r="E12" s="294"/>
      <c r="F12" s="295"/>
      <c r="G12" s="294"/>
      <c r="H12" s="295"/>
      <c r="I12" s="294"/>
      <c r="J12" s="295"/>
      <c r="K12" s="283"/>
      <c r="L12" s="295"/>
      <c r="M12" s="294"/>
      <c r="N12" s="295"/>
      <c r="O12" s="283"/>
      <c r="P12" s="295"/>
      <c r="Q12" s="294"/>
      <c r="R12" s="295"/>
      <c r="S12" s="283"/>
      <c r="V12" s="285"/>
      <c r="W12" s="285"/>
      <c r="X12" s="285"/>
      <c r="Y12" s="285"/>
      <c r="Z12" s="285"/>
      <c r="AA12" s="285"/>
    </row>
    <row r="13" spans="1:27" x14ac:dyDescent="0.2">
      <c r="A13" s="294"/>
      <c r="B13" s="295"/>
      <c r="C13" s="294"/>
      <c r="D13" s="295"/>
      <c r="E13" s="294"/>
      <c r="F13" s="295"/>
      <c r="G13" s="294"/>
      <c r="H13" s="295"/>
      <c r="I13" s="294"/>
      <c r="J13" s="295"/>
      <c r="K13" s="294"/>
      <c r="L13" s="295"/>
      <c r="M13" s="294"/>
      <c r="N13" s="295"/>
      <c r="O13" s="283"/>
      <c r="P13" s="295"/>
      <c r="Q13" s="294"/>
      <c r="R13" s="295"/>
      <c r="S13" s="283"/>
      <c r="V13" s="285"/>
      <c r="W13" s="285"/>
      <c r="X13" s="285"/>
      <c r="Y13" s="286"/>
      <c r="Z13" s="285"/>
      <c r="AA13" s="285"/>
    </row>
    <row r="14" spans="1:27" x14ac:dyDescent="0.2">
      <c r="A14" s="294"/>
      <c r="B14" s="295"/>
      <c r="C14" s="294"/>
      <c r="D14" s="295"/>
      <c r="E14" s="294"/>
      <c r="F14" s="295"/>
      <c r="G14" s="294"/>
      <c r="H14" s="295"/>
      <c r="I14" s="294"/>
      <c r="J14" s="295"/>
      <c r="K14" s="294"/>
      <c r="L14" s="295"/>
      <c r="M14" s="294"/>
      <c r="N14" s="295"/>
      <c r="O14" s="283"/>
      <c r="P14" s="295"/>
      <c r="Q14" s="294"/>
      <c r="R14" s="295"/>
      <c r="S14" s="283"/>
      <c r="V14" s="285"/>
      <c r="W14" s="285"/>
      <c r="X14" s="285"/>
      <c r="Y14" s="286"/>
      <c r="Z14" s="285"/>
      <c r="AA14" s="285"/>
    </row>
    <row r="15" spans="1:27" x14ac:dyDescent="0.2">
      <c r="A15" s="294"/>
      <c r="B15" s="295"/>
      <c r="C15" s="294"/>
      <c r="D15" s="295"/>
      <c r="E15" s="294"/>
      <c r="F15" s="295"/>
      <c r="G15" s="294"/>
      <c r="H15" s="295"/>
      <c r="I15" s="294"/>
      <c r="J15" s="295"/>
      <c r="K15" s="294"/>
      <c r="L15" s="295"/>
      <c r="M15" s="294"/>
      <c r="N15" s="295"/>
      <c r="O15" s="283"/>
      <c r="P15" s="295"/>
      <c r="Q15" s="294"/>
      <c r="R15" s="295"/>
      <c r="S15" s="283"/>
      <c r="V15" s="285"/>
      <c r="W15" s="285"/>
      <c r="X15" s="285"/>
      <c r="Y15" s="286"/>
      <c r="Z15" s="285"/>
      <c r="AA15" s="285"/>
    </row>
    <row r="16" spans="1:27" x14ac:dyDescent="0.2">
      <c r="A16" s="294"/>
      <c r="B16" s="295"/>
      <c r="C16" s="294"/>
      <c r="D16" s="295"/>
      <c r="E16" s="294"/>
      <c r="F16" s="295"/>
      <c r="G16" s="294"/>
      <c r="H16" s="295"/>
      <c r="I16" s="294"/>
      <c r="J16" s="295"/>
      <c r="K16" s="294"/>
      <c r="L16" s="295"/>
      <c r="M16" s="294"/>
      <c r="N16" s="295"/>
      <c r="O16" s="283"/>
      <c r="P16" s="295"/>
      <c r="Q16" s="294"/>
      <c r="R16" s="295"/>
      <c r="S16" s="283"/>
      <c r="V16" s="285"/>
      <c r="W16" s="285"/>
      <c r="X16" s="285"/>
      <c r="Y16" s="286"/>
      <c r="Z16" s="285"/>
      <c r="AA16" s="285"/>
    </row>
    <row r="17" spans="1:27" x14ac:dyDescent="0.2">
      <c r="A17" s="294"/>
      <c r="B17" s="295"/>
      <c r="C17" s="294"/>
      <c r="D17" s="295"/>
      <c r="E17" s="294"/>
      <c r="F17" s="295"/>
      <c r="G17" s="294"/>
      <c r="H17" s="295"/>
      <c r="I17" s="294"/>
      <c r="J17" s="295"/>
      <c r="K17" s="294"/>
      <c r="L17" s="295"/>
      <c r="M17" s="294"/>
      <c r="N17" s="295"/>
      <c r="O17" s="283"/>
      <c r="P17" s="295"/>
      <c r="Q17" s="294"/>
      <c r="R17" s="295"/>
      <c r="S17" s="283"/>
      <c r="V17" s="285"/>
      <c r="W17" s="285"/>
      <c r="X17" s="285"/>
      <c r="Y17" s="286"/>
      <c r="Z17" s="285"/>
      <c r="AA17" s="285"/>
    </row>
    <row r="18" spans="1:27" x14ac:dyDescent="0.2">
      <c r="A18" s="294"/>
      <c r="B18" s="295"/>
      <c r="C18" s="294"/>
      <c r="D18" s="295"/>
      <c r="E18" s="294"/>
      <c r="F18" s="295"/>
      <c r="G18" s="294"/>
      <c r="H18" s="295"/>
      <c r="I18" s="294"/>
      <c r="J18" s="295"/>
      <c r="K18" s="294"/>
      <c r="L18" s="295"/>
      <c r="M18" s="294"/>
      <c r="N18" s="295"/>
      <c r="O18" s="283"/>
      <c r="P18" s="295"/>
      <c r="Q18" s="294"/>
      <c r="R18" s="295"/>
      <c r="S18" s="283"/>
      <c r="V18" s="285"/>
      <c r="W18" s="285"/>
      <c r="X18" s="285"/>
      <c r="Y18" s="286"/>
      <c r="Z18" s="285"/>
      <c r="AA18" s="285"/>
    </row>
    <row r="19" spans="1:27" x14ac:dyDescent="0.2">
      <c r="A19" s="294"/>
      <c r="B19" s="295"/>
      <c r="C19" s="294"/>
      <c r="D19" s="295"/>
      <c r="E19" s="294"/>
      <c r="F19" s="295"/>
      <c r="G19" s="294"/>
      <c r="H19" s="295"/>
      <c r="I19" s="294"/>
      <c r="J19" s="295"/>
      <c r="K19" s="294"/>
      <c r="L19" s="295"/>
      <c r="M19" s="294"/>
      <c r="N19" s="295"/>
      <c r="O19" s="283"/>
      <c r="P19" s="295"/>
      <c r="Q19" s="294"/>
      <c r="R19" s="295"/>
      <c r="S19" s="283"/>
      <c r="V19" s="285"/>
      <c r="W19" s="285"/>
      <c r="X19" s="285"/>
      <c r="Y19" s="286"/>
      <c r="Z19" s="285"/>
      <c r="AA19" s="285"/>
    </row>
    <row r="20" spans="1:27" x14ac:dyDescent="0.2">
      <c r="A20" s="294"/>
      <c r="B20" s="295"/>
      <c r="C20" s="294"/>
      <c r="D20" s="295"/>
      <c r="E20" s="294"/>
      <c r="F20" s="295"/>
      <c r="G20" s="294"/>
      <c r="H20" s="295"/>
      <c r="I20" s="294"/>
      <c r="J20" s="295"/>
      <c r="K20" s="294"/>
      <c r="L20" s="295"/>
      <c r="M20" s="294"/>
      <c r="N20" s="295"/>
      <c r="O20" s="283"/>
      <c r="P20" s="295"/>
      <c r="Q20" s="294"/>
      <c r="R20" s="295"/>
      <c r="S20" s="283"/>
      <c r="V20" s="285"/>
      <c r="W20" s="285"/>
      <c r="X20" s="285"/>
      <c r="Y20" s="286"/>
      <c r="Z20" s="285"/>
      <c r="AA20" s="285"/>
    </row>
    <row r="21" spans="1:27" x14ac:dyDescent="0.2">
      <c r="A21" s="294"/>
      <c r="B21" s="295"/>
      <c r="C21" s="294"/>
      <c r="D21" s="295"/>
      <c r="E21" s="294"/>
      <c r="F21" s="295"/>
      <c r="G21" s="294"/>
      <c r="H21" s="295"/>
      <c r="I21" s="294"/>
      <c r="J21" s="295"/>
      <c r="K21" s="294"/>
      <c r="L21" s="295"/>
      <c r="M21" s="294"/>
      <c r="N21" s="295"/>
      <c r="O21" s="283"/>
      <c r="P21" s="295"/>
      <c r="Q21" s="294"/>
      <c r="R21" s="295"/>
      <c r="S21" s="283"/>
      <c r="V21" s="285"/>
      <c r="W21" s="285"/>
      <c r="X21" s="285"/>
      <c r="Y21" s="286"/>
      <c r="Z21" s="285"/>
      <c r="AA21" s="285"/>
    </row>
    <row r="22" spans="1:27" x14ac:dyDescent="0.2">
      <c r="A22" s="294"/>
      <c r="B22" s="295"/>
      <c r="C22" s="294"/>
      <c r="D22" s="295"/>
      <c r="E22" s="294"/>
      <c r="F22" s="295"/>
      <c r="G22" s="294"/>
      <c r="H22" s="295"/>
      <c r="I22" s="294"/>
      <c r="J22" s="295"/>
      <c r="K22" s="294"/>
      <c r="L22" s="295"/>
      <c r="M22" s="294"/>
      <c r="N22" s="295"/>
      <c r="O22" s="294"/>
      <c r="P22" s="295"/>
      <c r="Q22" s="294"/>
      <c r="R22" s="295"/>
      <c r="S22" s="283"/>
      <c r="V22" s="285"/>
      <c r="W22" s="285"/>
      <c r="X22" s="285"/>
      <c r="Y22" s="286"/>
      <c r="Z22" s="285"/>
      <c r="AA22" s="285"/>
    </row>
    <row r="23" spans="1:27" x14ac:dyDescent="0.2">
      <c r="A23" s="294"/>
      <c r="B23" s="295"/>
      <c r="C23" s="294"/>
      <c r="D23" s="295"/>
      <c r="E23" s="294"/>
      <c r="F23" s="295"/>
      <c r="G23" s="294"/>
      <c r="H23" s="295"/>
      <c r="I23" s="294"/>
      <c r="J23" s="295"/>
      <c r="K23" s="294"/>
      <c r="L23" s="295"/>
      <c r="M23" s="294"/>
      <c r="N23" s="295"/>
      <c r="O23" s="294"/>
      <c r="P23" s="295"/>
      <c r="Q23" s="294"/>
      <c r="R23" s="295"/>
      <c r="S23" s="283"/>
      <c r="V23" s="285"/>
      <c r="W23" s="285"/>
      <c r="X23" s="285"/>
      <c r="Y23" s="286"/>
      <c r="Z23" s="285"/>
      <c r="AA23" s="285"/>
    </row>
    <row r="24" spans="1:27" x14ac:dyDescent="0.2">
      <c r="A24" s="294"/>
      <c r="B24" s="295"/>
      <c r="C24" s="294"/>
      <c r="D24" s="295"/>
      <c r="E24" s="294"/>
      <c r="F24" s="295"/>
      <c r="G24" s="294"/>
      <c r="H24" s="295"/>
      <c r="I24" s="294"/>
      <c r="J24" s="295"/>
      <c r="K24" s="294"/>
      <c r="L24" s="295"/>
      <c r="M24" s="294"/>
      <c r="N24" s="295"/>
      <c r="O24" s="294"/>
      <c r="P24" s="295"/>
      <c r="Q24" s="294"/>
      <c r="R24" s="295"/>
      <c r="S24" s="283"/>
      <c r="V24" s="285"/>
      <c r="W24" s="285"/>
      <c r="X24" s="285"/>
      <c r="Y24" s="286"/>
      <c r="Z24" s="285"/>
      <c r="AA24" s="285"/>
    </row>
    <row r="25" spans="1:27" x14ac:dyDescent="0.2">
      <c r="A25" s="294"/>
      <c r="B25" s="295"/>
      <c r="C25" s="294"/>
      <c r="D25" s="295"/>
      <c r="E25" s="294"/>
      <c r="F25" s="295"/>
      <c r="G25" s="294"/>
      <c r="H25" s="295"/>
      <c r="I25" s="294"/>
      <c r="J25" s="295"/>
      <c r="K25" s="294"/>
      <c r="L25" s="295"/>
      <c r="M25" s="294"/>
      <c r="N25" s="295"/>
      <c r="O25" s="294"/>
      <c r="P25" s="295"/>
      <c r="Q25" s="294"/>
      <c r="R25" s="295"/>
      <c r="S25" s="283"/>
      <c r="V25" s="285"/>
      <c r="W25" s="285"/>
      <c r="X25" s="285"/>
      <c r="Y25" s="286"/>
      <c r="Z25" s="285"/>
      <c r="AA25" s="285"/>
    </row>
    <row r="26" spans="1:27" x14ac:dyDescent="0.2">
      <c r="A26" s="294"/>
      <c r="B26" s="295"/>
      <c r="C26" s="294"/>
      <c r="D26" s="295"/>
      <c r="E26" s="294"/>
      <c r="F26" s="295"/>
      <c r="G26" s="294"/>
      <c r="H26" s="295"/>
      <c r="I26" s="294"/>
      <c r="J26" s="295"/>
      <c r="K26" s="294"/>
      <c r="L26" s="295"/>
      <c r="M26" s="294"/>
      <c r="N26" s="295"/>
      <c r="O26" s="294"/>
      <c r="P26" s="295"/>
      <c r="Q26" s="294"/>
      <c r="R26" s="295"/>
      <c r="S26" s="283"/>
      <c r="V26" s="285"/>
      <c r="W26" s="285"/>
      <c r="X26" s="285"/>
      <c r="Y26" s="286"/>
      <c r="Z26" s="285"/>
      <c r="AA26" s="285"/>
    </row>
    <row r="27" spans="1:27" x14ac:dyDescent="0.2">
      <c r="A27" s="294"/>
      <c r="B27" s="295"/>
      <c r="C27" s="294"/>
      <c r="D27" s="295"/>
      <c r="E27" s="294"/>
      <c r="F27" s="295"/>
      <c r="G27" s="294"/>
      <c r="H27" s="295"/>
      <c r="I27" s="294"/>
      <c r="J27" s="295"/>
      <c r="K27" s="294"/>
      <c r="L27" s="295"/>
      <c r="M27" s="294"/>
      <c r="N27" s="295"/>
      <c r="O27" s="294"/>
      <c r="P27" s="295"/>
      <c r="Q27" s="294"/>
      <c r="R27" s="295"/>
      <c r="S27" s="283"/>
      <c r="V27" s="285"/>
      <c r="W27" s="285"/>
      <c r="X27" s="285"/>
      <c r="Y27" s="286"/>
      <c r="Z27" s="285"/>
      <c r="AA27" s="285"/>
    </row>
    <row r="28" spans="1:27" x14ac:dyDescent="0.2">
      <c r="A28" s="294"/>
      <c r="B28" s="295"/>
      <c r="C28" s="294"/>
      <c r="D28" s="295"/>
      <c r="E28" s="294"/>
      <c r="F28" s="295"/>
      <c r="G28" s="294"/>
      <c r="H28" s="295"/>
      <c r="I28" s="294"/>
      <c r="J28" s="295"/>
      <c r="K28" s="294"/>
      <c r="L28" s="295"/>
      <c r="M28" s="294"/>
      <c r="N28" s="295"/>
      <c r="O28" s="294"/>
      <c r="P28" s="295"/>
      <c r="Q28" s="294"/>
      <c r="R28" s="295"/>
      <c r="S28" s="283"/>
      <c r="V28" s="285"/>
      <c r="W28" s="285"/>
      <c r="X28" s="285"/>
      <c r="Y28" s="286"/>
      <c r="Z28" s="285"/>
      <c r="AA28" s="285"/>
    </row>
    <row r="29" spans="1:27" x14ac:dyDescent="0.2">
      <c r="A29" s="294"/>
      <c r="B29" s="295"/>
      <c r="C29" s="294"/>
      <c r="D29" s="295"/>
      <c r="E29" s="294"/>
      <c r="F29" s="295"/>
      <c r="G29" s="294"/>
      <c r="H29" s="295"/>
      <c r="I29" s="294"/>
      <c r="J29" s="295"/>
      <c r="K29" s="294"/>
      <c r="L29" s="295"/>
      <c r="M29" s="294"/>
      <c r="N29" s="295"/>
      <c r="O29" s="294"/>
      <c r="P29" s="295"/>
      <c r="Q29" s="294"/>
      <c r="R29" s="293"/>
      <c r="S29" s="283"/>
      <c r="V29" s="285"/>
      <c r="W29" s="285"/>
      <c r="X29" s="285"/>
      <c r="Y29" s="286"/>
      <c r="Z29" s="285"/>
      <c r="AA29" s="285"/>
    </row>
    <row r="30" spans="1:27" x14ac:dyDescent="0.2">
      <c r="A30" s="283"/>
      <c r="B30" s="287"/>
      <c r="C30" s="283"/>
      <c r="D30" s="287"/>
      <c r="E30" s="283"/>
      <c r="F30" s="287"/>
      <c r="G30" s="283"/>
      <c r="H30" s="287"/>
      <c r="I30" s="283"/>
      <c r="J30" s="287"/>
      <c r="K30" s="283"/>
      <c r="L30" s="287"/>
      <c r="M30" s="283"/>
      <c r="N30" s="287"/>
      <c r="O30" s="283"/>
      <c r="P30" s="287"/>
      <c r="Q30" s="283"/>
      <c r="R30" s="287"/>
      <c r="S30" s="283"/>
      <c r="V30" s="285"/>
      <c r="W30" s="285"/>
      <c r="X30" s="285"/>
      <c r="Y30" s="285"/>
      <c r="Z30" s="285"/>
      <c r="AA30" s="285"/>
    </row>
    <row r="31" spans="1:27" x14ac:dyDescent="0.2">
      <c r="A31" s="279"/>
      <c r="E31" s="279"/>
      <c r="I31" s="279"/>
      <c r="Q31" s="279"/>
      <c r="V31" s="285"/>
      <c r="W31" s="285"/>
      <c r="X31" s="285"/>
      <c r="Y31" s="285"/>
      <c r="Z31" s="285"/>
      <c r="AA31" s="285"/>
    </row>
    <row r="32" spans="1:27" x14ac:dyDescent="0.2">
      <c r="A32" s="279"/>
      <c r="E32" s="279"/>
      <c r="I32" s="279"/>
      <c r="Q32" s="279"/>
      <c r="V32" s="285"/>
      <c r="W32" s="285"/>
      <c r="X32" s="285"/>
      <c r="Y32" s="286"/>
      <c r="Z32" s="285"/>
      <c r="AA32" s="285"/>
    </row>
    <row r="33" spans="17:27" x14ac:dyDescent="0.2">
      <c r="Q33" s="279"/>
      <c r="V33" s="285"/>
      <c r="W33" s="285"/>
      <c r="X33" s="285"/>
      <c r="Y33" s="286"/>
      <c r="Z33" s="285"/>
      <c r="AA33" s="285"/>
    </row>
    <row r="34" spans="17:27" x14ac:dyDescent="0.2">
      <c r="Q34" s="279"/>
      <c r="V34" s="285"/>
      <c r="W34" s="285"/>
      <c r="X34" s="285"/>
      <c r="Y34" s="286"/>
      <c r="Z34" s="285"/>
      <c r="AA34" s="285"/>
    </row>
    <row r="35" spans="17:27" x14ac:dyDescent="0.2">
      <c r="Q35" s="279"/>
      <c r="V35" s="285"/>
      <c r="W35" s="285"/>
      <c r="X35" s="285"/>
      <c r="Y35" s="286"/>
      <c r="Z35" s="285"/>
      <c r="AA35" s="285"/>
    </row>
    <row r="36" spans="17:27" x14ac:dyDescent="0.2">
      <c r="Q36" s="279"/>
      <c r="V36" s="285"/>
      <c r="W36" s="285"/>
      <c r="X36" s="285"/>
      <c r="Y36" s="286"/>
      <c r="Z36" s="285"/>
      <c r="AA36" s="285"/>
    </row>
    <row r="37" spans="17:27" x14ac:dyDescent="0.2">
      <c r="Q37" s="279"/>
      <c r="R37" s="240"/>
      <c r="V37" s="285"/>
      <c r="W37" s="285"/>
      <c r="X37" s="285"/>
      <c r="Y37" s="286"/>
      <c r="Z37" s="285"/>
      <c r="AA37" s="285"/>
    </row>
    <row r="38" spans="17:27" x14ac:dyDescent="0.2">
      <c r="Q38" s="279"/>
      <c r="V38" s="285"/>
      <c r="W38" s="285"/>
      <c r="X38" s="285"/>
      <c r="Y38" s="286"/>
      <c r="Z38" s="285"/>
      <c r="AA38" s="285"/>
    </row>
    <row r="39" spans="17:27" x14ac:dyDescent="0.2">
      <c r="Q39" s="279"/>
      <c r="V39" s="285"/>
      <c r="W39" s="285"/>
      <c r="X39" s="285"/>
      <c r="Y39" s="286"/>
      <c r="Z39" s="285"/>
      <c r="AA39" s="285"/>
    </row>
    <row r="40" spans="17:27" x14ac:dyDescent="0.2">
      <c r="Q40" s="279"/>
      <c r="V40" s="285"/>
      <c r="W40" s="285"/>
      <c r="X40" s="285"/>
      <c r="Y40" s="286"/>
      <c r="Z40" s="285"/>
      <c r="AA40" s="285"/>
    </row>
    <row r="41" spans="17:27" x14ac:dyDescent="0.2">
      <c r="Q41" s="279"/>
      <c r="V41" s="285"/>
      <c r="W41" s="285"/>
      <c r="X41" s="285"/>
      <c r="Y41" s="286"/>
      <c r="Z41" s="285"/>
      <c r="AA41" s="285"/>
    </row>
    <row r="42" spans="17:27" x14ac:dyDescent="0.2">
      <c r="Q42" s="279"/>
      <c r="V42" s="285"/>
      <c r="W42" s="285"/>
      <c r="X42" s="285"/>
      <c r="Y42" s="286"/>
      <c r="Z42" s="285"/>
      <c r="AA42" s="285"/>
    </row>
    <row r="43" spans="17:27" x14ac:dyDescent="0.2">
      <c r="Q43" s="279"/>
      <c r="V43" s="285"/>
      <c r="W43" s="285"/>
      <c r="X43" s="285"/>
      <c r="Y43" s="286"/>
      <c r="Z43" s="285"/>
      <c r="AA43" s="285"/>
    </row>
    <row r="44" spans="17:27" x14ac:dyDescent="0.2">
      <c r="Q44" s="279"/>
      <c r="V44" s="285"/>
      <c r="W44" s="285"/>
      <c r="X44" s="285"/>
      <c r="Y44" s="286"/>
      <c r="Z44" s="285"/>
      <c r="AA44" s="285"/>
    </row>
    <row r="45" spans="17:27" x14ac:dyDescent="0.2">
      <c r="Q45" s="279"/>
      <c r="V45" s="285"/>
      <c r="W45" s="285"/>
      <c r="X45" s="285"/>
      <c r="Y45" s="286"/>
      <c r="Z45" s="285"/>
      <c r="AA45" s="285"/>
    </row>
    <row r="46" spans="17:27" x14ac:dyDescent="0.2">
      <c r="Q46" s="279"/>
      <c r="V46" s="285"/>
      <c r="W46" s="285"/>
      <c r="X46" s="285"/>
      <c r="Y46" s="286"/>
      <c r="Z46" s="285"/>
      <c r="AA46" s="285"/>
    </row>
    <row r="47" spans="17:27" x14ac:dyDescent="0.2">
      <c r="Q47" s="279"/>
      <c r="V47" s="285"/>
      <c r="W47" s="285"/>
      <c r="X47" s="285"/>
      <c r="Y47" s="286"/>
      <c r="Z47" s="285"/>
      <c r="AA47" s="285"/>
    </row>
    <row r="48" spans="17:27" x14ac:dyDescent="0.2">
      <c r="Q48" s="279"/>
      <c r="V48" s="285"/>
      <c r="W48" s="285"/>
      <c r="X48" s="285"/>
      <c r="Y48" s="286"/>
      <c r="Z48" s="285"/>
      <c r="AA48" s="285"/>
    </row>
    <row r="49" spans="17:27" x14ac:dyDescent="0.2">
      <c r="Q49" s="279"/>
      <c r="V49" s="285"/>
      <c r="W49" s="285"/>
      <c r="X49" s="285"/>
      <c r="Y49" s="286"/>
      <c r="Z49" s="285"/>
      <c r="AA49" s="285"/>
    </row>
    <row r="50" spans="17:27" x14ac:dyDescent="0.2">
      <c r="Q50" s="279"/>
      <c r="V50" s="285"/>
      <c r="W50" s="285"/>
      <c r="X50" s="285"/>
      <c r="Y50" s="286"/>
      <c r="Z50" s="285"/>
      <c r="AA50" s="285"/>
    </row>
    <row r="51" spans="17:27" x14ac:dyDescent="0.2">
      <c r="Q51" s="279"/>
      <c r="V51" s="285"/>
      <c r="W51" s="285"/>
      <c r="X51" s="285"/>
      <c r="Y51" s="286"/>
      <c r="Z51" s="285"/>
      <c r="AA51" s="285"/>
    </row>
    <row r="52" spans="17:27" x14ac:dyDescent="0.2">
      <c r="Q52" s="279"/>
      <c r="V52" s="285"/>
      <c r="W52" s="285"/>
      <c r="X52" s="285"/>
      <c r="Y52" s="286"/>
      <c r="Z52" s="285"/>
      <c r="AA52" s="285"/>
    </row>
    <row r="53" spans="17:27" x14ac:dyDescent="0.2">
      <c r="Q53" s="279"/>
      <c r="V53" s="285"/>
      <c r="W53" s="285"/>
      <c r="X53" s="285"/>
      <c r="Y53" s="286"/>
      <c r="Z53" s="285"/>
      <c r="AA53" s="285"/>
    </row>
    <row r="54" spans="17:27" x14ac:dyDescent="0.2">
      <c r="Q54" s="279"/>
      <c r="V54" s="285"/>
      <c r="W54" s="285"/>
      <c r="X54" s="285"/>
      <c r="Y54" s="286"/>
      <c r="Z54" s="285"/>
      <c r="AA54" s="285"/>
    </row>
    <row r="55" spans="17:27" x14ac:dyDescent="0.2">
      <c r="Q55" s="279"/>
      <c r="V55" s="285"/>
      <c r="W55" s="285"/>
      <c r="X55" s="285"/>
      <c r="Y55" s="286"/>
      <c r="Z55" s="285"/>
      <c r="AA55" s="285"/>
    </row>
    <row r="56" spans="17:27" x14ac:dyDescent="0.2">
      <c r="Q56" s="279"/>
      <c r="V56" s="285"/>
      <c r="W56" s="285"/>
      <c r="X56" s="285"/>
      <c r="Y56" s="286"/>
      <c r="Z56" s="285"/>
      <c r="AA56" s="285"/>
    </row>
    <row r="57" spans="17:27" x14ac:dyDescent="0.2">
      <c r="Q57" s="279"/>
      <c r="V57" s="285"/>
      <c r="W57" s="285"/>
      <c r="X57" s="285"/>
      <c r="Y57" s="286"/>
      <c r="Z57" s="285"/>
      <c r="AA57" s="285"/>
    </row>
    <row r="58" spans="17:27" x14ac:dyDescent="0.2">
      <c r="Q58" s="279"/>
      <c r="V58" s="285"/>
      <c r="W58" s="285"/>
      <c r="X58" s="285"/>
      <c r="Y58" s="286"/>
      <c r="Z58" s="285"/>
      <c r="AA58" s="285"/>
    </row>
    <row r="59" spans="17:27" x14ac:dyDescent="0.2">
      <c r="Q59" s="279"/>
      <c r="V59" s="285"/>
      <c r="W59" s="285"/>
      <c r="X59" s="285"/>
      <c r="Y59" s="285"/>
      <c r="Z59" s="285"/>
      <c r="AA59" s="285"/>
    </row>
    <row r="60" spans="17:27" x14ac:dyDescent="0.2">
      <c r="Q60" s="279"/>
      <c r="V60" s="285"/>
      <c r="W60" s="285"/>
      <c r="X60" s="285"/>
      <c r="Y60" s="285"/>
      <c r="Z60" s="285"/>
      <c r="AA60" s="285"/>
    </row>
    <row r="61" spans="17:27" x14ac:dyDescent="0.2">
      <c r="Q61" s="279"/>
      <c r="V61" s="285"/>
      <c r="W61" s="285"/>
      <c r="X61" s="285"/>
      <c r="Y61" s="285"/>
      <c r="Z61" s="285"/>
      <c r="AA61" s="285"/>
    </row>
    <row r="62" spans="17:27" x14ac:dyDescent="0.2">
      <c r="Q62" s="279"/>
      <c r="V62" s="285"/>
      <c r="W62" s="285"/>
      <c r="X62" s="285"/>
      <c r="Y62" s="285"/>
      <c r="Z62" s="285"/>
      <c r="AA62" s="285"/>
    </row>
    <row r="63" spans="17:27" x14ac:dyDescent="0.2">
      <c r="Q63" s="279"/>
      <c r="V63" s="285"/>
      <c r="W63" s="285"/>
      <c r="X63" s="285"/>
      <c r="Y63" s="286"/>
      <c r="Z63" s="285"/>
      <c r="AA63" s="285"/>
    </row>
    <row r="64" spans="17:27" x14ac:dyDescent="0.2">
      <c r="Q64" s="279"/>
      <c r="V64" s="285"/>
      <c r="W64" s="285"/>
      <c r="X64" s="285"/>
      <c r="Y64" s="286"/>
      <c r="Z64" s="285"/>
      <c r="AA64" s="285"/>
    </row>
    <row r="65" spans="17:27" x14ac:dyDescent="0.2">
      <c r="Q65" s="279"/>
      <c r="V65" s="285"/>
      <c r="W65" s="285"/>
      <c r="X65" s="285"/>
      <c r="Y65" s="286"/>
      <c r="Z65" s="285"/>
      <c r="AA65" s="285"/>
    </row>
    <row r="66" spans="17:27" x14ac:dyDescent="0.2">
      <c r="Q66" s="279"/>
      <c r="V66" s="285"/>
      <c r="W66" s="285"/>
      <c r="X66" s="285"/>
      <c r="Y66" s="286"/>
      <c r="Z66" s="285"/>
      <c r="AA66" s="285"/>
    </row>
    <row r="67" spans="17:27" x14ac:dyDescent="0.2">
      <c r="Q67" s="279"/>
      <c r="V67" s="285"/>
      <c r="W67" s="285"/>
      <c r="X67" s="285"/>
      <c r="Y67" s="286"/>
      <c r="Z67" s="285"/>
      <c r="AA67" s="285"/>
    </row>
    <row r="68" spans="17:27" x14ac:dyDescent="0.2">
      <c r="Q68" s="279"/>
      <c r="V68" s="285"/>
      <c r="W68" s="285"/>
      <c r="X68" s="285"/>
      <c r="Y68" s="286"/>
      <c r="Z68" s="285"/>
      <c r="AA68" s="285"/>
    </row>
    <row r="69" spans="17:27" x14ac:dyDescent="0.2">
      <c r="Q69" s="279"/>
      <c r="V69" s="285"/>
      <c r="W69" s="285"/>
      <c r="X69" s="285"/>
      <c r="Y69" s="286"/>
      <c r="Z69" s="285"/>
      <c r="AA69" s="285"/>
    </row>
    <row r="70" spans="17:27" x14ac:dyDescent="0.2">
      <c r="Q70" s="279"/>
      <c r="V70" s="285"/>
      <c r="W70" s="285"/>
      <c r="X70" s="285"/>
      <c r="Y70" s="286"/>
      <c r="Z70" s="285"/>
      <c r="AA70" s="285"/>
    </row>
    <row r="71" spans="17:27" x14ac:dyDescent="0.2">
      <c r="Q71" s="279"/>
      <c r="V71" s="285"/>
      <c r="W71" s="285"/>
      <c r="X71" s="285"/>
      <c r="Y71" s="286"/>
      <c r="Z71" s="285"/>
      <c r="AA71" s="285"/>
    </row>
    <row r="72" spans="17:27" x14ac:dyDescent="0.2">
      <c r="Q72" s="279"/>
      <c r="V72" s="285"/>
      <c r="W72" s="285"/>
      <c r="X72" s="285"/>
      <c r="Y72" s="286"/>
      <c r="Z72" s="285"/>
      <c r="AA72" s="285"/>
    </row>
    <row r="73" spans="17:27" x14ac:dyDescent="0.2">
      <c r="Q73" s="279"/>
      <c r="V73" s="285"/>
      <c r="W73" s="285"/>
      <c r="X73" s="285"/>
      <c r="Y73" s="286"/>
      <c r="Z73" s="285"/>
      <c r="AA73" s="285"/>
    </row>
    <row r="74" spans="17:27" x14ac:dyDescent="0.2">
      <c r="Q74" s="279"/>
      <c r="V74" s="285"/>
      <c r="W74" s="285"/>
      <c r="X74" s="285"/>
      <c r="Y74" s="286"/>
      <c r="Z74" s="285"/>
      <c r="AA74" s="285"/>
    </row>
    <row r="75" spans="17:27" x14ac:dyDescent="0.2">
      <c r="Q75" s="279"/>
      <c r="V75" s="285"/>
      <c r="W75" s="285"/>
      <c r="X75" s="285"/>
      <c r="Y75" s="286"/>
      <c r="Z75" s="285"/>
      <c r="AA75" s="285"/>
    </row>
    <row r="76" spans="17:27" x14ac:dyDescent="0.2">
      <c r="Q76" s="279"/>
      <c r="V76" s="285"/>
      <c r="W76" s="285"/>
      <c r="X76" s="285"/>
      <c r="Y76" s="286"/>
      <c r="Z76" s="285"/>
      <c r="AA76" s="285"/>
    </row>
    <row r="77" spans="17:27" x14ac:dyDescent="0.2">
      <c r="Q77" s="279"/>
      <c r="V77" s="285"/>
      <c r="W77" s="285"/>
      <c r="X77" s="285"/>
      <c r="Y77" s="286"/>
      <c r="Z77" s="285"/>
      <c r="AA77" s="285"/>
    </row>
    <row r="78" spans="17:27" x14ac:dyDescent="0.2">
      <c r="Q78" s="279"/>
      <c r="V78" s="285"/>
      <c r="W78" s="285"/>
      <c r="X78" s="285"/>
      <c r="Y78" s="286"/>
      <c r="Z78" s="285"/>
      <c r="AA78" s="285"/>
    </row>
    <row r="79" spans="17:27" x14ac:dyDescent="0.2">
      <c r="Q79" s="279"/>
      <c r="V79" s="285"/>
      <c r="W79" s="285"/>
      <c r="X79" s="285"/>
      <c r="Y79" s="286"/>
      <c r="Z79" s="285"/>
      <c r="AA79" s="285"/>
    </row>
    <row r="80" spans="17:27" x14ac:dyDescent="0.2">
      <c r="Q80" s="279"/>
      <c r="V80" s="285"/>
      <c r="W80" s="285"/>
      <c r="X80" s="285"/>
      <c r="Y80" s="286"/>
      <c r="Z80" s="285"/>
      <c r="AA80" s="285"/>
    </row>
    <row r="81" spans="17:27" x14ac:dyDescent="0.2">
      <c r="Q81" s="279"/>
      <c r="V81" s="285"/>
      <c r="W81" s="285"/>
      <c r="X81" s="285"/>
      <c r="Y81" s="286"/>
      <c r="Z81" s="285"/>
      <c r="AA81" s="285"/>
    </row>
    <row r="82" spans="17:27" x14ac:dyDescent="0.2">
      <c r="Q82" s="279"/>
      <c r="V82" s="285"/>
      <c r="W82" s="285"/>
      <c r="X82" s="285"/>
      <c r="Y82" s="286"/>
      <c r="Z82" s="285"/>
      <c r="AA82" s="285"/>
    </row>
    <row r="83" spans="17:27" x14ac:dyDescent="0.2">
      <c r="Q83" s="279"/>
      <c r="V83" s="285"/>
      <c r="W83" s="285"/>
      <c r="X83" s="285"/>
      <c r="Y83" s="286"/>
      <c r="Z83" s="285"/>
      <c r="AA83" s="285"/>
    </row>
    <row r="84" spans="17:27" x14ac:dyDescent="0.2">
      <c r="Q84" s="279"/>
      <c r="V84" s="285"/>
      <c r="W84" s="285"/>
      <c r="X84" s="285"/>
      <c r="Y84" s="286"/>
      <c r="Z84" s="285"/>
      <c r="AA84" s="285"/>
    </row>
    <row r="85" spans="17:27" x14ac:dyDescent="0.2">
      <c r="Q85" s="279"/>
      <c r="V85" s="285"/>
      <c r="W85" s="285"/>
      <c r="X85" s="285"/>
      <c r="Y85" s="286"/>
      <c r="Z85" s="285"/>
      <c r="AA85" s="285"/>
    </row>
    <row r="86" spans="17:27" x14ac:dyDescent="0.2">
      <c r="Q86" s="279"/>
      <c r="V86" s="285"/>
      <c r="W86" s="285"/>
      <c r="X86" s="285"/>
      <c r="Y86" s="286"/>
      <c r="Z86" s="285"/>
      <c r="AA86" s="285"/>
    </row>
    <row r="87" spans="17:27" x14ac:dyDescent="0.2">
      <c r="Q87" s="279"/>
      <c r="V87" s="285"/>
      <c r="W87" s="285"/>
      <c r="X87" s="285"/>
      <c r="Y87" s="286"/>
      <c r="Z87" s="285"/>
      <c r="AA87" s="285"/>
    </row>
    <row r="88" spans="17:27" x14ac:dyDescent="0.2">
      <c r="Q88" s="279"/>
      <c r="V88" s="285"/>
      <c r="W88" s="285"/>
      <c r="X88" s="285"/>
      <c r="Y88" s="286"/>
      <c r="Z88" s="285"/>
      <c r="AA88" s="285"/>
    </row>
    <row r="89" spans="17:27" x14ac:dyDescent="0.2">
      <c r="Q89" s="279"/>
      <c r="V89" s="285"/>
      <c r="W89" s="285"/>
      <c r="X89" s="285"/>
      <c r="Y89" s="286"/>
      <c r="Z89" s="285"/>
      <c r="AA89" s="285"/>
    </row>
    <row r="90" spans="17:27" x14ac:dyDescent="0.2">
      <c r="Q90" s="279"/>
      <c r="V90" s="285"/>
      <c r="W90" s="285"/>
      <c r="X90" s="285"/>
      <c r="Y90" s="286"/>
      <c r="Z90" s="285"/>
      <c r="AA90" s="285"/>
    </row>
    <row r="91" spans="17:27" x14ac:dyDescent="0.2">
      <c r="Q91" s="279"/>
      <c r="V91" s="285"/>
      <c r="W91" s="285"/>
      <c r="X91" s="285"/>
      <c r="Y91" s="285"/>
      <c r="Z91" s="285"/>
      <c r="AA91" s="285"/>
    </row>
    <row r="92" spans="17:27" x14ac:dyDescent="0.2">
      <c r="Q92" s="279"/>
      <c r="V92" s="285"/>
      <c r="W92" s="285"/>
      <c r="X92" s="285"/>
      <c r="Y92" s="285"/>
      <c r="Z92" s="285"/>
      <c r="AA92" s="285"/>
    </row>
    <row r="93" spans="17:27" x14ac:dyDescent="0.2">
      <c r="Q93" s="279"/>
      <c r="V93" s="285"/>
      <c r="W93" s="285"/>
      <c r="X93" s="285"/>
      <c r="Y93" s="285"/>
      <c r="Z93" s="285"/>
      <c r="AA93" s="285"/>
    </row>
    <row r="94" spans="17:27" x14ac:dyDescent="0.2">
      <c r="Q94" s="279"/>
      <c r="V94" s="285"/>
      <c r="W94" s="285"/>
      <c r="X94" s="285"/>
      <c r="Y94" s="285"/>
      <c r="Z94" s="285"/>
      <c r="AA94" s="285"/>
    </row>
    <row r="95" spans="17:27" x14ac:dyDescent="0.2">
      <c r="Q95" s="279"/>
      <c r="V95" s="285"/>
      <c r="W95" s="285"/>
      <c r="X95" s="285"/>
      <c r="Y95" s="285"/>
      <c r="Z95" s="285"/>
      <c r="AA95" s="285"/>
    </row>
    <row r="96" spans="17:27" x14ac:dyDescent="0.2">
      <c r="Q96" s="279"/>
      <c r="V96" s="285"/>
      <c r="W96" s="285"/>
      <c r="X96" s="285"/>
      <c r="Y96" s="285"/>
      <c r="Z96" s="285"/>
      <c r="AA96" s="285"/>
    </row>
    <row r="97" spans="17:27" x14ac:dyDescent="0.2">
      <c r="Q97" s="279"/>
      <c r="V97" s="285"/>
      <c r="W97" s="285"/>
      <c r="X97" s="285"/>
      <c r="Y97" s="285"/>
      <c r="Z97" s="285"/>
      <c r="AA97" s="285"/>
    </row>
    <row r="98" spans="17:27" x14ac:dyDescent="0.2">
      <c r="Q98" s="279"/>
      <c r="V98" s="285"/>
      <c r="W98" s="285"/>
      <c r="X98" s="285"/>
      <c r="Y98" s="285"/>
      <c r="Z98" s="285"/>
      <c r="AA98" s="285"/>
    </row>
    <row r="99" spans="17:27" x14ac:dyDescent="0.2">
      <c r="Q99" s="279"/>
      <c r="V99" s="285"/>
      <c r="W99" s="285"/>
      <c r="X99" s="285"/>
      <c r="Y99" s="285"/>
      <c r="Z99" s="285"/>
      <c r="AA99" s="285"/>
    </row>
    <row r="100" spans="17:27" x14ac:dyDescent="0.2">
      <c r="Q100" s="279"/>
      <c r="V100" s="285"/>
      <c r="W100" s="285"/>
      <c r="X100" s="285"/>
      <c r="Y100" s="285"/>
      <c r="Z100" s="285"/>
      <c r="AA100" s="285"/>
    </row>
    <row r="101" spans="17:27" x14ac:dyDescent="0.2">
      <c r="Q101" s="279"/>
      <c r="V101" s="285"/>
      <c r="W101" s="285"/>
      <c r="X101" s="285"/>
      <c r="Y101" s="285"/>
      <c r="Z101" s="285"/>
      <c r="AA101" s="285"/>
    </row>
    <row r="102" spans="17:27" x14ac:dyDescent="0.2">
      <c r="Q102" s="279"/>
      <c r="V102" s="285"/>
      <c r="W102" s="285"/>
      <c r="X102" s="285"/>
      <c r="Y102" s="285"/>
      <c r="Z102" s="285"/>
      <c r="AA102" s="285"/>
    </row>
    <row r="103" spans="17:27" x14ac:dyDescent="0.2">
      <c r="Q103" s="279"/>
      <c r="V103" s="285"/>
      <c r="W103" s="285"/>
      <c r="X103" s="285"/>
      <c r="Y103" s="285"/>
      <c r="Z103" s="285"/>
      <c r="AA103" s="285"/>
    </row>
    <row r="104" spans="17:27" x14ac:dyDescent="0.2">
      <c r="Q104" s="279"/>
      <c r="V104" s="285"/>
      <c r="W104" s="285"/>
      <c r="X104" s="285"/>
      <c r="Y104" s="285"/>
      <c r="Z104" s="285"/>
      <c r="AA104" s="285"/>
    </row>
    <row r="105" spans="17:27" x14ac:dyDescent="0.2">
      <c r="Q105" s="279"/>
      <c r="V105" s="285"/>
      <c r="W105" s="285"/>
      <c r="X105" s="285"/>
      <c r="Y105" s="285"/>
      <c r="Z105" s="285"/>
      <c r="AA105" s="285"/>
    </row>
    <row r="106" spans="17:27" x14ac:dyDescent="0.2">
      <c r="Q106" s="279"/>
      <c r="V106" s="285"/>
      <c r="W106" s="285"/>
      <c r="X106" s="285"/>
      <c r="Y106" s="285"/>
      <c r="Z106" s="285"/>
      <c r="AA106" s="285"/>
    </row>
    <row r="107" spans="17:27" x14ac:dyDescent="0.2">
      <c r="Q107" s="279"/>
      <c r="V107" s="285"/>
      <c r="W107" s="285"/>
      <c r="X107" s="285"/>
      <c r="Y107" s="285"/>
      <c r="Z107" s="285"/>
      <c r="AA107" s="285"/>
    </row>
    <row r="108" spans="17:27" x14ac:dyDescent="0.2">
      <c r="Q108" s="279"/>
      <c r="V108" s="285"/>
      <c r="W108" s="285"/>
      <c r="X108" s="285"/>
      <c r="Y108" s="285"/>
      <c r="Z108" s="285"/>
      <c r="AA108" s="285"/>
    </row>
    <row r="109" spans="17:27" x14ac:dyDescent="0.2">
      <c r="Q109" s="279"/>
      <c r="V109" s="285"/>
      <c r="W109" s="285"/>
      <c r="X109" s="285"/>
      <c r="Y109" s="285"/>
      <c r="Z109" s="285"/>
      <c r="AA109" s="285"/>
    </row>
    <row r="110" spans="17:27" x14ac:dyDescent="0.2">
      <c r="Q110" s="279"/>
      <c r="V110" s="285"/>
      <c r="W110" s="285"/>
      <c r="X110" s="285"/>
      <c r="Y110" s="285"/>
      <c r="Z110" s="285"/>
      <c r="AA110" s="285"/>
    </row>
    <row r="111" spans="17:27" x14ac:dyDescent="0.2">
      <c r="Q111" s="279"/>
      <c r="V111" s="285"/>
      <c r="W111" s="285"/>
      <c r="X111" s="285"/>
      <c r="Y111" s="285"/>
      <c r="Z111" s="285"/>
      <c r="AA111" s="285"/>
    </row>
    <row r="112" spans="17:27" x14ac:dyDescent="0.2">
      <c r="Q112" s="279"/>
      <c r="V112" s="285"/>
      <c r="W112" s="285"/>
      <c r="X112" s="285"/>
      <c r="Y112" s="285"/>
      <c r="Z112" s="285"/>
      <c r="AA112" s="285"/>
    </row>
    <row r="113" spans="17:27" x14ac:dyDescent="0.2">
      <c r="Q113" s="279"/>
      <c r="V113" s="285"/>
      <c r="W113" s="285"/>
      <c r="X113" s="285"/>
      <c r="Y113" s="285"/>
      <c r="Z113" s="285"/>
      <c r="AA113" s="285"/>
    </row>
    <row r="114" spans="17:27" x14ac:dyDescent="0.2">
      <c r="Q114" s="279"/>
      <c r="V114" s="285"/>
      <c r="W114" s="285"/>
      <c r="X114" s="285"/>
      <c r="Y114" s="285"/>
      <c r="Z114" s="285"/>
      <c r="AA114" s="285"/>
    </row>
    <row r="115" spans="17:27" x14ac:dyDescent="0.2">
      <c r="Q115" s="279"/>
      <c r="V115" s="285"/>
      <c r="W115" s="285"/>
      <c r="X115" s="285"/>
      <c r="Y115" s="285"/>
      <c r="Z115" s="285"/>
      <c r="AA115" s="285"/>
    </row>
    <row r="116" spans="17:27" x14ac:dyDescent="0.2">
      <c r="Q116" s="279"/>
      <c r="V116" s="285"/>
      <c r="W116" s="285"/>
      <c r="X116" s="285"/>
      <c r="Y116" s="285"/>
      <c r="Z116" s="285"/>
      <c r="AA116" s="285"/>
    </row>
    <row r="117" spans="17:27" x14ac:dyDescent="0.2">
      <c r="Q117" s="279"/>
      <c r="V117" s="285"/>
      <c r="W117" s="285"/>
      <c r="X117" s="285"/>
      <c r="Y117" s="285"/>
      <c r="Z117" s="285"/>
      <c r="AA117" s="285"/>
    </row>
    <row r="118" spans="17:27" x14ac:dyDescent="0.2">
      <c r="Q118" s="279"/>
      <c r="V118" s="285"/>
      <c r="W118" s="285"/>
      <c r="X118" s="285"/>
      <c r="Y118" s="285"/>
      <c r="Z118" s="285"/>
      <c r="AA118" s="285"/>
    </row>
    <row r="119" spans="17:27" x14ac:dyDescent="0.2">
      <c r="Q119" s="279"/>
      <c r="V119" s="285"/>
      <c r="W119" s="285"/>
      <c r="X119" s="285"/>
      <c r="Y119" s="285"/>
      <c r="Z119" s="285"/>
      <c r="AA119" s="285"/>
    </row>
    <row r="120" spans="17:27" x14ac:dyDescent="0.2">
      <c r="Q120" s="279"/>
      <c r="V120" s="285"/>
      <c r="W120" s="285"/>
      <c r="X120" s="285"/>
      <c r="Y120" s="285"/>
      <c r="Z120" s="285"/>
      <c r="AA120" s="285"/>
    </row>
    <row r="121" spans="17:27" x14ac:dyDescent="0.2">
      <c r="Q121" s="279"/>
      <c r="V121" s="285"/>
      <c r="W121" s="285"/>
      <c r="X121" s="285"/>
      <c r="Y121" s="285"/>
      <c r="Z121" s="285"/>
      <c r="AA121" s="285"/>
    </row>
    <row r="122" spans="17:27" x14ac:dyDescent="0.2">
      <c r="Q122" s="279"/>
      <c r="V122" s="285"/>
      <c r="W122" s="285"/>
      <c r="X122" s="285"/>
      <c r="Y122" s="285"/>
      <c r="Z122" s="285"/>
      <c r="AA122" s="285"/>
    </row>
    <row r="123" spans="17:27" x14ac:dyDescent="0.2">
      <c r="Q123" s="279"/>
      <c r="V123" s="285"/>
      <c r="W123" s="285"/>
      <c r="X123" s="285"/>
      <c r="Y123" s="285"/>
      <c r="Z123" s="285"/>
      <c r="AA123" s="285"/>
    </row>
    <row r="124" spans="17:27" x14ac:dyDescent="0.2">
      <c r="Q124" s="279"/>
      <c r="V124" s="285"/>
      <c r="W124" s="285"/>
      <c r="X124" s="285"/>
      <c r="Y124" s="285"/>
      <c r="Z124" s="285"/>
      <c r="AA124" s="285"/>
    </row>
    <row r="125" spans="17:27" x14ac:dyDescent="0.2">
      <c r="Q125" s="279"/>
      <c r="V125" s="285"/>
      <c r="W125" s="285"/>
      <c r="X125" s="285"/>
      <c r="Y125" s="285"/>
      <c r="Z125" s="285"/>
      <c r="AA125" s="285"/>
    </row>
    <row r="126" spans="17:27" x14ac:dyDescent="0.2">
      <c r="Q126" s="279"/>
      <c r="V126" s="285"/>
      <c r="W126" s="285"/>
      <c r="X126" s="285"/>
      <c r="Y126" s="285"/>
      <c r="Z126" s="285"/>
      <c r="AA126" s="285"/>
    </row>
    <row r="127" spans="17:27" x14ac:dyDescent="0.2">
      <c r="Q127" s="279"/>
      <c r="V127" s="285"/>
      <c r="W127" s="285"/>
      <c r="X127" s="285"/>
      <c r="Y127" s="285"/>
      <c r="Z127" s="285"/>
      <c r="AA127" s="285"/>
    </row>
    <row r="128" spans="17:27" x14ac:dyDescent="0.2">
      <c r="Q128" s="279"/>
      <c r="V128" s="285"/>
      <c r="W128" s="285"/>
      <c r="X128" s="285"/>
      <c r="Y128" s="285"/>
      <c r="Z128" s="285"/>
      <c r="AA128" s="285"/>
    </row>
    <row r="129" spans="22:27" x14ac:dyDescent="0.2">
      <c r="V129" s="285"/>
      <c r="W129" s="285"/>
      <c r="X129" s="285"/>
      <c r="Y129" s="285"/>
      <c r="Z129" s="285"/>
      <c r="AA129" s="285"/>
    </row>
    <row r="130" spans="22:27" x14ac:dyDescent="0.2">
      <c r="V130" s="285"/>
      <c r="W130" s="285"/>
      <c r="X130" s="285"/>
      <c r="Y130" s="285"/>
      <c r="Z130" s="285"/>
      <c r="AA130" s="285"/>
    </row>
  </sheetData>
  <phoneticPr fontId="20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71</vt:i4>
      </vt:variant>
    </vt:vector>
  </HeadingPairs>
  <TitlesOfParts>
    <vt:vector size="73" baseType="lpstr">
      <vt:lpstr>visor</vt:lpstr>
      <vt:lpstr>visor rk</vt:lpstr>
      <vt:lpstr>visor!FcCheckIgv</vt:lpstr>
      <vt:lpstr>'visor rk'!FcCheckIgv</vt:lpstr>
      <vt:lpstr>visor!FcCheckMoneda</vt:lpstr>
      <vt:lpstr>'visor rk'!FcCheckMoneda</vt:lpstr>
      <vt:lpstr>visor!FcCheckProy</vt:lpstr>
      <vt:lpstr>'visor rk'!FcCheckProy</vt:lpstr>
      <vt:lpstr>Cuota!FcClave</vt:lpstr>
      <vt:lpstr>Maestro!FcClave</vt:lpstr>
      <vt:lpstr>Prob.Pago!FcClave</vt:lpstr>
      <vt:lpstr>Rankin!FcClave</vt:lpstr>
      <vt:lpstr>Venta!FcClave</vt:lpstr>
      <vt:lpstr>visor!FcCliente</vt:lpstr>
      <vt:lpstr>'visor rk'!FcCliente</vt:lpstr>
      <vt:lpstr>Cuota!FcDetalle</vt:lpstr>
      <vt:lpstr>Maestro!FcDetalle</vt:lpstr>
      <vt:lpstr>Prob.Pago!FcDetalle</vt:lpstr>
      <vt:lpstr>Rankin!FcDetalle</vt:lpstr>
      <vt:lpstr>Venta!FcDetalle</vt:lpstr>
      <vt:lpstr>visor!FcFecha</vt:lpstr>
      <vt:lpstr>'visor rk'!FcFecha</vt:lpstr>
      <vt:lpstr>Filtro!FcFiltroMarca</vt:lpstr>
      <vt:lpstr>Filtro!FcFiltroMarcaCheck</vt:lpstr>
      <vt:lpstr>Filtro!FcFiltroMarcaClave</vt:lpstr>
      <vt:lpstr>Filtro!FcFiltroSegmento</vt:lpstr>
      <vt:lpstr>Filtro!FcFiltroSegmentoCheck</vt:lpstr>
      <vt:lpstr>Filtro!FcFiltroSegmentoClave</vt:lpstr>
      <vt:lpstr>Filtro!FcFiltroUnidNeg</vt:lpstr>
      <vt:lpstr>Filtro!FcFiltroUnidNegCheck</vt:lpstr>
      <vt:lpstr>Filtro!FcFiltroUnidNegClave</vt:lpstr>
      <vt:lpstr>Filtro!FcFiltroVendedor</vt:lpstr>
      <vt:lpstr>Filtro!FcFiltroVendedorCheck</vt:lpstr>
      <vt:lpstr>Filtro!FcFiltroVendedorClave</vt:lpstr>
      <vt:lpstr>Filtro!FcFiltroZona</vt:lpstr>
      <vt:lpstr>Filtro!FcFiltroZonaCheck</vt:lpstr>
      <vt:lpstr>Filtro!FcFiltroZonaClave</vt:lpstr>
      <vt:lpstr>visor!FcGrafCapsa</vt:lpstr>
      <vt:lpstr>'visor rk'!FcGrafCapsa</vt:lpstr>
      <vt:lpstr>visor!FcGrafGT</vt:lpstr>
      <vt:lpstr>'visor rk'!FcGrafGT</vt:lpstr>
      <vt:lpstr>visor!FcGrafHP</vt:lpstr>
      <vt:lpstr>'visor rk'!FcGrafHP</vt:lpstr>
      <vt:lpstr>visor!FcGrafLys</vt:lpstr>
      <vt:lpstr>'visor rk'!FcGrafLys</vt:lpstr>
      <vt:lpstr>visor!FcGrafTotal</vt:lpstr>
      <vt:lpstr>'visor rk'!FcGrafTotal</vt:lpstr>
      <vt:lpstr>Venta!FcGrupoRK</vt:lpstr>
      <vt:lpstr>visor!FcGrupoRK</vt:lpstr>
      <vt:lpstr>'visor rk'!FcGrupoRK</vt:lpstr>
      <vt:lpstr>visor!FcInicioCantAnual</vt:lpstr>
      <vt:lpstr>'visor rk'!FcInicioCantAnual</vt:lpstr>
      <vt:lpstr>visor!FcInicioCantMes</vt:lpstr>
      <vt:lpstr>'visor rk'!FcInicioCantMes</vt:lpstr>
      <vt:lpstr>visor!FcInicioCuotaAnual</vt:lpstr>
      <vt:lpstr>'visor rk'!FcInicioCuotaAnual</vt:lpstr>
      <vt:lpstr>visor!FcInicioCuotaMes</vt:lpstr>
      <vt:lpstr>'visor rk'!FcInicioCuotaMes</vt:lpstr>
      <vt:lpstr>visor!FcInicioVtaAnual</vt:lpstr>
      <vt:lpstr>'visor rk'!FcInicioVtaAnual</vt:lpstr>
      <vt:lpstr>visor!FcInicioVtaMes</vt:lpstr>
      <vt:lpstr>'visor rk'!FcInicioVtaMes</vt:lpstr>
      <vt:lpstr>Rankin!FcMontoFiltro</vt:lpstr>
      <vt:lpstr>Rankin!FcMontoTotal</vt:lpstr>
      <vt:lpstr>visor!FcPromMovil</vt:lpstr>
      <vt:lpstr>'visor rk'!FcPromMovil</vt:lpstr>
      <vt:lpstr>Rankin!FcRankinFiltro</vt:lpstr>
      <vt:lpstr>Rankin!FcRanking</vt:lpstr>
      <vt:lpstr>Rankin!FcRankinTotal</vt:lpstr>
      <vt:lpstr>'visor rk'!FcTipo</vt:lpstr>
      <vt:lpstr>visor!FcTipoGrafico</vt:lpstr>
      <vt:lpstr>'visor rk'!FcTipoGrafico</vt:lpstr>
      <vt:lpstr>'visor rk'!FcTipoProy</vt:lpstr>
    </vt:vector>
  </TitlesOfParts>
  <Company>Filtros Lys S.A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Modelo de clientes</dc:title>
  <dc:creator>Miguel Montero</dc:creator>
  <cp:lastModifiedBy>Miguel Angel Montero Minaya</cp:lastModifiedBy>
  <cp:lastPrinted>2014-07-21T14:03:35Z</cp:lastPrinted>
  <dcterms:created xsi:type="dcterms:W3CDTF">2003-03-03T19:51:08Z</dcterms:created>
  <dcterms:modified xsi:type="dcterms:W3CDTF">2015-03-31T23:40:48Z</dcterms:modified>
</cp:coreProperties>
</file>