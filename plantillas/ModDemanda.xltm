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Update\Aplicaciones LYS\NuevoComercial\Plantilla\"/>
    </mc:Choice>
  </mc:AlternateContent>
  <bookViews>
    <workbookView xWindow="0" yWindow="165" windowWidth="11550" windowHeight="5880" tabRatio="770"/>
  </bookViews>
  <sheets>
    <sheet name="v-cod" sheetId="1" r:id="rId1"/>
    <sheet name="v-rk" sheetId="50" r:id="rId2"/>
    <sheet name="rk-Personalizado" sheetId="102" r:id="rId3"/>
    <sheet name="GraficoPart" sheetId="101" state="veryHidden" r:id="rId4"/>
    <sheet name="tacometros" sheetId="93" state="veryHidden" r:id="rId5"/>
    <sheet name="maestro" sheetId="94" state="veryHidden" r:id="rId6"/>
    <sheet name="Venta" sheetId="95" state="veryHidden" r:id="rId7"/>
    <sheet name="Proy" sheetId="96" state="veryHidden" r:id="rId8"/>
    <sheet name="RG" sheetId="97" state="veryHidden" r:id="rId9"/>
    <sheet name="StockBO" sheetId="98" state="veryHidden" r:id="rId10"/>
    <sheet name="TipoProm" sheetId="99" state="veryHidden" r:id="rId11"/>
    <sheet name="PrecioCompetencia" sheetId="100" state="veryHidden" r:id="rId12"/>
  </sheets>
  <definedNames>
    <definedName name="FcClave" localSheetId="5">maestro!$A$2:$A$2</definedName>
    <definedName name="FcClave" localSheetId="11">PrecioCompetencia!$D$2:$D$2</definedName>
    <definedName name="FcClave" localSheetId="7">Proy!$D$2:$D$2</definedName>
    <definedName name="FcClave" localSheetId="8">RG!$B$2:$B$2</definedName>
    <definedName name="FcClave" localSheetId="9">StockBO!$B$2:$B$2</definedName>
    <definedName name="FcClave" localSheetId="10">TipoProm!$B$2:$B$2</definedName>
    <definedName name="FcClave" localSheetId="6">Venta!$F$2:$F$2</definedName>
    <definedName name="FcClaveItem" localSheetId="6">Venta!$B$2:$B$2</definedName>
    <definedName name="FcDetalle" localSheetId="5">maestro!$A$2:$AN$2</definedName>
    <definedName name="FcDetalle" localSheetId="11">PrecioCompetencia!$A$2:$CT$2</definedName>
    <definedName name="FcDetalle" localSheetId="7">Proy!$A$2:$Q$2</definedName>
    <definedName name="FcDetalle" localSheetId="8">RG!$A$2:$O$2</definedName>
    <definedName name="FcDetalle" localSheetId="9">StockBO!$A$2:$BB$2</definedName>
    <definedName name="FcDetalle" localSheetId="10">TipoProm!$A$2:$AB$2</definedName>
    <definedName name="FcDetalle" localSheetId="6">Venta!$A$2:$DE$2</definedName>
    <definedName name="FcFecha" localSheetId="0">'v-cod'!$A$4</definedName>
    <definedName name="FcFecha" localSheetId="1">'v-rk'!$A$4</definedName>
    <definedName name="FcIgv" localSheetId="0">'v-cod'!$X$3</definedName>
    <definedName name="FcIgv" localSheetId="1">'v-rk'!$X$3</definedName>
    <definedName name="FcIGVMon" localSheetId="0">'v-cod'!$X$4</definedName>
    <definedName name="FcIGVMon" localSheetId="1">'v-rk'!$X$4</definedName>
    <definedName name="FcImporteRK" localSheetId="5">maestro!$AM$2:$AM$2</definedName>
    <definedName name="FcInicioCant12Mes" localSheetId="3">GraficoPart!$Q$1</definedName>
    <definedName name="FcInicioCantAnual" localSheetId="3">GraficoPart!$R$1</definedName>
    <definedName name="FcInicioCantAnual" localSheetId="0">'v-cod'!$X$8</definedName>
    <definedName name="FcInicioCantAnual" localSheetId="1">'v-rk'!$X$8</definedName>
    <definedName name="FcInicioCantMes" localSheetId="0">'v-cod'!$X$7</definedName>
    <definedName name="FcInicioCantMes" localSheetId="1">'v-rk'!$X$7</definedName>
    <definedName name="FcInicioPrecioComp" localSheetId="0">'v-cod'!$X$10</definedName>
    <definedName name="FcInicioPrecioComp" localSheetId="1">'v-rk'!$X$10</definedName>
    <definedName name="FcInicioProyMes" localSheetId="0">'v-cod'!$X$9</definedName>
    <definedName name="FcInicioProyMes" localSheetId="1">'v-rk'!$X$9</definedName>
    <definedName name="FcInicioVtaAnual" localSheetId="0">'v-cod'!$X$6</definedName>
    <definedName name="FcInicioVtaAnual" localSheetId="1">'v-rk'!$X$6</definedName>
    <definedName name="FcInicioVtaMes" localSheetId="0">'v-cod'!$X$5</definedName>
    <definedName name="FcInicioVtaMes" localSheetId="1">'v-rk'!$X$5</definedName>
    <definedName name="FcItem" localSheetId="0">'v-cod'!$B$4</definedName>
    <definedName name="FcItem" localSheetId="1">'v-rk'!$B$4</definedName>
    <definedName name="FcMoneda" localSheetId="0">'v-cod'!$X$2</definedName>
    <definedName name="FcMoneda" localSheetId="1">'v-rk'!$X$2</definedName>
    <definedName name="FcPartcantINDinicioAnual" localSheetId="3">GraficoPart!$V$1</definedName>
    <definedName name="FcPartcantINDinicioMes" localSheetId="3">GraficoPart!$T$1</definedName>
    <definedName name="FcPartcantREPinicioAnual" localSheetId="3">GraficoPart!$U$1</definedName>
    <definedName name="FcPartcantREPinicioMes" localSheetId="3">GraficoPart!$S$1</definedName>
    <definedName name="FcProyeccion" localSheetId="0">'v-cod'!$X$12</definedName>
    <definedName name="FcProyeccion" localSheetId="1">'v-rk'!$X$12</definedName>
    <definedName name="FcRanking" localSheetId="5">maestro!$AM$2:$AN$2</definedName>
    <definedName name="FcRankinRK" localSheetId="5">maestro!$AN$2:$AN$2</definedName>
    <definedName name="FcRBUNeg" localSheetId="0">'v-cod'!$X$11</definedName>
    <definedName name="FcRBUNeg" localSheetId="1">'v-rk'!$X$11</definedName>
  </definedNames>
  <calcPr calcId="152511"/>
</workbook>
</file>

<file path=xl/calcChain.xml><?xml version="1.0" encoding="utf-8"?>
<calcChain xmlns="http://schemas.openxmlformats.org/spreadsheetml/2006/main">
  <c r="E4" i="1" l="1"/>
  <c r="AM2" i="94" l="1"/>
  <c r="AN2" i="94" s="1"/>
  <c r="B4" i="50" s="1"/>
  <c r="J4" i="1" l="1"/>
  <c r="J4" i="50"/>
  <c r="B10" i="1" l="1"/>
  <c r="A21" i="93" s="1"/>
  <c r="N26" i="50" l="1"/>
  <c r="M26" i="50"/>
  <c r="L26" i="50"/>
  <c r="K26" i="50"/>
  <c r="J26" i="50"/>
  <c r="I26" i="50"/>
  <c r="H26" i="50"/>
  <c r="G26" i="50"/>
  <c r="F26" i="50"/>
  <c r="E26" i="50"/>
  <c r="D26" i="50"/>
  <c r="C26" i="50"/>
  <c r="B26" i="50"/>
  <c r="N25" i="50"/>
  <c r="M25" i="50"/>
  <c r="L25" i="50"/>
  <c r="K25" i="50"/>
  <c r="J25" i="50"/>
  <c r="I25" i="50"/>
  <c r="H25" i="50"/>
  <c r="G25" i="50"/>
  <c r="F25" i="50"/>
  <c r="E25" i="50"/>
  <c r="D25" i="50"/>
  <c r="C25" i="50"/>
  <c r="B25" i="50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N25" i="1"/>
  <c r="I25" i="1"/>
  <c r="M25" i="1"/>
  <c r="L25" i="1"/>
  <c r="K25" i="1"/>
  <c r="J25" i="1"/>
  <c r="H25" i="1"/>
  <c r="G25" i="1"/>
  <c r="F25" i="1"/>
  <c r="E25" i="1"/>
  <c r="D25" i="1"/>
  <c r="C25" i="1"/>
  <c r="B25" i="1"/>
  <c r="N24" i="50" l="1"/>
  <c r="M24" i="50"/>
  <c r="L24" i="50"/>
  <c r="K24" i="50"/>
  <c r="J24" i="50"/>
  <c r="I24" i="50"/>
  <c r="H24" i="50"/>
  <c r="G24" i="50"/>
  <c r="F24" i="50"/>
  <c r="E24" i="50"/>
  <c r="D24" i="50"/>
  <c r="C24" i="50"/>
  <c r="B24" i="50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N16" i="50" l="1"/>
  <c r="M16" i="50"/>
  <c r="L16" i="50"/>
  <c r="K16" i="50"/>
  <c r="J16" i="50"/>
  <c r="I16" i="50"/>
  <c r="H16" i="50"/>
  <c r="G16" i="50"/>
  <c r="F16" i="50"/>
  <c r="E16" i="50"/>
  <c r="D16" i="50"/>
  <c r="C16" i="50"/>
  <c r="B16" i="50"/>
  <c r="N15" i="50"/>
  <c r="M15" i="50"/>
  <c r="L15" i="50"/>
  <c r="K15" i="50"/>
  <c r="J15" i="50"/>
  <c r="I15" i="50"/>
  <c r="H15" i="50"/>
  <c r="G15" i="50"/>
  <c r="F15" i="50"/>
  <c r="E15" i="50"/>
  <c r="D15" i="50"/>
  <c r="C15" i="50"/>
  <c r="B15" i="50"/>
  <c r="N14" i="50"/>
  <c r="M28" i="93" s="1"/>
  <c r="M14" i="50"/>
  <c r="L28" i="93" s="1"/>
  <c r="L14" i="50"/>
  <c r="K28" i="93" s="1"/>
  <c r="K14" i="50"/>
  <c r="J28" i="93" s="1"/>
  <c r="J14" i="50"/>
  <c r="I28" i="93" s="1"/>
  <c r="I14" i="50"/>
  <c r="H28" i="93" s="1"/>
  <c r="H14" i="50"/>
  <c r="G28" i="93" s="1"/>
  <c r="G14" i="50"/>
  <c r="F28" i="93" s="1"/>
  <c r="F14" i="50"/>
  <c r="E28" i="93" s="1"/>
  <c r="E14" i="50"/>
  <c r="D28" i="93" s="1"/>
  <c r="D14" i="50"/>
  <c r="C28" i="93" s="1"/>
  <c r="C14" i="50"/>
  <c r="B28" i="93" s="1"/>
  <c r="B14" i="50"/>
  <c r="A28" i="93" s="1"/>
  <c r="N15" i="1" l="1"/>
  <c r="M15" i="1"/>
  <c r="L15" i="1"/>
  <c r="K15" i="1"/>
  <c r="J15" i="1"/>
  <c r="I15" i="1"/>
  <c r="H15" i="1"/>
  <c r="G15" i="1"/>
  <c r="F15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E15" i="1"/>
  <c r="D15" i="1"/>
  <c r="C15" i="1"/>
  <c r="B15" i="1"/>
  <c r="N14" i="1"/>
  <c r="M22" i="93" s="1"/>
  <c r="M14" i="1"/>
  <c r="L22" i="93" s="1"/>
  <c r="L14" i="1"/>
  <c r="K22" i="93" s="1"/>
  <c r="K14" i="1"/>
  <c r="J22" i="93" s="1"/>
  <c r="J14" i="1"/>
  <c r="I22" i="93" s="1"/>
  <c r="I14" i="1"/>
  <c r="H22" i="93" s="1"/>
  <c r="H14" i="1"/>
  <c r="G22" i="93" s="1"/>
  <c r="G14" i="1"/>
  <c r="F22" i="93" s="1"/>
  <c r="F14" i="1"/>
  <c r="E22" i="93" s="1"/>
  <c r="E14" i="1"/>
  <c r="D22" i="93" s="1"/>
  <c r="D14" i="1"/>
  <c r="C22" i="93" s="1"/>
  <c r="C14" i="1"/>
  <c r="B22" i="93" s="1"/>
  <c r="B14" i="1"/>
  <c r="A22" i="93" s="1"/>
  <c r="N12" i="50" l="1"/>
  <c r="M12" i="50"/>
  <c r="L12" i="50"/>
  <c r="K12" i="50"/>
  <c r="J12" i="50"/>
  <c r="I12" i="50"/>
  <c r="H12" i="50"/>
  <c r="G12" i="50"/>
  <c r="F12" i="50"/>
  <c r="E12" i="50"/>
  <c r="D12" i="50"/>
  <c r="C12" i="50"/>
  <c r="B12" i="50"/>
  <c r="N11" i="50"/>
  <c r="M11" i="50"/>
  <c r="L11" i="50"/>
  <c r="K11" i="50"/>
  <c r="J11" i="50"/>
  <c r="I11" i="50"/>
  <c r="H11" i="50"/>
  <c r="G11" i="50"/>
  <c r="F11" i="50"/>
  <c r="E11" i="50"/>
  <c r="D11" i="50"/>
  <c r="C11" i="50"/>
  <c r="B11" i="50"/>
  <c r="N10" i="50"/>
  <c r="M27" i="93" s="1"/>
  <c r="M10" i="50"/>
  <c r="L27" i="93" s="1"/>
  <c r="L10" i="50"/>
  <c r="K27" i="93" s="1"/>
  <c r="K10" i="50"/>
  <c r="J27" i="93" s="1"/>
  <c r="J10" i="50"/>
  <c r="I27" i="93" s="1"/>
  <c r="I10" i="50"/>
  <c r="H27" i="93" s="1"/>
  <c r="H10" i="50"/>
  <c r="G27" i="93" s="1"/>
  <c r="G10" i="50"/>
  <c r="F27" i="93" s="1"/>
  <c r="F10" i="50"/>
  <c r="E27" i="93" s="1"/>
  <c r="E10" i="50"/>
  <c r="D27" i="93" s="1"/>
  <c r="D10" i="50"/>
  <c r="C27" i="93" s="1"/>
  <c r="C10" i="50"/>
  <c r="B27" i="93" s="1"/>
  <c r="B10" i="50"/>
  <c r="A27" i="93" s="1"/>
  <c r="L4" i="50" l="1"/>
  <c r="N4" i="50"/>
  <c r="M4" i="50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N10" i="1"/>
  <c r="M21" i="93" s="1"/>
  <c r="M10" i="1"/>
  <c r="L21" i="93" s="1"/>
  <c r="L10" i="1"/>
  <c r="K21" i="93" s="1"/>
  <c r="K10" i="1"/>
  <c r="J21" i="93" s="1"/>
  <c r="J10" i="1"/>
  <c r="I21" i="93" s="1"/>
  <c r="I10" i="1"/>
  <c r="H21" i="93" s="1"/>
  <c r="H10" i="1"/>
  <c r="G21" i="93" s="1"/>
  <c r="G10" i="1"/>
  <c r="F21" i="93" s="1"/>
  <c r="F10" i="1"/>
  <c r="E21" i="93" s="1"/>
  <c r="E10" i="1"/>
  <c r="D21" i="93" s="1"/>
  <c r="D10" i="1"/>
  <c r="C21" i="93" s="1"/>
  <c r="C10" i="1"/>
  <c r="B21" i="93" s="1"/>
  <c r="L4" i="1" l="1"/>
  <c r="N4" i="1"/>
  <c r="M4" i="1"/>
  <c r="X4" i="50"/>
  <c r="X6" i="50" l="1"/>
  <c r="X5" i="50"/>
  <c r="N62" i="50" s="1"/>
  <c r="N66" i="50" s="1"/>
  <c r="X10" i="50"/>
  <c r="M62" i="50"/>
  <c r="M66" i="50" s="1"/>
  <c r="E62" i="50"/>
  <c r="E66" i="50" s="1"/>
  <c r="L62" i="50"/>
  <c r="L66" i="50" s="1"/>
  <c r="D62" i="50"/>
  <c r="D66" i="50" s="1"/>
  <c r="K62" i="50"/>
  <c r="K66" i="50" s="1"/>
  <c r="C62" i="50"/>
  <c r="C66" i="50" s="1"/>
  <c r="H61" i="50"/>
  <c r="H65" i="50" s="1"/>
  <c r="G61" i="50"/>
  <c r="G65" i="50" s="1"/>
  <c r="L60" i="50"/>
  <c r="L64" i="50" s="1"/>
  <c r="D60" i="50"/>
  <c r="D64" i="50" s="1"/>
  <c r="C60" i="50"/>
  <c r="C64" i="50" s="1"/>
  <c r="H62" i="50"/>
  <c r="H66" i="50" s="1"/>
  <c r="L7" i="50"/>
  <c r="I7" i="50"/>
  <c r="D7" i="50"/>
  <c r="L7" i="1"/>
  <c r="I7" i="1"/>
  <c r="D7" i="1"/>
  <c r="J60" i="50" l="1"/>
  <c r="J64" i="50" s="1"/>
  <c r="B62" i="50"/>
  <c r="B66" i="50" s="1"/>
  <c r="D61" i="50"/>
  <c r="D65" i="50" s="1"/>
  <c r="F61" i="50"/>
  <c r="F65" i="50" s="1"/>
  <c r="J62" i="50"/>
  <c r="J66" i="50" s="1"/>
  <c r="M61" i="50"/>
  <c r="M65" i="50" s="1"/>
  <c r="G62" i="50"/>
  <c r="G66" i="50" s="1"/>
  <c r="C61" i="50"/>
  <c r="C65" i="50" s="1"/>
  <c r="I60" i="50"/>
  <c r="I64" i="50" s="1"/>
  <c r="K60" i="50"/>
  <c r="K64" i="50" s="1"/>
  <c r="B60" i="50"/>
  <c r="B64" i="50" s="1"/>
  <c r="H60" i="50"/>
  <c r="H64" i="50" s="1"/>
  <c r="N61" i="50"/>
  <c r="N65" i="50" s="1"/>
  <c r="L61" i="50"/>
  <c r="L65" i="50" s="1"/>
  <c r="F60" i="50"/>
  <c r="F64" i="50" s="1"/>
  <c r="G60" i="50"/>
  <c r="G64" i="50" s="1"/>
  <c r="K61" i="50"/>
  <c r="K65" i="50" s="1"/>
  <c r="I62" i="50"/>
  <c r="I66" i="50" s="1"/>
  <c r="E60" i="50"/>
  <c r="E64" i="50" s="1"/>
  <c r="N60" i="50"/>
  <c r="N64" i="50" s="1"/>
  <c r="B61" i="50"/>
  <c r="B65" i="50" s="1"/>
  <c r="F62" i="50"/>
  <c r="F66" i="50" s="1"/>
  <c r="E61" i="50"/>
  <c r="E65" i="50" s="1"/>
  <c r="M60" i="50"/>
  <c r="M64" i="50" s="1"/>
  <c r="I61" i="50"/>
  <c r="I65" i="50" s="1"/>
  <c r="J61" i="50"/>
  <c r="J65" i="50" s="1"/>
  <c r="A28" i="50"/>
  <c r="A28" i="1"/>
  <c r="G1" i="50"/>
  <c r="B7" i="50"/>
  <c r="A7" i="50"/>
  <c r="S4" i="50"/>
  <c r="R4" i="50"/>
  <c r="Q4" i="50"/>
  <c r="P4" i="50"/>
  <c r="I4" i="50"/>
  <c r="H4" i="50"/>
  <c r="G4" i="50"/>
  <c r="F4" i="50"/>
  <c r="N57" i="50" l="1"/>
  <c r="F57" i="50"/>
  <c r="K56" i="50"/>
  <c r="H55" i="50"/>
  <c r="J53" i="50"/>
  <c r="D51" i="50"/>
  <c r="F49" i="50"/>
  <c r="M46" i="50"/>
  <c r="B45" i="50"/>
  <c r="E49" i="50"/>
  <c r="D46" i="50"/>
  <c r="K43" i="50"/>
  <c r="M57" i="50"/>
  <c r="E57" i="50"/>
  <c r="J56" i="50"/>
  <c r="B56" i="50"/>
  <c r="G55" i="50"/>
  <c r="L54" i="50"/>
  <c r="D54" i="50"/>
  <c r="I53" i="50"/>
  <c r="N52" i="50"/>
  <c r="F52" i="50"/>
  <c r="K51" i="50"/>
  <c r="C51" i="50"/>
  <c r="H50" i="50"/>
  <c r="M49" i="50"/>
  <c r="J48" i="50"/>
  <c r="L46" i="50"/>
  <c r="F44" i="50"/>
  <c r="C43" i="50"/>
  <c r="L57" i="50"/>
  <c r="D57" i="50"/>
  <c r="I56" i="50"/>
  <c r="N55" i="50"/>
  <c r="F55" i="50"/>
  <c r="K54" i="50"/>
  <c r="C54" i="50"/>
  <c r="H53" i="50"/>
  <c r="M52" i="50"/>
  <c r="E52" i="50"/>
  <c r="J51" i="50"/>
  <c r="B51" i="50"/>
  <c r="G50" i="50"/>
  <c r="L49" i="50"/>
  <c r="D49" i="50"/>
  <c r="I48" i="50"/>
  <c r="N47" i="50"/>
  <c r="F47" i="50"/>
  <c r="K46" i="50"/>
  <c r="C46" i="50"/>
  <c r="H45" i="50"/>
  <c r="M44" i="50"/>
  <c r="E44" i="50"/>
  <c r="J43" i="50"/>
  <c r="B43" i="50"/>
  <c r="K57" i="50"/>
  <c r="C57" i="50"/>
  <c r="H56" i="50"/>
  <c r="M55" i="50"/>
  <c r="J54" i="50"/>
  <c r="B54" i="50"/>
  <c r="G53" i="50"/>
  <c r="L52" i="50"/>
  <c r="D52" i="50"/>
  <c r="I51" i="50"/>
  <c r="F50" i="50"/>
  <c r="C49" i="50"/>
  <c r="M47" i="50"/>
  <c r="J46" i="50"/>
  <c r="G45" i="50"/>
  <c r="D44" i="50"/>
  <c r="M50" i="50"/>
  <c r="B49" i="50"/>
  <c r="L47" i="50"/>
  <c r="I46" i="50"/>
  <c r="K44" i="50"/>
  <c r="E55" i="50"/>
  <c r="N50" i="50"/>
  <c r="K49" i="50"/>
  <c r="H48" i="50"/>
  <c r="E47" i="50"/>
  <c r="B46" i="50"/>
  <c r="L44" i="50"/>
  <c r="I43" i="50"/>
  <c r="E50" i="50"/>
  <c r="D47" i="50"/>
  <c r="F45" i="50"/>
  <c r="J57" i="50"/>
  <c r="B57" i="50"/>
  <c r="G56" i="50"/>
  <c r="L55" i="50"/>
  <c r="D55" i="50"/>
  <c r="I54" i="50"/>
  <c r="N53" i="50"/>
  <c r="F53" i="50"/>
  <c r="K52" i="50"/>
  <c r="C52" i="50"/>
  <c r="H51" i="50"/>
  <c r="J49" i="50"/>
  <c r="G48" i="50"/>
  <c r="N45" i="50"/>
  <c r="C44" i="50"/>
  <c r="I57" i="50"/>
  <c r="N56" i="50"/>
  <c r="F56" i="50"/>
  <c r="K55" i="50"/>
  <c r="C55" i="50"/>
  <c r="H54" i="50"/>
  <c r="M53" i="50"/>
  <c r="E53" i="50"/>
  <c r="J52" i="50"/>
  <c r="B52" i="50"/>
  <c r="G51" i="50"/>
  <c r="L50" i="50"/>
  <c r="D50" i="50"/>
  <c r="I49" i="50"/>
  <c r="N48" i="50"/>
  <c r="F48" i="50"/>
  <c r="K47" i="50"/>
  <c r="C47" i="50"/>
  <c r="H46" i="50"/>
  <c r="M45" i="50"/>
  <c r="E45" i="50"/>
  <c r="J44" i="50"/>
  <c r="B44" i="50"/>
  <c r="G43" i="50"/>
  <c r="L56" i="50"/>
  <c r="D56" i="50"/>
  <c r="N54" i="50"/>
  <c r="F54" i="50"/>
  <c r="C53" i="50"/>
  <c r="M51" i="50"/>
  <c r="B50" i="50"/>
  <c r="I47" i="50"/>
  <c r="F46" i="50"/>
  <c r="C45" i="50"/>
  <c r="H44" i="50"/>
  <c r="E43" i="50"/>
  <c r="M54" i="50"/>
  <c r="B53" i="50"/>
  <c r="L51" i="50"/>
  <c r="N49" i="50"/>
  <c r="C48" i="50"/>
  <c r="J45" i="50"/>
  <c r="L43" i="50"/>
  <c r="G47" i="50"/>
  <c r="N44" i="50"/>
  <c r="H57" i="50"/>
  <c r="M56" i="50"/>
  <c r="E56" i="50"/>
  <c r="J55" i="50"/>
  <c r="B55" i="50"/>
  <c r="G54" i="50"/>
  <c r="L53" i="50"/>
  <c r="D53" i="50"/>
  <c r="I52" i="50"/>
  <c r="N51" i="50"/>
  <c r="F51" i="50"/>
  <c r="K50" i="50"/>
  <c r="C50" i="50"/>
  <c r="H49" i="50"/>
  <c r="M48" i="50"/>
  <c r="E48" i="50"/>
  <c r="J47" i="50"/>
  <c r="B47" i="50"/>
  <c r="G46" i="50"/>
  <c r="L45" i="50"/>
  <c r="D45" i="50"/>
  <c r="I44" i="50"/>
  <c r="N43" i="50"/>
  <c r="F43" i="50"/>
  <c r="G57" i="50"/>
  <c r="I55" i="50"/>
  <c r="K53" i="50"/>
  <c r="H52" i="50"/>
  <c r="E51" i="50"/>
  <c r="J50" i="50"/>
  <c r="G49" i="50"/>
  <c r="L48" i="50"/>
  <c r="D48" i="50"/>
  <c r="N46" i="50"/>
  <c r="K45" i="50"/>
  <c r="M43" i="50"/>
  <c r="C56" i="50"/>
  <c r="E54" i="50"/>
  <c r="G52" i="50"/>
  <c r="I50" i="50"/>
  <c r="K48" i="50"/>
  <c r="H47" i="50"/>
  <c r="E46" i="50"/>
  <c r="G44" i="50"/>
  <c r="D43" i="50"/>
  <c r="B48" i="50"/>
  <c r="I45" i="50"/>
  <c r="H43" i="50"/>
  <c r="O24" i="101"/>
  <c r="Z24" i="101" s="1"/>
  <c r="O22" i="101"/>
  <c r="Z22" i="101" s="1"/>
  <c r="O17" i="101"/>
  <c r="Z17" i="101" s="1"/>
  <c r="O26" i="101"/>
  <c r="Z26" i="101" s="1"/>
  <c r="O13" i="101"/>
  <c r="Z13" i="101" s="1"/>
  <c r="O16" i="101"/>
  <c r="Z16" i="101" s="1"/>
  <c r="O15" i="101"/>
  <c r="O25" i="101"/>
  <c r="Z25" i="101" s="1"/>
  <c r="O23" i="101"/>
  <c r="Z23" i="101" s="1"/>
  <c r="O14" i="101"/>
  <c r="Z14" i="101" s="1"/>
  <c r="L7" i="101"/>
  <c r="M26" i="101"/>
  <c r="AB26" i="101" s="1"/>
  <c r="K25" i="101"/>
  <c r="AD25" i="101" s="1"/>
  <c r="M16" i="101"/>
  <c r="AB16" i="101" s="1"/>
  <c r="K15" i="101"/>
  <c r="AD15" i="101" s="1"/>
  <c r="K17" i="101"/>
  <c r="AD17" i="101" s="1"/>
  <c r="J24" i="101"/>
  <c r="AE24" i="101" s="1"/>
  <c r="L6" i="101"/>
  <c r="L26" i="101"/>
  <c r="AC26" i="101" s="1"/>
  <c r="J25" i="101"/>
  <c r="AE25" i="101" s="1"/>
  <c r="N17" i="101"/>
  <c r="AA17" i="101" s="1"/>
  <c r="L16" i="101"/>
  <c r="AC16" i="101" s="1"/>
  <c r="J15" i="101"/>
  <c r="AE15" i="101" s="1"/>
  <c r="M24" i="101"/>
  <c r="AB24" i="101" s="1"/>
  <c r="K24" i="101"/>
  <c r="AD24" i="101" s="1"/>
  <c r="N16" i="101"/>
  <c r="AA16" i="101" s="1"/>
  <c r="L5" i="101"/>
  <c r="K26" i="101"/>
  <c r="AD26" i="101" s="1"/>
  <c r="M17" i="101"/>
  <c r="AB17" i="101" s="1"/>
  <c r="K16" i="101"/>
  <c r="AD16" i="101" s="1"/>
  <c r="Z15" i="101"/>
  <c r="L25" i="101"/>
  <c r="AC25" i="101" s="1"/>
  <c r="J7" i="101"/>
  <c r="J26" i="101"/>
  <c r="AE26" i="101" s="1"/>
  <c r="N24" i="101"/>
  <c r="AA24" i="101" s="1"/>
  <c r="L17" i="101"/>
  <c r="AC17" i="101" s="1"/>
  <c r="J16" i="101"/>
  <c r="AE16" i="101" s="1"/>
  <c r="J6" i="101"/>
  <c r="N26" i="101"/>
  <c r="AA26" i="101" s="1"/>
  <c r="J5" i="101"/>
  <c r="N25" i="101"/>
  <c r="AA25" i="101" s="1"/>
  <c r="L24" i="101"/>
  <c r="AC24" i="101" s="1"/>
  <c r="J17" i="101"/>
  <c r="AE17" i="101" s="1"/>
  <c r="N15" i="101"/>
  <c r="AA15" i="101" s="1"/>
  <c r="M25" i="101"/>
  <c r="AB25" i="101" s="1"/>
  <c r="M15" i="101"/>
  <c r="AB15" i="101" s="1"/>
  <c r="L15" i="101"/>
  <c r="AC15" i="101" s="1"/>
  <c r="L3" i="101"/>
  <c r="J3" i="101"/>
  <c r="M22" i="101"/>
  <c r="AB22" i="101" s="1"/>
  <c r="K13" i="101"/>
  <c r="AD13" i="101" s="1"/>
  <c r="L22" i="101"/>
  <c r="AC22" i="101" s="1"/>
  <c r="K22" i="101"/>
  <c r="AD22" i="101" s="1"/>
  <c r="J22" i="101"/>
  <c r="AE22" i="101" s="1"/>
  <c r="N13" i="101"/>
  <c r="AA13" i="101" s="1"/>
  <c r="J13" i="101"/>
  <c r="AE13" i="101" s="1"/>
  <c r="M13" i="101"/>
  <c r="AB13" i="101" s="1"/>
  <c r="N22" i="101"/>
  <c r="AA22" i="101" s="1"/>
  <c r="L13" i="101"/>
  <c r="AC13" i="101" s="1"/>
  <c r="K72" i="50"/>
  <c r="C72" i="50"/>
  <c r="J72" i="50"/>
  <c r="I72" i="50"/>
  <c r="H72" i="50"/>
  <c r="N72" i="50"/>
  <c r="B72" i="50"/>
  <c r="G72" i="50"/>
  <c r="M72" i="50"/>
  <c r="L72" i="50"/>
  <c r="E72" i="50"/>
  <c r="D72" i="50"/>
  <c r="F72" i="50"/>
  <c r="L4" i="101"/>
  <c r="J4" i="101"/>
  <c r="K14" i="101"/>
  <c r="AD14" i="101" s="1"/>
  <c r="N23" i="101"/>
  <c r="AA23" i="101" s="1"/>
  <c r="J14" i="101"/>
  <c r="AE14" i="101" s="1"/>
  <c r="M14" i="101"/>
  <c r="AB14" i="101" s="1"/>
  <c r="M23" i="101"/>
  <c r="AB23" i="101" s="1"/>
  <c r="L23" i="101"/>
  <c r="AC23" i="101" s="1"/>
  <c r="K23" i="101"/>
  <c r="AD23" i="101" s="1"/>
  <c r="J23" i="101"/>
  <c r="AE23" i="101" s="1"/>
  <c r="N14" i="101"/>
  <c r="AA14" i="101" s="1"/>
  <c r="L14" i="101"/>
  <c r="AC14" i="101" s="1"/>
  <c r="N73" i="50"/>
  <c r="F73" i="50"/>
  <c r="J73" i="50"/>
  <c r="G73" i="50"/>
  <c r="M73" i="50"/>
  <c r="E73" i="50"/>
  <c r="C73" i="50"/>
  <c r="L73" i="50"/>
  <c r="D73" i="50"/>
  <c r="K73" i="50"/>
  <c r="B73" i="50"/>
  <c r="I73" i="50"/>
  <c r="H73" i="50"/>
  <c r="M21" i="50"/>
  <c r="M70" i="50" s="1"/>
  <c r="E21" i="50"/>
  <c r="E70" i="50" s="1"/>
  <c r="N21" i="50"/>
  <c r="N70" i="50" s="1"/>
  <c r="L21" i="50"/>
  <c r="L70" i="50" s="1"/>
  <c r="D21" i="50"/>
  <c r="D70" i="50" s="1"/>
  <c r="K21" i="50"/>
  <c r="K70" i="50" s="1"/>
  <c r="C21" i="50"/>
  <c r="C70" i="50" s="1"/>
  <c r="J21" i="50"/>
  <c r="J70" i="50" s="1"/>
  <c r="B21" i="50"/>
  <c r="B70" i="50" s="1"/>
  <c r="I21" i="50"/>
  <c r="I70" i="50" s="1"/>
  <c r="F21" i="50"/>
  <c r="F70" i="50" s="1"/>
  <c r="H21" i="50"/>
  <c r="H70" i="50" s="1"/>
  <c r="G21" i="50"/>
  <c r="G70" i="50" s="1"/>
  <c r="H22" i="50"/>
  <c r="H71" i="50" s="1"/>
  <c r="B22" i="50"/>
  <c r="B71" i="50" s="1"/>
  <c r="G22" i="50"/>
  <c r="G71" i="50" s="1"/>
  <c r="J22" i="50"/>
  <c r="J71" i="50" s="1"/>
  <c r="N22" i="50"/>
  <c r="N71" i="50" s="1"/>
  <c r="F22" i="50"/>
  <c r="F71" i="50" s="1"/>
  <c r="I22" i="50"/>
  <c r="I71" i="50" s="1"/>
  <c r="M22" i="50"/>
  <c r="M71" i="50" s="1"/>
  <c r="E22" i="50"/>
  <c r="E71" i="50" s="1"/>
  <c r="L22" i="50"/>
  <c r="L71" i="50" s="1"/>
  <c r="D22" i="50"/>
  <c r="D71" i="50" s="1"/>
  <c r="K22" i="50"/>
  <c r="K71" i="50" s="1"/>
  <c r="C22" i="50"/>
  <c r="C71" i="50" s="1"/>
  <c r="G1" i="1"/>
  <c r="B7" i="1"/>
  <c r="A7" i="1"/>
  <c r="S4" i="1"/>
  <c r="R4" i="1"/>
  <c r="Q4" i="1"/>
  <c r="P4" i="1"/>
  <c r="X4" i="1"/>
  <c r="I4" i="1"/>
  <c r="H4" i="1"/>
  <c r="G4" i="1"/>
  <c r="M4" i="101" l="1"/>
  <c r="I57" i="1"/>
  <c r="N56" i="1"/>
  <c r="F56" i="1"/>
  <c r="K55" i="1"/>
  <c r="C55" i="1"/>
  <c r="H54" i="1"/>
  <c r="M53" i="1"/>
  <c r="E53" i="1"/>
  <c r="J52" i="1"/>
  <c r="B52" i="1"/>
  <c r="G51" i="1"/>
  <c r="L50" i="1"/>
  <c r="D50" i="1"/>
  <c r="I49" i="1"/>
  <c r="N48" i="1"/>
  <c r="F48" i="1"/>
  <c r="K47" i="1"/>
  <c r="C47" i="1"/>
  <c r="H46" i="1"/>
  <c r="M45" i="1"/>
  <c r="E45" i="1"/>
  <c r="J44" i="1"/>
  <c r="B44" i="1"/>
  <c r="G43" i="1"/>
  <c r="M50" i="1"/>
  <c r="F45" i="1"/>
  <c r="H57" i="1"/>
  <c r="M56" i="1"/>
  <c r="E56" i="1"/>
  <c r="J55" i="1"/>
  <c r="B55" i="1"/>
  <c r="G54" i="1"/>
  <c r="L53" i="1"/>
  <c r="D53" i="1"/>
  <c r="I52" i="1"/>
  <c r="N51" i="1"/>
  <c r="F51" i="1"/>
  <c r="K50" i="1"/>
  <c r="C50" i="1"/>
  <c r="H49" i="1"/>
  <c r="M48" i="1"/>
  <c r="E48" i="1"/>
  <c r="J47" i="1"/>
  <c r="B47" i="1"/>
  <c r="G46" i="1"/>
  <c r="L45" i="1"/>
  <c r="D45" i="1"/>
  <c r="I44" i="1"/>
  <c r="N43" i="1"/>
  <c r="F43" i="1"/>
  <c r="J49" i="1"/>
  <c r="N45" i="1"/>
  <c r="G57" i="1"/>
  <c r="L56" i="1"/>
  <c r="D56" i="1"/>
  <c r="I55" i="1"/>
  <c r="N54" i="1"/>
  <c r="F54" i="1"/>
  <c r="K53" i="1"/>
  <c r="C53" i="1"/>
  <c r="H52" i="1"/>
  <c r="M51" i="1"/>
  <c r="E51" i="1"/>
  <c r="J50" i="1"/>
  <c r="B50" i="1"/>
  <c r="G49" i="1"/>
  <c r="L48" i="1"/>
  <c r="D48" i="1"/>
  <c r="I47" i="1"/>
  <c r="N46" i="1"/>
  <c r="F46" i="1"/>
  <c r="K45" i="1"/>
  <c r="C45" i="1"/>
  <c r="H44" i="1"/>
  <c r="M43" i="1"/>
  <c r="E43" i="1"/>
  <c r="C48" i="1"/>
  <c r="M46" i="1"/>
  <c r="E46" i="1"/>
  <c r="B45" i="1"/>
  <c r="D43" i="1"/>
  <c r="L46" i="1"/>
  <c r="F44" i="1"/>
  <c r="E50" i="1"/>
  <c r="I46" i="1"/>
  <c r="N57" i="1"/>
  <c r="F57" i="1"/>
  <c r="K56" i="1"/>
  <c r="C56" i="1"/>
  <c r="H55" i="1"/>
  <c r="M54" i="1"/>
  <c r="E54" i="1"/>
  <c r="J53" i="1"/>
  <c r="B53" i="1"/>
  <c r="G52" i="1"/>
  <c r="L51" i="1"/>
  <c r="D51" i="1"/>
  <c r="I50" i="1"/>
  <c r="N49" i="1"/>
  <c r="F49" i="1"/>
  <c r="K48" i="1"/>
  <c r="H47" i="1"/>
  <c r="J45" i="1"/>
  <c r="G44" i="1"/>
  <c r="L43" i="1"/>
  <c r="I45" i="1"/>
  <c r="N44" i="1"/>
  <c r="K43" i="1"/>
  <c r="H51" i="1"/>
  <c r="B49" i="1"/>
  <c r="C44" i="1"/>
  <c r="M57" i="1"/>
  <c r="E57" i="1"/>
  <c r="J56" i="1"/>
  <c r="B56" i="1"/>
  <c r="G55" i="1"/>
  <c r="L54" i="1"/>
  <c r="D54" i="1"/>
  <c r="I53" i="1"/>
  <c r="N52" i="1"/>
  <c r="F52" i="1"/>
  <c r="K51" i="1"/>
  <c r="C51" i="1"/>
  <c r="H50" i="1"/>
  <c r="M49" i="1"/>
  <c r="E49" i="1"/>
  <c r="J48" i="1"/>
  <c r="B48" i="1"/>
  <c r="G47" i="1"/>
  <c r="D46" i="1"/>
  <c r="C43" i="1"/>
  <c r="D47" i="1"/>
  <c r="H43" i="1"/>
  <c r="L57" i="1"/>
  <c r="D57" i="1"/>
  <c r="I56" i="1"/>
  <c r="N55" i="1"/>
  <c r="F55" i="1"/>
  <c r="K54" i="1"/>
  <c r="C54" i="1"/>
  <c r="H53" i="1"/>
  <c r="M52" i="1"/>
  <c r="E52" i="1"/>
  <c r="J51" i="1"/>
  <c r="B51" i="1"/>
  <c r="G50" i="1"/>
  <c r="L49" i="1"/>
  <c r="D49" i="1"/>
  <c r="I48" i="1"/>
  <c r="N47" i="1"/>
  <c r="F47" i="1"/>
  <c r="K46" i="1"/>
  <c r="C46" i="1"/>
  <c r="H45" i="1"/>
  <c r="M44" i="1"/>
  <c r="E44" i="1"/>
  <c r="J43" i="1"/>
  <c r="B43" i="1"/>
  <c r="J57" i="1"/>
  <c r="L55" i="1"/>
  <c r="D55" i="1"/>
  <c r="I54" i="1"/>
  <c r="F53" i="1"/>
  <c r="C52" i="1"/>
  <c r="G48" i="1"/>
  <c r="K57" i="1"/>
  <c r="C57" i="1"/>
  <c r="H56" i="1"/>
  <c r="M55" i="1"/>
  <c r="E55" i="1"/>
  <c r="J54" i="1"/>
  <c r="B54" i="1"/>
  <c r="G53" i="1"/>
  <c r="L52" i="1"/>
  <c r="D52" i="1"/>
  <c r="I51" i="1"/>
  <c r="N50" i="1"/>
  <c r="F50" i="1"/>
  <c r="K49" i="1"/>
  <c r="C49" i="1"/>
  <c r="H48" i="1"/>
  <c r="M47" i="1"/>
  <c r="E47" i="1"/>
  <c r="J46" i="1"/>
  <c r="B46" i="1"/>
  <c r="G45" i="1"/>
  <c r="L44" i="1"/>
  <c r="D44" i="1"/>
  <c r="I43" i="1"/>
  <c r="B57" i="1"/>
  <c r="G56" i="1"/>
  <c r="N53" i="1"/>
  <c r="K52" i="1"/>
  <c r="L47" i="1"/>
  <c r="K44" i="1"/>
  <c r="G23" i="101"/>
  <c r="R23" i="101" s="1"/>
  <c r="G14" i="101"/>
  <c r="R14" i="101" s="1"/>
  <c r="G25" i="101"/>
  <c r="R25" i="101" s="1"/>
  <c r="G24" i="101"/>
  <c r="R24" i="101" s="1"/>
  <c r="G15" i="101"/>
  <c r="R15" i="101" s="1"/>
  <c r="G13" i="101"/>
  <c r="R13" i="101" s="1"/>
  <c r="G22" i="101"/>
  <c r="R22" i="101" s="1"/>
  <c r="G16" i="101"/>
  <c r="R16" i="101" s="1"/>
  <c r="G26" i="101"/>
  <c r="R26" i="101" s="1"/>
  <c r="G17" i="101"/>
  <c r="R17" i="101" s="1"/>
  <c r="K4" i="101"/>
  <c r="K6" i="101"/>
  <c r="J9" i="101"/>
  <c r="K3" i="101"/>
  <c r="M3" i="101"/>
  <c r="L9" i="101"/>
  <c r="K5" i="101"/>
  <c r="K7" i="101"/>
  <c r="M5" i="101"/>
  <c r="M6" i="101"/>
  <c r="M7" i="101"/>
  <c r="B5" i="101"/>
  <c r="B26" i="101"/>
  <c r="W26" i="101" s="1"/>
  <c r="F24" i="101"/>
  <c r="S24" i="101" s="1"/>
  <c r="F17" i="101"/>
  <c r="S17" i="101" s="1"/>
  <c r="D16" i="101"/>
  <c r="U16" i="101" s="1"/>
  <c r="B15" i="101"/>
  <c r="W15" i="101" s="1"/>
  <c r="E24" i="101"/>
  <c r="T24" i="101" s="1"/>
  <c r="E17" i="101"/>
  <c r="T17" i="101" s="1"/>
  <c r="C16" i="101"/>
  <c r="V16" i="101" s="1"/>
  <c r="C17" i="101"/>
  <c r="V17" i="101" s="1"/>
  <c r="D6" i="101"/>
  <c r="F26" i="101"/>
  <c r="S26" i="101" s="1"/>
  <c r="B24" i="101"/>
  <c r="W24" i="101" s="1"/>
  <c r="B17" i="101"/>
  <c r="W17" i="101" s="1"/>
  <c r="D5" i="101"/>
  <c r="C25" i="101"/>
  <c r="V25" i="101" s="1"/>
  <c r="B7" i="101"/>
  <c r="D26" i="101"/>
  <c r="U26" i="101" s="1"/>
  <c r="F16" i="101"/>
  <c r="S16" i="101" s="1"/>
  <c r="C26" i="101"/>
  <c r="V26" i="101" s="1"/>
  <c r="E16" i="101"/>
  <c r="T16" i="101" s="1"/>
  <c r="C15" i="101"/>
  <c r="V15" i="101" s="1"/>
  <c r="F25" i="101"/>
  <c r="S25" i="101" s="1"/>
  <c r="D24" i="101"/>
  <c r="U24" i="101" s="1"/>
  <c r="D17" i="101"/>
  <c r="U17" i="101" s="1"/>
  <c r="B16" i="101"/>
  <c r="W16" i="101" s="1"/>
  <c r="D7" i="101"/>
  <c r="E25" i="101"/>
  <c r="T25" i="101" s="1"/>
  <c r="C24" i="101"/>
  <c r="V24" i="101" s="1"/>
  <c r="D25" i="101"/>
  <c r="U25" i="101" s="1"/>
  <c r="F15" i="101"/>
  <c r="S15" i="101" s="1"/>
  <c r="E26" i="101"/>
  <c r="T26" i="101" s="1"/>
  <c r="E15" i="101"/>
  <c r="T15" i="101" s="1"/>
  <c r="B25" i="101"/>
  <c r="W25" i="101" s="1"/>
  <c r="D15" i="101"/>
  <c r="U15" i="101" s="1"/>
  <c r="B6" i="101"/>
  <c r="D3" i="101"/>
  <c r="B3" i="101"/>
  <c r="F22" i="101"/>
  <c r="S22" i="101" s="1"/>
  <c r="E22" i="101"/>
  <c r="T22" i="101" s="1"/>
  <c r="E13" i="101"/>
  <c r="T13" i="101" s="1"/>
  <c r="B22" i="101"/>
  <c r="W22" i="101" s="1"/>
  <c r="D22" i="101"/>
  <c r="U22" i="101" s="1"/>
  <c r="D13" i="101"/>
  <c r="U13" i="101" s="1"/>
  <c r="C22" i="101"/>
  <c r="V22" i="101" s="1"/>
  <c r="C13" i="101"/>
  <c r="V13" i="101" s="1"/>
  <c r="B13" i="101"/>
  <c r="W13" i="101" s="1"/>
  <c r="F13" i="101"/>
  <c r="S13" i="101" s="1"/>
  <c r="M72" i="1"/>
  <c r="E72" i="1"/>
  <c r="K72" i="1"/>
  <c r="G72" i="1"/>
  <c r="L72" i="1"/>
  <c r="D72" i="1"/>
  <c r="C72" i="1"/>
  <c r="B72" i="1"/>
  <c r="F72" i="1"/>
  <c r="J72" i="1"/>
  <c r="H72" i="1"/>
  <c r="I72" i="1"/>
  <c r="N72" i="1"/>
  <c r="D4" i="101"/>
  <c r="B4" i="101"/>
  <c r="C23" i="101"/>
  <c r="V23" i="101" s="1"/>
  <c r="C14" i="101"/>
  <c r="V14" i="101" s="1"/>
  <c r="B23" i="101"/>
  <c r="W23" i="101" s="1"/>
  <c r="B14" i="101"/>
  <c r="W14" i="101" s="1"/>
  <c r="F23" i="101"/>
  <c r="S23" i="101" s="1"/>
  <c r="F14" i="101"/>
  <c r="S14" i="101" s="1"/>
  <c r="D23" i="101"/>
  <c r="U23" i="101" s="1"/>
  <c r="D14" i="101"/>
  <c r="U14" i="101" s="1"/>
  <c r="E23" i="101"/>
  <c r="T23" i="101" s="1"/>
  <c r="E14" i="101"/>
  <c r="T14" i="101" s="1"/>
  <c r="H73" i="1"/>
  <c r="E73" i="1"/>
  <c r="K73" i="1"/>
  <c r="G73" i="1"/>
  <c r="F73" i="1"/>
  <c r="J73" i="1"/>
  <c r="N73" i="1"/>
  <c r="B73" i="1"/>
  <c r="M73" i="1"/>
  <c r="I73" i="1"/>
  <c r="L73" i="1"/>
  <c r="D73" i="1"/>
  <c r="C73" i="1"/>
  <c r="X6" i="1"/>
  <c r="X5" i="1"/>
  <c r="X10" i="1"/>
  <c r="H22" i="1"/>
  <c r="C22" i="1"/>
  <c r="G22" i="1"/>
  <c r="K22" i="1"/>
  <c r="N22" i="1"/>
  <c r="F22" i="1"/>
  <c r="F71" i="1" s="1"/>
  <c r="M22" i="1"/>
  <c r="M71" i="1" s="1"/>
  <c r="E22" i="1"/>
  <c r="B22" i="1"/>
  <c r="L22" i="1"/>
  <c r="L71" i="1" s="1"/>
  <c r="D22" i="1"/>
  <c r="J22" i="1"/>
  <c r="I22" i="1"/>
  <c r="M21" i="1"/>
  <c r="E21" i="1"/>
  <c r="E70" i="1" s="1"/>
  <c r="L21" i="1"/>
  <c r="D21" i="1"/>
  <c r="K21" i="1"/>
  <c r="C21" i="1"/>
  <c r="J21" i="1"/>
  <c r="B21" i="1"/>
  <c r="B70" i="1" s="1"/>
  <c r="H21" i="1"/>
  <c r="I21" i="1"/>
  <c r="N21" i="1"/>
  <c r="F21" i="1"/>
  <c r="G21" i="1"/>
  <c r="G70" i="1" s="1"/>
  <c r="F4" i="1"/>
  <c r="E5" i="101" l="1"/>
  <c r="K71" i="1"/>
  <c r="E4" i="101"/>
  <c r="E7" i="101"/>
  <c r="E6" i="101"/>
  <c r="D9" i="101"/>
  <c r="E3" i="101"/>
  <c r="C70" i="1"/>
  <c r="M62" i="1"/>
  <c r="M66" i="1" s="1"/>
  <c r="E62" i="1"/>
  <c r="E66" i="1" s="1"/>
  <c r="J61" i="1"/>
  <c r="J65" i="1" s="1"/>
  <c r="B61" i="1"/>
  <c r="B65" i="1" s="1"/>
  <c r="L61" i="1"/>
  <c r="L65" i="1" s="1"/>
  <c r="L62" i="1"/>
  <c r="L66" i="1" s="1"/>
  <c r="D62" i="1"/>
  <c r="D66" i="1" s="1"/>
  <c r="I61" i="1"/>
  <c r="I65" i="1" s="1"/>
  <c r="I62" i="1"/>
  <c r="I66" i="1" s="1"/>
  <c r="N62" i="1"/>
  <c r="K62" i="1"/>
  <c r="K66" i="1" s="1"/>
  <c r="C62" i="1"/>
  <c r="C66" i="1" s="1"/>
  <c r="H61" i="1"/>
  <c r="H65" i="1" s="1"/>
  <c r="F61" i="1"/>
  <c r="F65" i="1" s="1"/>
  <c r="F62" i="1"/>
  <c r="F66" i="1" s="1"/>
  <c r="J62" i="1"/>
  <c r="J66" i="1" s="1"/>
  <c r="B62" i="1"/>
  <c r="B66" i="1" s="1"/>
  <c r="G61" i="1"/>
  <c r="G65" i="1" s="1"/>
  <c r="N61" i="1"/>
  <c r="N65" i="1" s="1"/>
  <c r="K61" i="1"/>
  <c r="K65" i="1" s="1"/>
  <c r="H62" i="1"/>
  <c r="H66" i="1" s="1"/>
  <c r="M61" i="1"/>
  <c r="M65" i="1" s="1"/>
  <c r="E61" i="1"/>
  <c r="E65" i="1" s="1"/>
  <c r="G62" i="1"/>
  <c r="G66" i="1" s="1"/>
  <c r="D61" i="1"/>
  <c r="D65" i="1" s="1"/>
  <c r="C61" i="1"/>
  <c r="C65" i="1" s="1"/>
  <c r="N60" i="1"/>
  <c r="N64" i="1" s="1"/>
  <c r="F60" i="1"/>
  <c r="F64" i="1" s="1"/>
  <c r="I60" i="1"/>
  <c r="I64" i="1" s="1"/>
  <c r="M60" i="1"/>
  <c r="M64" i="1" s="1"/>
  <c r="E60" i="1"/>
  <c r="E64" i="1" s="1"/>
  <c r="D60" i="1"/>
  <c r="D64" i="1" s="1"/>
  <c r="C60" i="1"/>
  <c r="C64" i="1" s="1"/>
  <c r="H60" i="1"/>
  <c r="H64" i="1" s="1"/>
  <c r="L60" i="1"/>
  <c r="L64" i="1" s="1"/>
  <c r="J60" i="1"/>
  <c r="J64" i="1" s="1"/>
  <c r="G60" i="1"/>
  <c r="G64" i="1" s="1"/>
  <c r="K60" i="1"/>
  <c r="K64" i="1" s="1"/>
  <c r="B60" i="1"/>
  <c r="B64" i="1" s="1"/>
  <c r="L70" i="1"/>
  <c r="N70" i="1"/>
  <c r="J70" i="1"/>
  <c r="I71" i="1"/>
  <c r="C71" i="1"/>
  <c r="E71" i="1"/>
  <c r="H71" i="1"/>
  <c r="I70" i="1"/>
  <c r="D70" i="1"/>
  <c r="B71" i="1"/>
  <c r="F70" i="1"/>
  <c r="M70" i="1"/>
  <c r="K70" i="1"/>
  <c r="J71" i="1"/>
  <c r="D71" i="1"/>
  <c r="H70" i="1"/>
  <c r="G71" i="1"/>
  <c r="N71" i="1"/>
  <c r="N9" i="50"/>
  <c r="M26" i="93" s="1"/>
  <c r="N9" i="1"/>
  <c r="A13" i="1"/>
  <c r="A63" i="1"/>
  <c r="A13" i="50"/>
  <c r="A63" i="50"/>
  <c r="M9" i="1" l="1"/>
  <c r="L20" i="93" s="1"/>
  <c r="M20" i="93"/>
  <c r="C4" i="101"/>
  <c r="C6" i="101"/>
  <c r="C7" i="101"/>
  <c r="C3" i="101"/>
  <c r="C5" i="101"/>
  <c r="B9" i="101"/>
  <c r="N40" i="50"/>
  <c r="N17" i="50"/>
  <c r="M9" i="50"/>
  <c r="N18" i="50"/>
  <c r="N59" i="50"/>
  <c r="A73" i="50"/>
  <c r="A22" i="50"/>
  <c r="A71" i="50"/>
  <c r="N69" i="50"/>
  <c r="N42" i="50"/>
  <c r="N18" i="1"/>
  <c r="N17" i="1"/>
  <c r="N59" i="1"/>
  <c r="N40" i="1"/>
  <c r="A72" i="1"/>
  <c r="A70" i="1"/>
  <c r="M41" i="1"/>
  <c r="N67" i="1"/>
  <c r="A21" i="1"/>
  <c r="M42" i="50" l="1"/>
  <c r="L26" i="93"/>
  <c r="M17" i="1"/>
  <c r="M40" i="1"/>
  <c r="L9" i="1"/>
  <c r="K20" i="93" s="1"/>
  <c r="M18" i="1"/>
  <c r="M67" i="1"/>
  <c r="M59" i="1"/>
  <c r="S10" i="1"/>
  <c r="S10" i="50"/>
  <c r="M69" i="50"/>
  <c r="L41" i="1"/>
  <c r="M19" i="1"/>
  <c r="N19" i="50"/>
  <c r="N13" i="50"/>
  <c r="N63" i="50"/>
  <c r="N67" i="50"/>
  <c r="A72" i="50"/>
  <c r="M67" i="50"/>
  <c r="A70" i="50"/>
  <c r="A21" i="50"/>
  <c r="N41" i="50"/>
  <c r="L9" i="50"/>
  <c r="K26" i="93" s="1"/>
  <c r="M18" i="50"/>
  <c r="M41" i="50"/>
  <c r="M17" i="50"/>
  <c r="M59" i="50"/>
  <c r="M40" i="50"/>
  <c r="N66" i="1"/>
  <c r="N63" i="1"/>
  <c r="M13" i="1"/>
  <c r="N19" i="1"/>
  <c r="M63" i="1"/>
  <c r="L17" i="1"/>
  <c r="L18" i="1"/>
  <c r="L59" i="1"/>
  <c r="L40" i="1"/>
  <c r="N13" i="1"/>
  <c r="N41" i="1"/>
  <c r="N74" i="1" s="1"/>
  <c r="A71" i="1"/>
  <c r="A22" i="1"/>
  <c r="M69" i="1"/>
  <c r="L42" i="1"/>
  <c r="N69" i="1"/>
  <c r="L69" i="1"/>
  <c r="M42" i="1"/>
  <c r="A73" i="1"/>
  <c r="N20" i="50" l="1"/>
  <c r="K9" i="1"/>
  <c r="J20" i="93" s="1"/>
  <c r="L67" i="1"/>
  <c r="M20" i="1"/>
  <c r="N20" i="1"/>
  <c r="K42" i="1"/>
  <c r="M74" i="1"/>
  <c r="K69" i="1"/>
  <c r="N74" i="50"/>
  <c r="M19" i="50"/>
  <c r="L17" i="50"/>
  <c r="L40" i="50"/>
  <c r="L18" i="50"/>
  <c r="L59" i="50"/>
  <c r="K9" i="50"/>
  <c r="J26" i="93" s="1"/>
  <c r="L42" i="50"/>
  <c r="L67" i="50"/>
  <c r="L69" i="50"/>
  <c r="M63" i="50"/>
  <c r="M13" i="50"/>
  <c r="N23" i="50"/>
  <c r="L19" i="1"/>
  <c r="L13" i="1"/>
  <c r="K40" i="1"/>
  <c r="J9" i="1"/>
  <c r="I20" i="93" s="1"/>
  <c r="K18" i="1"/>
  <c r="K59" i="1"/>
  <c r="K17" i="1"/>
  <c r="K41" i="1"/>
  <c r="K67" i="1"/>
  <c r="L63" i="1"/>
  <c r="M23" i="1"/>
  <c r="N23" i="1"/>
  <c r="N42" i="1"/>
  <c r="M20" i="50" l="1"/>
  <c r="L20" i="1"/>
  <c r="L19" i="50"/>
  <c r="K17" i="50"/>
  <c r="K18" i="50"/>
  <c r="K40" i="50"/>
  <c r="K59" i="50"/>
  <c r="J9" i="50"/>
  <c r="I26" i="93" s="1"/>
  <c r="K69" i="50"/>
  <c r="K42" i="50"/>
  <c r="K67" i="50"/>
  <c r="L63" i="50"/>
  <c r="L13" i="50"/>
  <c r="L41" i="50"/>
  <c r="M74" i="50" s="1"/>
  <c r="M23" i="50"/>
  <c r="L74" i="1"/>
  <c r="L23" i="1"/>
  <c r="K13" i="1"/>
  <c r="J17" i="1"/>
  <c r="J18" i="1"/>
  <c r="J40" i="1"/>
  <c r="J59" i="1"/>
  <c r="I9" i="1"/>
  <c r="H20" i="93" s="1"/>
  <c r="J41" i="1"/>
  <c r="J67" i="1"/>
  <c r="J42" i="1"/>
  <c r="J69" i="1"/>
  <c r="K19" i="1"/>
  <c r="K63" i="1"/>
  <c r="K20" i="1" l="1"/>
  <c r="L20" i="50"/>
  <c r="K41" i="50"/>
  <c r="L74" i="50" s="1"/>
  <c r="L23" i="50"/>
  <c r="K19" i="50"/>
  <c r="K63" i="50"/>
  <c r="J59" i="50"/>
  <c r="J40" i="50"/>
  <c r="J67" i="50"/>
  <c r="I9" i="50"/>
  <c r="H26" i="93" s="1"/>
  <c r="J18" i="50"/>
  <c r="J17" i="50"/>
  <c r="J69" i="50"/>
  <c r="J42" i="50"/>
  <c r="K13" i="50"/>
  <c r="J63" i="1"/>
  <c r="J13" i="1"/>
  <c r="K74" i="1"/>
  <c r="H9" i="1"/>
  <c r="G20" i="93" s="1"/>
  <c r="I40" i="1"/>
  <c r="I17" i="1"/>
  <c r="I59" i="1"/>
  <c r="I18" i="1"/>
  <c r="I67" i="1"/>
  <c r="I69" i="1"/>
  <c r="I42" i="1"/>
  <c r="J19" i="1"/>
  <c r="K23" i="1"/>
  <c r="K20" i="50" l="1"/>
  <c r="J20" i="1"/>
  <c r="J63" i="50"/>
  <c r="J13" i="50"/>
  <c r="I17" i="50"/>
  <c r="I67" i="50"/>
  <c r="I18" i="50"/>
  <c r="H9" i="50"/>
  <c r="G26" i="93" s="1"/>
  <c r="I40" i="50"/>
  <c r="I59" i="50"/>
  <c r="I69" i="50"/>
  <c r="I42" i="50"/>
  <c r="J41" i="50"/>
  <c r="K23" i="50"/>
  <c r="J19" i="50"/>
  <c r="H18" i="1"/>
  <c r="H17" i="1"/>
  <c r="H59" i="1"/>
  <c r="H40" i="1"/>
  <c r="G9" i="1"/>
  <c r="F20" i="93" s="1"/>
  <c r="H67" i="1"/>
  <c r="H41" i="1"/>
  <c r="H69" i="1"/>
  <c r="H42" i="1"/>
  <c r="I63" i="1"/>
  <c r="I13" i="1"/>
  <c r="I41" i="1"/>
  <c r="J74" i="1" s="1"/>
  <c r="J23" i="1"/>
  <c r="I19" i="1"/>
  <c r="I20" i="1" l="1"/>
  <c r="J20" i="50"/>
  <c r="I13" i="50"/>
  <c r="I63" i="50"/>
  <c r="I41" i="50"/>
  <c r="J74" i="50" s="1"/>
  <c r="I19" i="50"/>
  <c r="K74" i="50"/>
  <c r="H40" i="50"/>
  <c r="H18" i="50"/>
  <c r="G9" i="50"/>
  <c r="F26" i="93" s="1"/>
  <c r="H67" i="50"/>
  <c r="H59" i="50"/>
  <c r="H17" i="50"/>
  <c r="H42" i="50"/>
  <c r="H69" i="50"/>
  <c r="J23" i="50"/>
  <c r="H13" i="1"/>
  <c r="I74" i="1"/>
  <c r="H63" i="1"/>
  <c r="G59" i="1"/>
  <c r="G18" i="1"/>
  <c r="G40" i="1"/>
  <c r="G17" i="1"/>
  <c r="F9" i="1"/>
  <c r="E20" i="93" s="1"/>
  <c r="G67" i="1"/>
  <c r="G69" i="1"/>
  <c r="G42" i="1"/>
  <c r="H19" i="1"/>
  <c r="I23" i="1"/>
  <c r="I20" i="50" l="1"/>
  <c r="H20" i="1"/>
  <c r="H41" i="50"/>
  <c r="I74" i="50" s="1"/>
  <c r="G17" i="50"/>
  <c r="G18" i="50"/>
  <c r="F9" i="50"/>
  <c r="E26" i="93" s="1"/>
  <c r="G40" i="50"/>
  <c r="G67" i="50"/>
  <c r="G59" i="50"/>
  <c r="G42" i="50"/>
  <c r="G69" i="50"/>
  <c r="H13" i="50"/>
  <c r="H19" i="50"/>
  <c r="I23" i="50"/>
  <c r="H63" i="50"/>
  <c r="G41" i="1"/>
  <c r="H74" i="1" s="1"/>
  <c r="G63" i="1"/>
  <c r="H23" i="1"/>
  <c r="F17" i="1"/>
  <c r="F18" i="1"/>
  <c r="F59" i="1"/>
  <c r="E9" i="1"/>
  <c r="D20" i="93" s="1"/>
  <c r="F40" i="1"/>
  <c r="F67" i="1"/>
  <c r="F42" i="1"/>
  <c r="F69" i="1"/>
  <c r="G13" i="1"/>
  <c r="G19" i="1"/>
  <c r="H20" i="50" l="1"/>
  <c r="G20" i="1"/>
  <c r="G41" i="50"/>
  <c r="H74" i="50" s="1"/>
  <c r="F18" i="50"/>
  <c r="F59" i="50"/>
  <c r="E9" i="50"/>
  <c r="D26" i="93" s="1"/>
  <c r="F17" i="50"/>
  <c r="F40" i="50"/>
  <c r="F67" i="50"/>
  <c r="F42" i="50"/>
  <c r="F69" i="50"/>
  <c r="G13" i="50"/>
  <c r="G63" i="50"/>
  <c r="G19" i="50"/>
  <c r="H23" i="50"/>
  <c r="E17" i="1"/>
  <c r="E18" i="1"/>
  <c r="D9" i="1"/>
  <c r="C20" i="93" s="1"/>
  <c r="E59" i="1"/>
  <c r="E40" i="1"/>
  <c r="E67" i="1"/>
  <c r="E42" i="1"/>
  <c r="E69" i="1"/>
  <c r="F63" i="1"/>
  <c r="F41" i="1"/>
  <c r="F13" i="1"/>
  <c r="F19" i="1"/>
  <c r="G23" i="1"/>
  <c r="G20" i="50" l="1"/>
  <c r="F20" i="1"/>
  <c r="E17" i="50"/>
  <c r="E40" i="50"/>
  <c r="E67" i="50"/>
  <c r="D9" i="50"/>
  <c r="C26" i="93" s="1"/>
  <c r="E59" i="50"/>
  <c r="E41" i="50"/>
  <c r="E18" i="50"/>
  <c r="E69" i="50"/>
  <c r="E42" i="50"/>
  <c r="F63" i="50"/>
  <c r="F19" i="50"/>
  <c r="F41" i="50"/>
  <c r="G74" i="50" s="1"/>
  <c r="G23" i="50"/>
  <c r="F13" i="50"/>
  <c r="F23" i="1"/>
  <c r="E13" i="1"/>
  <c r="G74" i="1"/>
  <c r="E19" i="1"/>
  <c r="E63" i="1"/>
  <c r="E41" i="1"/>
  <c r="D40" i="1"/>
  <c r="D59" i="1"/>
  <c r="C9" i="1"/>
  <c r="B20" i="93" s="1"/>
  <c r="D18" i="1"/>
  <c r="D17" i="1"/>
  <c r="D67" i="1"/>
  <c r="D42" i="1"/>
  <c r="D69" i="1"/>
  <c r="F20" i="50" l="1"/>
  <c r="E20" i="1"/>
  <c r="F74" i="50"/>
  <c r="E13" i="50"/>
  <c r="E63" i="50"/>
  <c r="D59" i="50"/>
  <c r="D40" i="50"/>
  <c r="D67" i="50"/>
  <c r="C9" i="50"/>
  <c r="B26" i="93" s="1"/>
  <c r="D17" i="50"/>
  <c r="D18" i="50"/>
  <c r="D69" i="50"/>
  <c r="D42" i="50"/>
  <c r="F23" i="50"/>
  <c r="E19" i="50"/>
  <c r="E23" i="1"/>
  <c r="C40" i="1"/>
  <c r="C17" i="1"/>
  <c r="C59" i="1"/>
  <c r="H3" i="93"/>
  <c r="C18" i="1"/>
  <c r="B9" i="1"/>
  <c r="A20" i="93" s="1"/>
  <c r="C67" i="1"/>
  <c r="C69" i="1"/>
  <c r="F74" i="1"/>
  <c r="D63" i="1"/>
  <c r="D41" i="1"/>
  <c r="E74" i="1" s="1"/>
  <c r="D13" i="1"/>
  <c r="D19" i="1"/>
  <c r="E20" i="50" l="1"/>
  <c r="D20" i="1"/>
  <c r="E23" i="50"/>
  <c r="D13" i="50"/>
  <c r="C17" i="50"/>
  <c r="C40" i="50"/>
  <c r="C18" i="50"/>
  <c r="M3" i="93"/>
  <c r="B9" i="50"/>
  <c r="A26" i="93" s="1"/>
  <c r="C67" i="50"/>
  <c r="C59" i="50"/>
  <c r="C69" i="50"/>
  <c r="D19" i="50"/>
  <c r="D41" i="50"/>
  <c r="E74" i="50" s="1"/>
  <c r="D63" i="50"/>
  <c r="D23" i="1"/>
  <c r="C42" i="1"/>
  <c r="H2" i="93"/>
  <c r="H5" i="93" s="1"/>
  <c r="C41" i="1"/>
  <c r="D74" i="1" s="1"/>
  <c r="C13" i="1"/>
  <c r="F2" i="93"/>
  <c r="C19" i="1"/>
  <c r="F3" i="93"/>
  <c r="C63" i="1"/>
  <c r="B41" i="1"/>
  <c r="B40" i="1"/>
  <c r="B17" i="1"/>
  <c r="B18" i="1"/>
  <c r="B67" i="1"/>
  <c r="B59" i="1"/>
  <c r="B69" i="1"/>
  <c r="B42" i="1"/>
  <c r="D20" i="50" l="1"/>
  <c r="K4" i="1"/>
  <c r="C20" i="1"/>
  <c r="D23" i="50"/>
  <c r="C63" i="50"/>
  <c r="M2" i="93"/>
  <c r="M5" i="93" s="1"/>
  <c r="C19" i="50"/>
  <c r="K3" i="93"/>
  <c r="B17" i="50"/>
  <c r="B59" i="50"/>
  <c r="B18" i="50"/>
  <c r="B40" i="50"/>
  <c r="B67" i="50"/>
  <c r="B41" i="50"/>
  <c r="B69" i="50"/>
  <c r="B42" i="50"/>
  <c r="C42" i="50"/>
  <c r="C41" i="50"/>
  <c r="D74" i="50" s="1"/>
  <c r="C13" i="50"/>
  <c r="K2" i="93"/>
  <c r="F5" i="93"/>
  <c r="E9" i="93" s="1"/>
  <c r="C23" i="1"/>
  <c r="B19" i="1"/>
  <c r="C74" i="1"/>
  <c r="H9" i="93"/>
  <c r="G9" i="93"/>
  <c r="B13" i="1"/>
  <c r="B63" i="1"/>
  <c r="B20" i="1" l="1"/>
  <c r="K4" i="50"/>
  <c r="C20" i="50"/>
  <c r="K5" i="93"/>
  <c r="K9" i="93" s="1"/>
  <c r="C23" i="50"/>
  <c r="F9" i="93"/>
  <c r="B63" i="50"/>
  <c r="B13" i="50"/>
  <c r="C74" i="50"/>
  <c r="B19" i="50"/>
  <c r="M9" i="93"/>
  <c r="L9" i="93"/>
  <c r="B20" i="50" l="1"/>
  <c r="J9" i="93"/>
</calcChain>
</file>

<file path=xl/comments1.xml><?xml version="1.0" encoding="utf-8"?>
<comments xmlns="http://schemas.openxmlformats.org/spreadsheetml/2006/main">
  <authors>
    <author>Pedro Bermúdez</author>
    <author>Piero Mercado</author>
    <author>Rencalada</author>
    <author>lys</author>
  </authors>
  <commentList>
    <comment ref="E3" authorId="0" shapeId="0">
      <text>
        <r>
          <rPr>
            <sz val="11"/>
            <color indexed="81"/>
            <rFont val="Tahoma"/>
            <family val="2"/>
          </rPr>
          <t>Ranking 12 meses:</t>
        </r>
      </text>
    </comment>
    <comment ref="G3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P - Prod. Nacional
N - Reventa
I - Importado</t>
        </r>
      </text>
    </comment>
    <comment ref="H3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A - Activo
I - Inactivo</t>
        </r>
      </text>
    </comment>
    <comment ref="K3" authorId="0" shapeId="0">
      <text>
        <r>
          <rPr>
            <b/>
            <sz val="11"/>
            <color indexed="81"/>
            <rFont val="Tahoma"/>
            <family val="2"/>
          </rPr>
          <t>Pedro Bermúdez:</t>
        </r>
        <r>
          <rPr>
            <sz val="11"/>
            <color indexed="81"/>
            <rFont val="Tahoma"/>
            <family val="2"/>
          </rPr>
          <t xml:space="preserve">
Frecuencia de venta 
(12 meses)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Si al menos el 25% de la caída en Lys se explica con el incremento en HP</t>
        </r>
      </text>
    </comment>
    <comment ref="A40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Precios mínimos</t>
        </r>
      </text>
    </comment>
    <comment ref="A46" authorId="1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Sakura</t>
        </r>
      </text>
    </comment>
    <comment ref="A47" authorId="1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Coreano, Fram, Mann y originales</t>
        </r>
      </text>
    </comment>
    <comment ref="A48" authorId="2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Internarional parts (coreanos)</t>
        </r>
      </text>
    </comment>
    <comment ref="A50" authorId="3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Importados del Brasil</t>
        </r>
      </text>
    </comment>
    <comment ref="A55" authorId="2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FILTROS IMPORTADOS POR ATLAS COPCO</t>
        </r>
      </text>
    </comment>
    <comment ref="A72" authorId="1" shapeId="0">
      <text>
        <r>
          <rPr>
            <b/>
            <sz val="10"/>
            <color indexed="81"/>
            <rFont val="Tahoma"/>
            <family val="2"/>
          </rPr>
          <t>Piero Mercado:</t>
        </r>
        <r>
          <rPr>
            <sz val="10"/>
            <color indexed="81"/>
            <rFont val="Tahoma"/>
            <family val="2"/>
          </rPr>
          <t xml:space="preserve">
B=bonif, D=dscto, K=kit, C=caja, P=puntos de canje</t>
        </r>
      </text>
    </comment>
  </commentList>
</comments>
</file>

<file path=xl/comments2.xml><?xml version="1.0" encoding="utf-8"?>
<comments xmlns="http://schemas.openxmlformats.org/spreadsheetml/2006/main">
  <authors>
    <author>Pedro Bermúdez</author>
    <author>Piero Mercado</author>
    <author>Rencalada</author>
  </authors>
  <commentList>
    <comment ref="G3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P - Prod. Nacional
N - Reventa
I - Importado</t>
        </r>
      </text>
    </comment>
    <comment ref="H3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A - Activo
I - Inactivo</t>
        </r>
      </text>
    </comment>
    <comment ref="K3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Frecuencia de venta 
(12 meses)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Si al menos el 25% de la caída en Lys se explica con el incremento en HP</t>
        </r>
      </text>
    </comment>
    <comment ref="A40" authorId="0" shapeId="0">
      <text>
        <r>
          <rPr>
            <b/>
            <sz val="11"/>
            <color indexed="81"/>
            <rFont val="Tahoma"/>
            <family val="2"/>
          </rPr>
          <t>Sistemas:</t>
        </r>
        <r>
          <rPr>
            <sz val="11"/>
            <color indexed="81"/>
            <rFont val="Tahoma"/>
            <family val="2"/>
          </rPr>
          <t xml:space="preserve">
Precios mínimos</t>
        </r>
      </text>
    </comment>
    <comment ref="A55" authorId="2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FILTROS IMPORTADOS POR VARIAS EMPRESAS</t>
        </r>
      </text>
    </comment>
    <comment ref="A72" authorId="1" shapeId="0">
      <text>
        <r>
          <rPr>
            <b/>
            <sz val="8"/>
            <color indexed="81"/>
            <rFont val="Tahoma"/>
            <family val="2"/>
          </rPr>
          <t>Sistemas:</t>
        </r>
        <r>
          <rPr>
            <sz val="8"/>
            <color indexed="81"/>
            <rFont val="Tahoma"/>
            <family val="2"/>
          </rPr>
          <t xml:space="preserve">
B=bonif, D=dscto, K=kit, C=caja, P=puntos de canje</t>
        </r>
      </text>
    </comment>
  </commentList>
</comments>
</file>

<file path=xl/sharedStrings.xml><?xml version="1.0" encoding="utf-8"?>
<sst xmlns="http://schemas.openxmlformats.org/spreadsheetml/2006/main" count="613" uniqueCount="365">
  <si>
    <t>Stock - B/O al cierre</t>
  </si>
  <si>
    <t>CUMPLIMIENTO PROYEC.</t>
  </si>
  <si>
    <t>Ruptura stock</t>
  </si>
  <si>
    <t>cumplido</t>
  </si>
  <si>
    <t>valor x</t>
  </si>
  <si>
    <t>valor y</t>
  </si>
  <si>
    <t>punto superior</t>
  </si>
  <si>
    <t>lys rep</t>
  </si>
  <si>
    <t>lys ind</t>
  </si>
  <si>
    <t>total planeada</t>
  </si>
  <si>
    <t>IIII</t>
  </si>
  <si>
    <t>PART. LYS</t>
  </si>
  <si>
    <t>CUMPLIMIENTO DE PROYECCION ULTIMO AÑO</t>
  </si>
  <si>
    <t>Var. Precio</t>
  </si>
  <si>
    <t>RG</t>
  </si>
  <si>
    <t>NPPN (Ipsperu)</t>
  </si>
  <si>
    <t>Filpower (Autopartes)</t>
  </si>
  <si>
    <t>REP</t>
  </si>
  <si>
    <t xml:space="preserve"> </t>
  </si>
  <si>
    <t>Sakura (Ostim/Catusita)</t>
  </si>
  <si>
    <t>Mercado</t>
  </si>
  <si>
    <t>Sector</t>
  </si>
  <si>
    <t>Sub Sector</t>
  </si>
  <si>
    <t>Mann (Catusita)</t>
  </si>
  <si>
    <t>PARTICIPACION POR CODIGO MENSUAL DEL ULTIMO AÑO</t>
  </si>
  <si>
    <t>Bosch (Autorex)</t>
  </si>
  <si>
    <t>Usuario</t>
  </si>
  <si>
    <t>Estado</t>
  </si>
  <si>
    <t>Fram (Renusa)</t>
  </si>
  <si>
    <t>Código</t>
  </si>
  <si>
    <t>Canibalización</t>
  </si>
  <si>
    <t>Fecha</t>
  </si>
  <si>
    <t>Rep</t>
  </si>
  <si>
    <t>Ind</t>
  </si>
  <si>
    <t>Exp</t>
  </si>
  <si>
    <t>FILTROS LYS S.A. - MODELO DE DEMANDA</t>
  </si>
  <si>
    <t>Aplicaciones:</t>
  </si>
  <si>
    <t>% Error</t>
  </si>
  <si>
    <t>Lys</t>
  </si>
  <si>
    <t>Filtech</t>
  </si>
  <si>
    <t>Exp py</t>
  </si>
  <si>
    <t>PZLP py</t>
  </si>
  <si>
    <t>SOUT py</t>
  </si>
  <si>
    <t>Ventas (und)</t>
  </si>
  <si>
    <t>Willy Busch</t>
  </si>
  <si>
    <t>HP</t>
  </si>
  <si>
    <t>WB</t>
  </si>
  <si>
    <t>LF1A</t>
  </si>
  <si>
    <t>Rep py</t>
  </si>
  <si>
    <t>Ind py</t>
  </si>
  <si>
    <t>Luber Finer (Autopartes)</t>
  </si>
  <si>
    <t>Ventas (mnt)</t>
  </si>
  <si>
    <t>PPU Rep</t>
  </si>
  <si>
    <t>PPU Ind</t>
  </si>
  <si>
    <t>PPU Exp</t>
  </si>
  <si>
    <t>Mg Rep</t>
  </si>
  <si>
    <t>Mg Ind</t>
  </si>
  <si>
    <t>Mg Exp</t>
  </si>
  <si>
    <t>PPU Lys (rep)</t>
  </si>
  <si>
    <t>PPU HP (rep)</t>
  </si>
  <si>
    <t>Rank</t>
  </si>
  <si>
    <t>Remate</t>
  </si>
  <si>
    <t>Marca</t>
  </si>
  <si>
    <t>Star Products</t>
  </si>
  <si>
    <t>Baldwin</t>
  </si>
  <si>
    <t>Frec.</t>
  </si>
  <si>
    <t>Precios sin IGV</t>
  </si>
  <si>
    <t>Proyección</t>
  </si>
  <si>
    <t>Nivel</t>
  </si>
  <si>
    <t>Origen</t>
  </si>
  <si>
    <t>Daruma (Autopartes)</t>
  </si>
  <si>
    <t>IND</t>
  </si>
  <si>
    <t>Purolator</t>
  </si>
  <si>
    <t>Donaldson ACP</t>
  </si>
  <si>
    <t>Baldwin (Altamura)</t>
  </si>
  <si>
    <t>Donaldson</t>
  </si>
  <si>
    <t>Fleetguard</t>
  </si>
  <si>
    <t>Fleetguard (Cresko)</t>
  </si>
  <si>
    <t>Filtech ( Puro)</t>
  </si>
  <si>
    <t>(*) LA PARTICIPACION DE LA COMPETENCIA DIRECTA (PURO, WB) DE ACUERDO AL ULTIMO ESTUDIO DE PARTICIPACION DE MAR-14</t>
  </si>
  <si>
    <t>(*) LA PARTICIPACION DE LA COMPETENCIA DIRECTA (PURO, WB) DE ACUERDO AL ULTIMO ESTUDIO DE PARTICIPACION MAR-14</t>
  </si>
  <si>
    <t>Item</t>
  </si>
  <si>
    <t>Nombre</t>
  </si>
  <si>
    <t>Unidad</t>
  </si>
  <si>
    <t>Linea</t>
  </si>
  <si>
    <t>Familia</t>
  </si>
  <si>
    <t>SubFamilia</t>
  </si>
  <si>
    <t>Imagen</t>
  </si>
  <si>
    <t>Nivel Rep</t>
  </si>
  <si>
    <t>Nivel Ind</t>
  </si>
  <si>
    <t>SubSector</t>
  </si>
  <si>
    <t>Consumidor</t>
  </si>
  <si>
    <t>Equiv.Lys</t>
  </si>
  <si>
    <t>Equiv.HP</t>
  </si>
  <si>
    <t>Equiv.Pur1</t>
  </si>
  <si>
    <t>Equiv.Pur2</t>
  </si>
  <si>
    <t>Equiv.Pur3</t>
  </si>
  <si>
    <t>Equiv.Pur4</t>
  </si>
  <si>
    <t>Equiv.Pur5</t>
  </si>
  <si>
    <t>Equiv.Filt1</t>
  </si>
  <si>
    <t>Equiv.Filt2</t>
  </si>
  <si>
    <t>Equiv.Filt3</t>
  </si>
  <si>
    <t>Equiv.Filt4</t>
  </si>
  <si>
    <t>Equiv.Filt5</t>
  </si>
  <si>
    <t>Equiv.Wbus1</t>
  </si>
  <si>
    <t>Equiv.Wbus2</t>
  </si>
  <si>
    <t>Equiv.Wbus3</t>
  </si>
  <si>
    <t>Equiv.Wbus4</t>
  </si>
  <si>
    <t>Equiv.Wbus5</t>
  </si>
  <si>
    <t>Aplicaciones</t>
  </si>
  <si>
    <t>P.Rem(L)NI</t>
  </si>
  <si>
    <t>P.Rem(E )NI</t>
  </si>
  <si>
    <t>P.Rem(L)SI</t>
  </si>
  <si>
    <t>P.Rem(E )SI</t>
  </si>
  <si>
    <t>CiaSec</t>
  </si>
  <si>
    <t>Tipo</t>
  </si>
  <si>
    <t>Clave</t>
  </si>
  <si>
    <t>Cant01</t>
  </si>
  <si>
    <t>Cant02</t>
  </si>
  <si>
    <t>Cant03</t>
  </si>
  <si>
    <t>Cant04</t>
  </si>
  <si>
    <t>Cant05</t>
  </si>
  <si>
    <t>Cant06</t>
  </si>
  <si>
    <t>Cant07</t>
  </si>
  <si>
    <t>Cant08</t>
  </si>
  <si>
    <t>Compañía</t>
  </si>
  <si>
    <t>Cant09</t>
  </si>
  <si>
    <t>Cant10</t>
  </si>
  <si>
    <t>Cant11</t>
  </si>
  <si>
    <t>Cant12</t>
  </si>
  <si>
    <t>Cant13</t>
  </si>
  <si>
    <t>Vtasi01</t>
  </si>
  <si>
    <t>Vtasi02</t>
  </si>
  <si>
    <t>Vtasi03</t>
  </si>
  <si>
    <t>Vtasi04</t>
  </si>
  <si>
    <t>Vtasi05</t>
  </si>
  <si>
    <t>Vtasi06</t>
  </si>
  <si>
    <t>Vtasi07</t>
  </si>
  <si>
    <t>Vtasi08</t>
  </si>
  <si>
    <t>Vtasi09</t>
  </si>
  <si>
    <t>Vtasi10</t>
  </si>
  <si>
    <t>Vtasi11</t>
  </si>
  <si>
    <t>Vtasi12</t>
  </si>
  <si>
    <t>Vtasi13</t>
  </si>
  <si>
    <t>VtaRank</t>
  </si>
  <si>
    <t>VtaToRk</t>
  </si>
  <si>
    <t>Vtaci01</t>
  </si>
  <si>
    <t>Vtaci02</t>
  </si>
  <si>
    <t>Vtaci03</t>
  </si>
  <si>
    <t>Vtaci04</t>
  </si>
  <si>
    <t>Vtaci05</t>
  </si>
  <si>
    <t>Vtaci06</t>
  </si>
  <si>
    <t>Vtaci07</t>
  </si>
  <si>
    <t>Vtaci08</t>
  </si>
  <si>
    <t>Vtaci09</t>
  </si>
  <si>
    <t>Vtaci10</t>
  </si>
  <si>
    <t>Vtaci11</t>
  </si>
  <si>
    <t>Vtaci12</t>
  </si>
  <si>
    <t>Vtaci13</t>
  </si>
  <si>
    <t>Vtesi01</t>
  </si>
  <si>
    <t>Vtesi02</t>
  </si>
  <si>
    <t>Vtesi03</t>
  </si>
  <si>
    <t>Vtesi04</t>
  </si>
  <si>
    <t>Vtesi05</t>
  </si>
  <si>
    <t>Vtesi06</t>
  </si>
  <si>
    <t>Vtesi07</t>
  </si>
  <si>
    <t>Vtesi08</t>
  </si>
  <si>
    <t>Vtesi09</t>
  </si>
  <si>
    <t>Vtesi10</t>
  </si>
  <si>
    <t>Vtesi11</t>
  </si>
  <si>
    <t>Vtesi12</t>
  </si>
  <si>
    <t>Vtesi13</t>
  </si>
  <si>
    <t>Vteci01</t>
  </si>
  <si>
    <t>Vteci02</t>
  </si>
  <si>
    <t>Vteci03</t>
  </si>
  <si>
    <t>Vteci04</t>
  </si>
  <si>
    <t>Vteci05</t>
  </si>
  <si>
    <t>Vteci06</t>
  </si>
  <si>
    <t>Vteci07</t>
  </si>
  <si>
    <t>Vteci08</t>
  </si>
  <si>
    <t>Vteci09</t>
  </si>
  <si>
    <t>Vteci10</t>
  </si>
  <si>
    <t>Vteci11</t>
  </si>
  <si>
    <t>Vteci12</t>
  </si>
  <si>
    <t>Vteci13</t>
  </si>
  <si>
    <t>A.Cant01</t>
  </si>
  <si>
    <t>A.Cant02</t>
  </si>
  <si>
    <t>A.Cant03</t>
  </si>
  <si>
    <t>A.Cant04</t>
  </si>
  <si>
    <t>A.Cant05</t>
  </si>
  <si>
    <t>A.CantP</t>
  </si>
  <si>
    <t>A.Vtasi01</t>
  </si>
  <si>
    <t>A.Vtasi02</t>
  </si>
  <si>
    <t>A.Vtasi03</t>
  </si>
  <si>
    <t>A.Vtasi04</t>
  </si>
  <si>
    <t>A.Vtasi05</t>
  </si>
  <si>
    <t>A.Proy</t>
  </si>
  <si>
    <t>A.Vtaci01</t>
  </si>
  <si>
    <t>A.Vtaci02</t>
  </si>
  <si>
    <t>A.Vtaci03</t>
  </si>
  <si>
    <t>A.Vtaci04</t>
  </si>
  <si>
    <t>A.Vtaci05</t>
  </si>
  <si>
    <t>A.Vtesi01</t>
  </si>
  <si>
    <t>A.Vtesi02</t>
  </si>
  <si>
    <t>A.Vtesi03</t>
  </si>
  <si>
    <t>A.Vtesi04</t>
  </si>
  <si>
    <t>A.Vtesi05</t>
  </si>
  <si>
    <t>A.Vteci01</t>
  </si>
  <si>
    <t>A.Vteci02</t>
  </si>
  <si>
    <t>A.Vteci03</t>
  </si>
  <si>
    <t>A.Vteci04</t>
  </si>
  <si>
    <t>A.Vteci05</t>
  </si>
  <si>
    <t>Uneg</t>
  </si>
  <si>
    <t>A.Cant06</t>
  </si>
  <si>
    <t>A.Vtasi06</t>
  </si>
  <si>
    <t>A.Vtaci06</t>
  </si>
  <si>
    <t>A.Vtesi06</t>
  </si>
  <si>
    <t>AVteci06</t>
  </si>
  <si>
    <t>cia</t>
  </si>
  <si>
    <t>U.Neg</t>
  </si>
  <si>
    <t>Cia</t>
  </si>
  <si>
    <t>Mes01</t>
  </si>
  <si>
    <t>Mes02</t>
  </si>
  <si>
    <t>Mes03</t>
  </si>
  <si>
    <t>Mes04</t>
  </si>
  <si>
    <t>Mes05</t>
  </si>
  <si>
    <t>Mes06</t>
  </si>
  <si>
    <t>Mes07</t>
  </si>
  <si>
    <t>Mes08</t>
  </si>
  <si>
    <t>Mes09</t>
  </si>
  <si>
    <t>Mes10</t>
  </si>
  <si>
    <t>Mes11</t>
  </si>
  <si>
    <t>Mes12</t>
  </si>
  <si>
    <t>Mes13</t>
  </si>
  <si>
    <t>SBO01</t>
  </si>
  <si>
    <t>SBO02</t>
  </si>
  <si>
    <t>SBO03</t>
  </si>
  <si>
    <t>SBO04</t>
  </si>
  <si>
    <t>SBO05</t>
  </si>
  <si>
    <t>SBO06</t>
  </si>
  <si>
    <t>SBO07</t>
  </si>
  <si>
    <t>SBO08</t>
  </si>
  <si>
    <t>SBO09</t>
  </si>
  <si>
    <t>SBO10</t>
  </si>
  <si>
    <t>SBO11</t>
  </si>
  <si>
    <t>SBO12</t>
  </si>
  <si>
    <t>SBO13</t>
  </si>
  <si>
    <t>RUP01</t>
  </si>
  <si>
    <t>RUP02</t>
  </si>
  <si>
    <t>RUP03</t>
  </si>
  <si>
    <t>RUP04</t>
  </si>
  <si>
    <t>RUP05</t>
  </si>
  <si>
    <t>RUP06</t>
  </si>
  <si>
    <t>RUP07</t>
  </si>
  <si>
    <t>RUP08</t>
  </si>
  <si>
    <t>RUP09</t>
  </si>
  <si>
    <t>RUP10</t>
  </si>
  <si>
    <t>RUP11</t>
  </si>
  <si>
    <t>RUP12</t>
  </si>
  <si>
    <t>RUP13</t>
  </si>
  <si>
    <t>STO01</t>
  </si>
  <si>
    <t>STO02</t>
  </si>
  <si>
    <t>STO03</t>
  </si>
  <si>
    <t>STO04</t>
  </si>
  <si>
    <t>STO05</t>
  </si>
  <si>
    <t>STO06</t>
  </si>
  <si>
    <t>STO07</t>
  </si>
  <si>
    <t>STO08</t>
  </si>
  <si>
    <t>STO09</t>
  </si>
  <si>
    <t>STO10</t>
  </si>
  <si>
    <t>STO11</t>
  </si>
  <si>
    <t>STO12</t>
  </si>
  <si>
    <t>STO13</t>
  </si>
  <si>
    <t>BKO01</t>
  </si>
  <si>
    <t>BKO02</t>
  </si>
  <si>
    <t>BKO03</t>
  </si>
  <si>
    <t>BKO04</t>
  </si>
  <si>
    <t>BKO05</t>
  </si>
  <si>
    <t>BKO06</t>
  </si>
  <si>
    <t>BKO07</t>
  </si>
  <si>
    <t>BKO08</t>
  </si>
  <si>
    <t>BKO09</t>
  </si>
  <si>
    <t>BKO10</t>
  </si>
  <si>
    <t>BKO11</t>
  </si>
  <si>
    <t>BKO12</t>
  </si>
  <si>
    <t>BKO13</t>
  </si>
  <si>
    <t>c_compania</t>
  </si>
  <si>
    <t>c_item</t>
  </si>
  <si>
    <t>c_marca</t>
  </si>
  <si>
    <t>c_clave</t>
  </si>
  <si>
    <t>PCsi01</t>
  </si>
  <si>
    <t>PCsi02</t>
  </si>
  <si>
    <t>PCsi03</t>
  </si>
  <si>
    <t>PCsi04</t>
  </si>
  <si>
    <t>PCsi05</t>
  </si>
  <si>
    <t>PCsi06</t>
  </si>
  <si>
    <t>PCsi07</t>
  </si>
  <si>
    <t>PCsi08</t>
  </si>
  <si>
    <t>PCsi09</t>
  </si>
  <si>
    <t>PCsi10</t>
  </si>
  <si>
    <t>PCsi11</t>
  </si>
  <si>
    <t>PCsi12</t>
  </si>
  <si>
    <t>PCsi13</t>
  </si>
  <si>
    <t>PCci01</t>
  </si>
  <si>
    <t>PCci02</t>
  </si>
  <si>
    <t>PCci03</t>
  </si>
  <si>
    <t>PCci04</t>
  </si>
  <si>
    <t>PCci05</t>
  </si>
  <si>
    <t>PCci06</t>
  </si>
  <si>
    <t>PCci07</t>
  </si>
  <si>
    <t>PCci08</t>
  </si>
  <si>
    <t>PCci09</t>
  </si>
  <si>
    <t>PCci10</t>
  </si>
  <si>
    <t>PCci11</t>
  </si>
  <si>
    <t>PCci12</t>
  </si>
  <si>
    <t>PCci13</t>
  </si>
  <si>
    <t>PCEsi01</t>
  </si>
  <si>
    <t>PCEsi02</t>
  </si>
  <si>
    <t>PCEsi03</t>
  </si>
  <si>
    <t>PCEsi04</t>
  </si>
  <si>
    <t>PCEsi05</t>
  </si>
  <si>
    <t>PCEsi06</t>
  </si>
  <si>
    <t>PCEsi07</t>
  </si>
  <si>
    <t>PCEsi08</t>
  </si>
  <si>
    <t>PCEsi09</t>
  </si>
  <si>
    <t>PCEsi10</t>
  </si>
  <si>
    <t>PCEsi11</t>
  </si>
  <si>
    <t>PCEsi12</t>
  </si>
  <si>
    <t>PCEsi13</t>
  </si>
  <si>
    <t>PCEci01</t>
  </si>
  <si>
    <t>PCEci02</t>
  </si>
  <si>
    <t>PCEci03</t>
  </si>
  <si>
    <t>PCEci04</t>
  </si>
  <si>
    <t>PCEci05</t>
  </si>
  <si>
    <t>PCEci06</t>
  </si>
  <si>
    <t>PCEci07</t>
  </si>
  <si>
    <t>PCEci08</t>
  </si>
  <si>
    <t>PCEci09</t>
  </si>
  <si>
    <t>PCEci10</t>
  </si>
  <si>
    <t>PCEci11</t>
  </si>
  <si>
    <t>PCEci12</t>
  </si>
  <si>
    <t>PCEci13</t>
  </si>
  <si>
    <t>V-COD</t>
  </si>
  <si>
    <t>V-RK</t>
  </si>
  <si>
    <t>MARCAS*</t>
  </si>
  <si>
    <t>%</t>
  </si>
  <si>
    <t>LYS</t>
  </si>
  <si>
    <t>PUROLATOR</t>
  </si>
  <si>
    <t>IMPORTADOS</t>
  </si>
  <si>
    <t>MERCADO MENSUAL</t>
  </si>
  <si>
    <t>Cant GR</t>
  </si>
  <si>
    <t>CantREP01</t>
  </si>
  <si>
    <t>CantIND01</t>
  </si>
  <si>
    <t>A.CantREP01</t>
  </si>
  <si>
    <t>A.CantIND01</t>
  </si>
  <si>
    <t>Total Venta vs Proyeeccion(Unid)</t>
  </si>
  <si>
    <t>POR CODIGO</t>
  </si>
  <si>
    <t>POR RANKIN</t>
  </si>
  <si>
    <t>A.CantProy</t>
  </si>
  <si>
    <t>VENTA</t>
  </si>
  <si>
    <t>PARTICIPACION</t>
  </si>
  <si>
    <t>ORDEN</t>
  </si>
  <si>
    <t>ITEM</t>
  </si>
  <si>
    <t>Importe RK</t>
  </si>
  <si>
    <t>Ranking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</si>
</sst>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-* #,##0.00\ _€_-;\-* #,##0.00\ _€_-;_-* &quot;-&quot;??\ _€_-;_-@_-"/>
    <numFmt numFmtId="165" formatCode="_(* #,##0.00_);_(* \(#,##0.00\);_(* &quot;-&quot;??_);_(@_)"/>
    <numFmt numFmtId="166" formatCode="0.0%"/>
    <numFmt numFmtId="167" formatCode="_([$€-2]\ * #,##0.00_);_([$€-2]\ * \(#,##0.00\);_([$€-2]\ * &quot;-&quot;??_)"/>
    <numFmt numFmtId="168" formatCode="[$-C0A]mmm\-yy;@"/>
    <numFmt numFmtId="169" formatCode="_(* #,##0.00_);_(* \(#,##0.00\);_(* \-??_);_(@_)"/>
    <numFmt numFmtId="170" formatCode="_-\$* #,##0.00_-;&quot;-$&quot;* #,##0.00_-;_-\$* \-??_-;_-@_-"/>
  </numFmts>
  <fonts count="5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7.7"/>
      <name val="Arial"/>
      <family val="2"/>
    </font>
    <font>
      <sz val="10"/>
      <color indexed="8"/>
      <name val="MS Sans Serif"/>
      <family val="2"/>
    </font>
    <font>
      <sz val="8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sz val="11"/>
      <color indexed="18"/>
      <name val="Arial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9"/>
      <name val="Arial"/>
      <family val="2"/>
    </font>
    <font>
      <b/>
      <sz val="14"/>
      <color indexed="1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60"/>
      <name val="Arial"/>
      <family val="2"/>
    </font>
    <font>
      <b/>
      <sz val="11"/>
      <color indexed="5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Arial"/>
      <family val="2"/>
    </font>
    <font>
      <b/>
      <sz val="10"/>
      <color indexed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57"/>
      <name val="Arial"/>
      <family val="2"/>
    </font>
    <font>
      <b/>
      <sz val="10"/>
      <color indexed="57"/>
      <name val="Arial Black"/>
      <family val="2"/>
    </font>
    <font>
      <sz val="11"/>
      <color indexed="9"/>
      <name val="Arial"/>
      <family val="2"/>
    </font>
    <font>
      <b/>
      <sz val="14"/>
      <color indexed="9"/>
      <name val="Arial"/>
      <family val="2"/>
    </font>
    <font>
      <b/>
      <sz val="8"/>
      <color indexed="57"/>
      <name val="Arial"/>
      <family val="2"/>
    </font>
    <font>
      <b/>
      <sz val="16"/>
      <color indexed="57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indexed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92">
    <xf numFmtId="0" fontId="0" fillId="0" borderId="0"/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4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4" fillId="2" borderId="0" applyNumberFormat="0" applyBorder="0" applyAlignment="0" applyProtection="0"/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4" fillId="4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0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11" borderId="0" applyNumberFormat="0" applyBorder="0" applyAlignment="0" applyProtection="0"/>
    <xf numFmtId="0" fontId="24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2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0" borderId="0" applyNumberFormat="0" applyBorder="0" applyAlignment="0" applyProtection="0"/>
    <xf numFmtId="0" fontId="25" fillId="13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9" borderId="0" applyNumberFormat="0" applyBorder="0" applyAlignment="0" applyProtection="0"/>
    <xf numFmtId="0" fontId="32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7" fillId="20" borderId="1" applyNumberFormat="0" applyAlignment="0" applyProtection="0"/>
    <xf numFmtId="0" fontId="27" fillId="20" borderId="1" applyNumberFormat="0" applyAlignment="0" applyProtection="0"/>
    <xf numFmtId="0" fontId="27" fillId="20" borderId="1" applyNumberFormat="0" applyAlignment="0" applyProtection="0"/>
    <xf numFmtId="0" fontId="28" fillId="21" borderId="2" applyNumberFormat="0" applyAlignment="0" applyProtection="0"/>
    <xf numFmtId="0" fontId="28" fillId="21" borderId="2" applyNumberFormat="0" applyAlignment="0" applyProtection="0"/>
    <xf numFmtId="0" fontId="29" fillId="0" borderId="3" applyNumberFormat="0" applyFill="0" applyAlignment="0" applyProtection="0"/>
    <xf numFmtId="0" fontId="29" fillId="0" borderId="3" applyNumberFormat="0" applyFill="0" applyAlignment="0" applyProtection="0"/>
    <xf numFmtId="0" fontId="28" fillId="21" borderId="2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8" borderId="0" applyNumberFormat="0" applyBorder="0" applyAlignment="0" applyProtection="0"/>
    <xf numFmtId="0" fontId="25" fillId="13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31" fillId="7" borderId="1" applyNumberFormat="0" applyAlignment="0" applyProtection="0"/>
    <xf numFmtId="0" fontId="31" fillId="7" borderId="1" applyNumberFormat="0" applyAlignment="0" applyProtection="0"/>
    <xf numFmtId="167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9" fontId="2" fillId="0" borderId="0"/>
    <xf numFmtId="170" fontId="24" fillId="0" borderId="0"/>
    <xf numFmtId="0" fontId="7" fillId="0" borderId="0"/>
    <xf numFmtId="0" fontId="24" fillId="0" borderId="0"/>
    <xf numFmtId="0" fontId="36" fillId="0" borderId="0" applyNumberFormat="0" applyFill="0" applyBorder="0" applyAlignment="0" applyProtection="0"/>
    <xf numFmtId="0" fontId="26" fillId="4" borderId="0" applyNumberFormat="0" applyBorder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0" fillId="0" borderId="6" applyNumberFormat="0" applyFill="0" applyAlignment="0" applyProtection="0"/>
    <xf numFmtId="0" fontId="30" fillId="0" borderId="0" applyNumberFormat="0" applyFill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1" fillId="7" borderId="1" applyNumberFormat="0" applyAlignment="0" applyProtection="0"/>
    <xf numFmtId="0" fontId="29" fillId="0" borderId="3" applyNumberFormat="0" applyFill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43" fontId="43" fillId="0" borderId="0" applyFont="0" applyFill="0" applyBorder="0" applyAlignment="0" applyProtection="0"/>
    <xf numFmtId="164" fontId="4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2" fillId="0" borderId="0"/>
    <xf numFmtId="0" fontId="53" fillId="0" borderId="0"/>
    <xf numFmtId="0" fontId="2" fillId="0" borderId="0"/>
    <xf numFmtId="0" fontId="54" fillId="0" borderId="0"/>
    <xf numFmtId="0" fontId="2" fillId="0" borderId="0"/>
    <xf numFmtId="0" fontId="24" fillId="0" borderId="0"/>
    <xf numFmtId="0" fontId="2" fillId="0" borderId="0">
      <alignment horizontal="left" indent="1"/>
    </xf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4" fillId="0" borderId="0"/>
    <xf numFmtId="0" fontId="2" fillId="0" borderId="0"/>
    <xf numFmtId="0" fontId="2" fillId="0" borderId="0">
      <alignment horizontal="left" indent="1"/>
    </xf>
    <xf numFmtId="0" fontId="2" fillId="0" borderId="0">
      <alignment horizontal="left" indent="1"/>
    </xf>
    <xf numFmtId="0" fontId="2" fillId="0" borderId="0">
      <alignment horizontal="left" indent="1"/>
    </xf>
    <xf numFmtId="0" fontId="54" fillId="0" borderId="0"/>
    <xf numFmtId="0" fontId="2" fillId="0" borderId="0"/>
    <xf numFmtId="0" fontId="2" fillId="0" borderId="0"/>
    <xf numFmtId="0" fontId="5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/>
    <xf numFmtId="0" fontId="23" fillId="23" borderId="7" applyNumberFormat="0" applyFont="0" applyAlignment="0" applyProtection="0"/>
    <xf numFmtId="0" fontId="24" fillId="23" borderId="7" applyNumberFormat="0" applyFont="0" applyAlignment="0" applyProtection="0"/>
    <xf numFmtId="0" fontId="6" fillId="23" borderId="7" applyNumberFormat="0" applyFont="0" applyAlignment="0" applyProtection="0"/>
    <xf numFmtId="0" fontId="24" fillId="23" borderId="7" applyNumberFormat="0" applyFont="0" applyAlignment="0" applyProtection="0"/>
    <xf numFmtId="0" fontId="34" fillId="20" borderId="8" applyNumberFormat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34" fillId="20" borderId="8" applyNumberFormat="0" applyAlignment="0" applyProtection="0"/>
    <xf numFmtId="0" fontId="34" fillId="20" borderId="8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5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7" fillId="0" borderId="0" applyNumberFormat="0" applyFill="0" applyBorder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35" fillId="0" borderId="0" applyNumberFormat="0" applyFill="0" applyBorder="0" applyAlignment="0" applyProtection="0"/>
  </cellStyleXfs>
  <cellXfs count="306">
    <xf numFmtId="0" fontId="0" fillId="0" borderId="0" xfId="0"/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Fill="1" applyAlignment="1" applyProtection="1">
      <alignment horizontal="left" vertical="center" wrapText="1"/>
    </xf>
    <xf numFmtId="17" fontId="9" fillId="26" borderId="0" xfId="0" applyNumberFormat="1" applyFont="1" applyFill="1" applyBorder="1" applyAlignment="1" applyProtection="1">
      <alignment horizontal="center" vertical="center"/>
    </xf>
    <xf numFmtId="0" fontId="11" fillId="26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 vertical="center"/>
    </xf>
    <xf numFmtId="0" fontId="10" fillId="26" borderId="0" xfId="0" applyFont="1" applyFill="1" applyBorder="1" applyAlignment="1" applyProtection="1">
      <alignment horizontal="center" vertical="center"/>
    </xf>
    <xf numFmtId="166" fontId="2" fillId="26" borderId="0" xfId="165" applyNumberFormat="1" applyFont="1" applyFill="1" applyBorder="1" applyAlignment="1" applyProtection="1">
      <alignment horizontal="center" vertical="center"/>
    </xf>
    <xf numFmtId="2" fontId="9" fillId="26" borderId="0" xfId="0" applyNumberFormat="1" applyFont="1" applyFill="1" applyBorder="1" applyAlignment="1" applyProtection="1">
      <alignment horizontal="right" vertical="center"/>
    </xf>
    <xf numFmtId="0" fontId="9" fillId="26" borderId="0" xfId="0" applyFont="1" applyFill="1" applyBorder="1" applyAlignment="1" applyProtection="1">
      <alignment horizontal="right" vertical="center"/>
    </xf>
    <xf numFmtId="9" fontId="9" fillId="27" borderId="10" xfId="165" applyNumberFormat="1" applyFont="1" applyFill="1" applyBorder="1" applyAlignment="1" applyProtection="1">
      <alignment horizontal="center" vertical="center"/>
    </xf>
    <xf numFmtId="9" fontId="9" fillId="27" borderId="11" xfId="165" applyNumberFormat="1" applyFont="1" applyFill="1" applyBorder="1" applyAlignment="1" applyProtection="1">
      <alignment horizontal="center" vertical="center"/>
    </xf>
    <xf numFmtId="0" fontId="9" fillId="27" borderId="12" xfId="0" applyFont="1" applyFill="1" applyBorder="1" applyAlignment="1" applyProtection="1">
      <alignment horizontal="center" vertical="center"/>
    </xf>
    <xf numFmtId="0" fontId="9" fillId="27" borderId="13" xfId="0" applyFont="1" applyFill="1" applyBorder="1" applyAlignment="1" applyProtection="1">
      <alignment horizontal="center" vertical="center"/>
    </xf>
    <xf numFmtId="0" fontId="9" fillId="27" borderId="14" xfId="0" applyFont="1" applyFill="1" applyBorder="1" applyAlignment="1" applyProtection="1">
      <alignment horizontal="center" vertical="center"/>
    </xf>
    <xf numFmtId="0" fontId="16" fillId="28" borderId="15" xfId="0" applyFont="1" applyFill="1" applyBorder="1" applyAlignment="1" applyProtection="1">
      <alignment horizontal="left" vertical="center"/>
    </xf>
    <xf numFmtId="0" fontId="9" fillId="0" borderId="0" xfId="0" applyFont="1" applyFill="1" applyAlignment="1" applyProtection="1">
      <alignment vertical="center"/>
    </xf>
    <xf numFmtId="0" fontId="17" fillId="0" borderId="0" xfId="0" applyFont="1" applyFill="1" applyAlignment="1" applyProtection="1">
      <alignment vertical="center"/>
    </xf>
    <xf numFmtId="0" fontId="9" fillId="27" borderId="16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vertical="center"/>
    </xf>
    <xf numFmtId="0" fontId="8" fillId="0" borderId="0" xfId="0" applyFont="1" applyFill="1" applyBorder="1" applyAlignment="1" applyProtection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left" vertical="center"/>
    </xf>
    <xf numFmtId="0" fontId="9" fillId="0" borderId="0" xfId="0" applyFont="1" applyFill="1" applyAlignment="1" applyProtection="1">
      <alignment horizontal="left" vertical="center" wrapText="1"/>
    </xf>
    <xf numFmtId="17" fontId="9" fillId="29" borderId="17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left" vertical="top" wrapText="1"/>
    </xf>
    <xf numFmtId="0" fontId="9" fillId="25" borderId="15" xfId="0" applyFont="1" applyFill="1" applyBorder="1" applyAlignment="1" applyProtection="1">
      <alignment horizontal="left" vertical="center"/>
    </xf>
    <xf numFmtId="0" fontId="9" fillId="25" borderId="18" xfId="0" applyFont="1" applyFill="1" applyBorder="1" applyAlignment="1" applyProtection="1">
      <alignment horizontal="left" vertical="center"/>
    </xf>
    <xf numFmtId="2" fontId="9" fillId="0" borderId="0" xfId="0" applyNumberFormat="1" applyFont="1" applyFill="1" applyBorder="1" applyAlignment="1" applyProtection="1">
      <alignment horizontal="right" vertical="center"/>
    </xf>
    <xf numFmtId="3" fontId="9" fillId="27" borderId="19" xfId="0" applyNumberFormat="1" applyFont="1" applyFill="1" applyBorder="1" applyAlignment="1" applyProtection="1">
      <alignment horizontal="center" vertical="center"/>
    </xf>
    <xf numFmtId="3" fontId="9" fillId="27" borderId="20" xfId="0" applyNumberFormat="1" applyFont="1" applyFill="1" applyBorder="1" applyAlignment="1" applyProtection="1">
      <alignment horizontal="center" vertical="center"/>
    </xf>
    <xf numFmtId="3" fontId="9" fillId="25" borderId="21" xfId="0" applyNumberFormat="1" applyFont="1" applyFill="1" applyBorder="1" applyAlignment="1" applyProtection="1">
      <alignment horizontal="center" vertical="center"/>
    </xf>
    <xf numFmtId="3" fontId="9" fillId="25" borderId="22" xfId="0" applyNumberFormat="1" applyFont="1" applyFill="1" applyBorder="1" applyAlignment="1" applyProtection="1">
      <alignment horizontal="center" vertical="center"/>
    </xf>
    <xf numFmtId="3" fontId="9" fillId="27" borderId="21" xfId="0" applyNumberFormat="1" applyFont="1" applyFill="1" applyBorder="1" applyAlignment="1" applyProtection="1">
      <alignment horizontal="center" vertical="center"/>
    </xf>
    <xf numFmtId="3" fontId="9" fillId="27" borderId="22" xfId="0" applyNumberFormat="1" applyFont="1" applyFill="1" applyBorder="1" applyAlignment="1" applyProtection="1">
      <alignment horizontal="center" vertical="center"/>
    </xf>
    <xf numFmtId="0" fontId="9" fillId="25" borderId="17" xfId="0" applyFont="1" applyFill="1" applyBorder="1" applyAlignment="1" applyProtection="1">
      <alignment vertical="center"/>
    </xf>
    <xf numFmtId="0" fontId="8" fillId="25" borderId="23" xfId="0" applyFont="1" applyFill="1" applyBorder="1" applyAlignment="1" applyProtection="1">
      <alignment horizontal="left" vertical="center"/>
    </xf>
    <xf numFmtId="3" fontId="8" fillId="28" borderId="10" xfId="0" applyNumberFormat="1" applyFont="1" applyFill="1" applyBorder="1" applyAlignment="1" applyProtection="1">
      <alignment horizontal="center" vertical="center"/>
    </xf>
    <xf numFmtId="0" fontId="21" fillId="27" borderId="24" xfId="0" applyFont="1" applyFill="1" applyBorder="1" applyAlignment="1" applyProtection="1">
      <alignment horizontal="left" vertical="center"/>
    </xf>
    <xf numFmtId="3" fontId="21" fillId="27" borderId="10" xfId="0" applyNumberFormat="1" applyFont="1" applyFill="1" applyBorder="1" applyAlignment="1" applyProtection="1">
      <alignment horizontal="center" vertical="center"/>
    </xf>
    <xf numFmtId="3" fontId="21" fillId="27" borderId="11" xfId="0" applyNumberFormat="1" applyFont="1" applyFill="1" applyBorder="1" applyAlignment="1" applyProtection="1">
      <alignment horizontal="center" vertical="center"/>
    </xf>
    <xf numFmtId="0" fontId="9" fillId="27" borderId="18" xfId="0" applyFont="1" applyFill="1" applyBorder="1" applyAlignment="1" applyProtection="1">
      <alignment horizontal="left" vertical="center"/>
    </xf>
    <xf numFmtId="0" fontId="9" fillId="27" borderId="15" xfId="0" applyFont="1" applyFill="1" applyBorder="1" applyAlignment="1" applyProtection="1">
      <alignment horizontal="left" vertical="center"/>
    </xf>
    <xf numFmtId="0" fontId="9" fillId="25" borderId="25" xfId="0" applyFont="1" applyFill="1" applyBorder="1" applyAlignment="1" applyProtection="1">
      <alignment horizontal="left" vertical="center"/>
    </xf>
    <xf numFmtId="0" fontId="9" fillId="27" borderId="25" xfId="0" applyFont="1" applyFill="1" applyBorder="1" applyAlignment="1" applyProtection="1">
      <alignment horizontal="left" vertical="center"/>
    </xf>
    <xf numFmtId="3" fontId="9" fillId="27" borderId="26" xfId="0" applyNumberFormat="1" applyFont="1" applyFill="1" applyBorder="1" applyAlignment="1" applyProtection="1">
      <alignment horizontal="center" vertical="center"/>
    </xf>
    <xf numFmtId="3" fontId="9" fillId="27" borderId="27" xfId="0" applyNumberFormat="1" applyFont="1" applyFill="1" applyBorder="1" applyAlignment="1" applyProtection="1">
      <alignment horizontal="center" vertical="center"/>
    </xf>
    <xf numFmtId="0" fontId="9" fillId="30" borderId="18" xfId="0" applyFont="1" applyFill="1" applyBorder="1" applyAlignment="1" applyProtection="1">
      <alignment horizontal="left" vertical="center"/>
    </xf>
    <xf numFmtId="0" fontId="9" fillId="30" borderId="15" xfId="0" applyFont="1" applyFill="1" applyBorder="1" applyAlignment="1" applyProtection="1">
      <alignment horizontal="left" vertical="center"/>
    </xf>
    <xf numFmtId="4" fontId="9" fillId="25" borderId="21" xfId="0" applyNumberFormat="1" applyFont="1" applyFill="1" applyBorder="1" applyAlignment="1" applyProtection="1">
      <alignment horizontal="center" vertical="center"/>
    </xf>
    <xf numFmtId="4" fontId="9" fillId="25" borderId="19" xfId="0" applyNumberFormat="1" applyFont="1" applyFill="1" applyBorder="1" applyAlignment="1" applyProtection="1">
      <alignment horizontal="center" vertical="center"/>
    </xf>
    <xf numFmtId="4" fontId="9" fillId="25" borderId="26" xfId="0" applyNumberFormat="1" applyFont="1" applyFill="1" applyBorder="1" applyAlignment="1" applyProtection="1">
      <alignment horizontal="center" vertical="center"/>
    </xf>
    <xf numFmtId="4" fontId="9" fillId="25" borderId="27" xfId="0" applyNumberFormat="1" applyFont="1" applyFill="1" applyBorder="1" applyAlignment="1" applyProtection="1">
      <alignment horizontal="center" vertical="center"/>
    </xf>
    <xf numFmtId="4" fontId="9" fillId="25" borderId="22" xfId="0" applyNumberFormat="1" applyFont="1" applyFill="1" applyBorder="1" applyAlignment="1" applyProtection="1">
      <alignment horizontal="center" vertical="center"/>
    </xf>
    <xf numFmtId="4" fontId="9" fillId="25" borderId="20" xfId="0" applyNumberFormat="1" applyFont="1" applyFill="1" applyBorder="1" applyAlignment="1" applyProtection="1">
      <alignment horizontal="center" vertical="center"/>
    </xf>
    <xf numFmtId="4" fontId="9" fillId="30" borderId="21" xfId="0" applyNumberFormat="1" applyFont="1" applyFill="1" applyBorder="1" applyAlignment="1" applyProtection="1">
      <alignment horizontal="center" vertical="center"/>
    </xf>
    <xf numFmtId="4" fontId="9" fillId="30" borderId="22" xfId="0" applyNumberFormat="1" applyFont="1" applyFill="1" applyBorder="1" applyAlignment="1" applyProtection="1">
      <alignment horizontal="center" vertical="center"/>
    </xf>
    <xf numFmtId="4" fontId="9" fillId="30" borderId="19" xfId="0" applyNumberFormat="1" applyFont="1" applyFill="1" applyBorder="1" applyAlignment="1" applyProtection="1">
      <alignment horizontal="center" vertical="center"/>
    </xf>
    <xf numFmtId="4" fontId="9" fillId="30" borderId="20" xfId="0" applyNumberFormat="1" applyFont="1" applyFill="1" applyBorder="1" applyAlignment="1" applyProtection="1">
      <alignment horizontal="center" vertical="center"/>
    </xf>
    <xf numFmtId="0" fontId="9" fillId="27" borderId="17" xfId="0" applyFont="1" applyFill="1" applyBorder="1" applyAlignment="1" applyProtection="1">
      <alignment horizontal="center" vertical="center"/>
    </xf>
    <xf numFmtId="2" fontId="6" fillId="26" borderId="0" xfId="0" applyNumberFormat="1" applyFont="1" applyFill="1" applyBorder="1" applyAlignment="1" applyProtection="1">
      <alignment horizontal="right" vertical="center"/>
    </xf>
    <xf numFmtId="0" fontId="9" fillId="31" borderId="29" xfId="0" applyFont="1" applyFill="1" applyBorder="1" applyAlignment="1" applyProtection="1">
      <alignment horizontal="left" vertical="center"/>
    </xf>
    <xf numFmtId="3" fontId="9" fillId="31" borderId="30" xfId="0" applyNumberFormat="1" applyFont="1" applyFill="1" applyBorder="1" applyAlignment="1" applyProtection="1">
      <alignment horizontal="center" vertical="center"/>
    </xf>
    <xf numFmtId="3" fontId="9" fillId="31" borderId="31" xfId="0" applyNumberFormat="1" applyFont="1" applyFill="1" applyBorder="1" applyAlignment="1" applyProtection="1">
      <alignment horizontal="center" vertical="center"/>
    </xf>
    <xf numFmtId="0" fontId="9" fillId="31" borderId="32" xfId="0" applyFont="1" applyFill="1" applyBorder="1" applyAlignment="1" applyProtection="1">
      <alignment horizontal="left" vertical="center"/>
    </xf>
    <xf numFmtId="3" fontId="9" fillId="31" borderId="28" xfId="0" applyNumberFormat="1" applyFont="1" applyFill="1" applyBorder="1" applyAlignment="1" applyProtection="1">
      <alignment horizontal="center" vertical="center"/>
    </xf>
    <xf numFmtId="3" fontId="9" fillId="31" borderId="33" xfId="0" applyNumberFormat="1" applyFont="1" applyFill="1" applyBorder="1" applyAlignment="1" applyProtection="1">
      <alignment horizontal="center" vertical="center"/>
    </xf>
    <xf numFmtId="0" fontId="9" fillId="31" borderId="15" xfId="0" applyFont="1" applyFill="1" applyBorder="1" applyAlignment="1" applyProtection="1">
      <alignment horizontal="left" vertical="center"/>
    </xf>
    <xf numFmtId="3" fontId="9" fillId="31" borderId="22" xfId="0" applyNumberFormat="1" applyFont="1" applyFill="1" applyBorder="1" applyAlignment="1" applyProtection="1">
      <alignment horizontal="center" vertical="center"/>
    </xf>
    <xf numFmtId="3" fontId="9" fillId="31" borderId="20" xfId="0" applyNumberFormat="1" applyFont="1" applyFill="1" applyBorder="1" applyAlignment="1" applyProtection="1">
      <alignment horizontal="center" vertical="center"/>
    </xf>
    <xf numFmtId="0" fontId="20" fillId="31" borderId="24" xfId="0" applyFont="1" applyFill="1" applyBorder="1" applyAlignment="1" applyProtection="1">
      <alignment horizontal="left" vertical="center"/>
    </xf>
    <xf numFmtId="3" fontId="20" fillId="31" borderId="10" xfId="0" applyNumberFormat="1" applyFont="1" applyFill="1" applyBorder="1" applyAlignment="1" applyProtection="1">
      <alignment horizontal="center" vertical="center"/>
    </xf>
    <xf numFmtId="3" fontId="20" fillId="31" borderId="11" xfId="0" applyNumberFormat="1" applyFont="1" applyFill="1" applyBorder="1" applyAlignment="1" applyProtection="1">
      <alignment horizontal="center" vertical="center"/>
    </xf>
    <xf numFmtId="168" fontId="0" fillId="0" borderId="0" xfId="0" applyNumberFormat="1"/>
    <xf numFmtId="17" fontId="45" fillId="32" borderId="34" xfId="0" applyNumberFormat="1" applyFont="1" applyFill="1" applyBorder="1" applyAlignment="1" applyProtection="1">
      <alignment horizontal="left" vertical="center"/>
    </xf>
    <xf numFmtId="17" fontId="45" fillId="32" borderId="10" xfId="0" applyNumberFormat="1" applyFont="1" applyFill="1" applyBorder="1" applyAlignment="1" applyProtection="1">
      <alignment horizontal="center" vertical="center"/>
    </xf>
    <xf numFmtId="17" fontId="45" fillId="32" borderId="11" xfId="0" applyNumberFormat="1" applyFont="1" applyFill="1" applyBorder="1" applyAlignment="1" applyProtection="1">
      <alignment horizontal="center" vertical="center"/>
    </xf>
    <xf numFmtId="17" fontId="10" fillId="24" borderId="34" xfId="0" applyNumberFormat="1" applyFont="1" applyFill="1" applyBorder="1" applyAlignment="1" applyProtection="1">
      <alignment horizontal="center" vertical="center"/>
      <protection locked="0"/>
    </xf>
    <xf numFmtId="0" fontId="9" fillId="33" borderId="29" xfId="0" applyFont="1" applyFill="1" applyBorder="1" applyAlignment="1" applyProtection="1">
      <alignment horizontal="left" vertical="center"/>
    </xf>
    <xf numFmtId="3" fontId="9" fillId="33" borderId="30" xfId="0" applyNumberFormat="1" applyFont="1" applyFill="1" applyBorder="1" applyAlignment="1" applyProtection="1">
      <alignment horizontal="center" vertical="center"/>
    </xf>
    <xf numFmtId="3" fontId="9" fillId="33" borderId="31" xfId="0" applyNumberFormat="1" applyFont="1" applyFill="1" applyBorder="1" applyAlignment="1" applyProtection="1">
      <alignment horizontal="center" vertical="center"/>
    </xf>
    <xf numFmtId="0" fontId="9" fillId="33" borderId="32" xfId="0" applyFont="1" applyFill="1" applyBorder="1" applyAlignment="1" applyProtection="1">
      <alignment horizontal="left" vertical="center"/>
    </xf>
    <xf numFmtId="3" fontId="9" fillId="33" borderId="28" xfId="0" applyNumberFormat="1" applyFont="1" applyFill="1" applyBorder="1" applyAlignment="1" applyProtection="1">
      <alignment horizontal="center" vertical="center"/>
    </xf>
    <xf numFmtId="3" fontId="9" fillId="33" borderId="33" xfId="0" applyNumberFormat="1" applyFont="1" applyFill="1" applyBorder="1" applyAlignment="1" applyProtection="1">
      <alignment horizontal="center" vertical="center"/>
    </xf>
    <xf numFmtId="2" fontId="9" fillId="25" borderId="36" xfId="0" applyNumberFormat="1" applyFont="1" applyFill="1" applyBorder="1" applyAlignment="1" applyProtection="1">
      <alignment vertical="center"/>
    </xf>
    <xf numFmtId="2" fontId="9" fillId="25" borderId="30" xfId="0" applyNumberFormat="1" applyFont="1" applyFill="1" applyBorder="1" applyAlignment="1" applyProtection="1">
      <alignment horizontal="center" vertical="center"/>
    </xf>
    <xf numFmtId="2" fontId="9" fillId="25" borderId="31" xfId="0" applyNumberFormat="1" applyFont="1" applyFill="1" applyBorder="1" applyAlignment="1" applyProtection="1">
      <alignment horizontal="center" vertical="center"/>
    </xf>
    <xf numFmtId="2" fontId="9" fillId="25" borderId="37" xfId="0" applyNumberFormat="1" applyFont="1" applyFill="1" applyBorder="1" applyAlignment="1" applyProtection="1">
      <alignment vertical="center"/>
    </xf>
    <xf numFmtId="2" fontId="9" fillId="25" borderId="28" xfId="0" applyNumberFormat="1" applyFont="1" applyFill="1" applyBorder="1" applyAlignment="1" applyProtection="1">
      <alignment horizontal="center" vertical="center"/>
    </xf>
    <xf numFmtId="2" fontId="9" fillId="25" borderId="33" xfId="0" applyNumberFormat="1" applyFont="1" applyFill="1" applyBorder="1" applyAlignment="1" applyProtection="1">
      <alignment horizontal="center" vertical="center"/>
    </xf>
    <xf numFmtId="2" fontId="9" fillId="25" borderId="38" xfId="0" applyNumberFormat="1" applyFont="1" applyFill="1" applyBorder="1" applyAlignment="1" applyProtection="1">
      <alignment vertical="center"/>
    </xf>
    <xf numFmtId="2" fontId="9" fillId="25" borderId="39" xfId="0" applyNumberFormat="1" applyFont="1" applyFill="1" applyBorder="1" applyAlignment="1" applyProtection="1">
      <alignment vertical="center"/>
    </xf>
    <xf numFmtId="2" fontId="9" fillId="25" borderId="22" xfId="0" applyNumberFormat="1" applyFont="1" applyFill="1" applyBorder="1" applyAlignment="1" applyProtection="1">
      <alignment horizontal="center" vertical="center"/>
    </xf>
    <xf numFmtId="2" fontId="9" fillId="25" borderId="20" xfId="0" applyNumberFormat="1" applyFont="1" applyFill="1" applyBorder="1" applyAlignment="1" applyProtection="1">
      <alignment horizontal="center" vertical="center"/>
    </xf>
    <xf numFmtId="0" fontId="9" fillId="27" borderId="48" xfId="0" applyFont="1" applyFill="1" applyBorder="1" applyAlignment="1" applyProtection="1">
      <alignment horizontal="center" vertical="center"/>
    </xf>
    <xf numFmtId="0" fontId="22" fillId="27" borderId="23" xfId="0" applyFont="1" applyFill="1" applyBorder="1" applyAlignment="1" applyProtection="1">
      <alignment horizontal="center" vertical="center"/>
    </xf>
    <xf numFmtId="0" fontId="22" fillId="27" borderId="46" xfId="0" applyFont="1" applyFill="1" applyBorder="1" applyAlignment="1" applyProtection="1">
      <alignment horizontal="center" vertical="center"/>
    </xf>
    <xf numFmtId="0" fontId="22" fillId="27" borderId="49" xfId="0" applyFont="1" applyFill="1" applyBorder="1" applyAlignment="1" applyProtection="1">
      <alignment horizontal="center" vertical="center"/>
    </xf>
    <xf numFmtId="2" fontId="22" fillId="27" borderId="49" xfId="0" applyNumberFormat="1" applyFont="1" applyFill="1" applyBorder="1" applyAlignment="1" applyProtection="1">
      <alignment horizontal="center" vertical="center"/>
    </xf>
    <xf numFmtId="166" fontId="22" fillId="27" borderId="49" xfId="0" applyNumberFormat="1" applyFont="1" applyFill="1" applyBorder="1" applyAlignment="1" applyProtection="1">
      <alignment horizontal="center" vertical="center"/>
    </xf>
    <xf numFmtId="3" fontId="22" fillId="27" borderId="45" xfId="0" applyNumberFormat="1" applyFont="1" applyFill="1" applyBorder="1" applyAlignment="1" applyProtection="1">
      <alignment horizontal="center" vertical="center"/>
    </xf>
    <xf numFmtId="3" fontId="22" fillId="27" borderId="50" xfId="0" applyNumberFormat="1" applyFont="1" applyFill="1" applyBorder="1" applyAlignment="1" applyProtection="1">
      <alignment horizontal="center" vertical="center"/>
    </xf>
    <xf numFmtId="166" fontId="22" fillId="27" borderId="50" xfId="0" applyNumberFormat="1" applyFont="1" applyFill="1" applyBorder="1" applyAlignment="1" applyProtection="1">
      <alignment horizontal="center" vertical="center"/>
    </xf>
    <xf numFmtId="166" fontId="22" fillId="27" borderId="35" xfId="0" applyNumberFormat="1" applyFont="1" applyFill="1" applyBorder="1" applyAlignment="1" applyProtection="1">
      <alignment horizontal="center" vertical="center"/>
    </xf>
    <xf numFmtId="17" fontId="42" fillId="24" borderId="34" xfId="0" applyNumberFormat="1" applyFont="1" applyFill="1" applyBorder="1" applyAlignment="1" applyProtection="1">
      <alignment horizontal="center" vertical="center"/>
      <protection locked="0"/>
    </xf>
    <xf numFmtId="0" fontId="9" fillId="29" borderId="18" xfId="0" applyFont="1" applyFill="1" applyBorder="1" applyAlignment="1" applyProtection="1">
      <alignment horizontal="left" vertical="center"/>
    </xf>
    <xf numFmtId="3" fontId="9" fillId="29" borderId="21" xfId="0" applyNumberFormat="1" applyFont="1" applyFill="1" applyBorder="1" applyAlignment="1" applyProtection="1">
      <alignment horizontal="center" vertical="center"/>
    </xf>
    <xf numFmtId="3" fontId="9" fillId="29" borderId="19" xfId="0" applyNumberFormat="1" applyFont="1" applyFill="1" applyBorder="1" applyAlignment="1" applyProtection="1">
      <alignment horizontal="center" vertical="center"/>
    </xf>
    <xf numFmtId="0" fontId="9" fillId="29" borderId="15" xfId="0" applyFont="1" applyFill="1" applyBorder="1" applyAlignment="1" applyProtection="1">
      <alignment horizontal="left" vertical="center"/>
    </xf>
    <xf numFmtId="3" fontId="9" fillId="29" borderId="22" xfId="0" applyNumberFormat="1" applyFont="1" applyFill="1" applyBorder="1" applyAlignment="1" applyProtection="1">
      <alignment horizontal="center" vertical="center"/>
    </xf>
    <xf numFmtId="3" fontId="9" fillId="29" borderId="20" xfId="0" applyNumberFormat="1" applyFont="1" applyFill="1" applyBorder="1" applyAlignment="1" applyProtection="1">
      <alignment horizontal="center" vertical="center"/>
    </xf>
    <xf numFmtId="0" fontId="16" fillId="28" borderId="51" xfId="0" applyFont="1" applyFill="1" applyBorder="1" applyAlignment="1" applyProtection="1">
      <alignment horizontal="left" vertical="center"/>
    </xf>
    <xf numFmtId="3" fontId="8" fillId="28" borderId="13" xfId="0" applyNumberFormat="1" applyFont="1" applyFill="1" applyBorder="1" applyAlignment="1" applyProtection="1">
      <alignment horizontal="center" vertical="center"/>
    </xf>
    <xf numFmtId="3" fontId="8" fillId="28" borderId="52" xfId="0" applyNumberFormat="1" applyFont="1" applyFill="1" applyBorder="1" applyAlignment="1" applyProtection="1">
      <alignment horizontal="center" vertical="center"/>
    </xf>
    <xf numFmtId="3" fontId="45" fillId="35" borderId="28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9" fontId="2" fillId="0" borderId="0" xfId="0" applyNumberFormat="1" applyFont="1" applyFill="1" applyAlignment="1" applyProtection="1">
      <alignment vertical="center"/>
    </xf>
    <xf numFmtId="9" fontId="2" fillId="0" borderId="0" xfId="0" applyNumberFormat="1" applyFont="1" applyFill="1" applyBorder="1" applyAlignment="1" applyProtection="1">
      <alignment vertical="center"/>
    </xf>
    <xf numFmtId="0" fontId="0" fillId="30" borderId="0" xfId="0" applyFill="1"/>
    <xf numFmtId="0" fontId="47" fillId="0" borderId="0" xfId="0" applyFont="1" applyFill="1" applyAlignment="1" applyProtection="1">
      <alignment vertical="center"/>
    </xf>
    <xf numFmtId="3" fontId="45" fillId="35" borderId="54" xfId="0" applyNumberFormat="1" applyFont="1" applyFill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vertical="center"/>
    </xf>
    <xf numFmtId="3" fontId="9" fillId="29" borderId="28" xfId="0" applyNumberFormat="1" applyFont="1" applyFill="1" applyBorder="1" applyAlignment="1" applyProtection="1">
      <alignment horizontal="center" vertical="center"/>
    </xf>
    <xf numFmtId="0" fontId="9" fillId="29" borderId="32" xfId="0" applyFont="1" applyFill="1" applyBorder="1" applyAlignment="1" applyProtection="1">
      <alignment horizontal="left" vertical="center"/>
    </xf>
    <xf numFmtId="3" fontId="9" fillId="29" borderId="33" xfId="0" applyNumberFormat="1" applyFont="1" applyFill="1" applyBorder="1" applyAlignment="1" applyProtection="1">
      <alignment horizontal="center" vertical="center"/>
    </xf>
    <xf numFmtId="0" fontId="5" fillId="0" borderId="25" xfId="0" applyFont="1" applyFill="1" applyBorder="1" applyAlignment="1" applyProtection="1">
      <alignment vertical="center"/>
    </xf>
    <xf numFmtId="0" fontId="5" fillId="0" borderId="42" xfId="0" applyFont="1" applyFill="1" applyBorder="1" applyAlignment="1" applyProtection="1">
      <alignment vertical="center"/>
    </xf>
    <xf numFmtId="0" fontId="46" fillId="28" borderId="0" xfId="0" applyFont="1" applyFill="1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58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22" fillId="27" borderId="49" xfId="0" applyFont="1" applyFill="1" applyBorder="1" applyAlignment="1" applyProtection="1">
      <alignment horizontal="center" vertical="center" wrapText="1"/>
    </xf>
    <xf numFmtId="0" fontId="1" fillId="38" borderId="28" xfId="0" applyFont="1" applyFill="1" applyBorder="1"/>
    <xf numFmtId="0" fontId="1" fillId="38" borderId="28" xfId="0" applyFont="1" applyFill="1" applyBorder="1" applyAlignment="1">
      <alignment horizontal="center"/>
    </xf>
    <xf numFmtId="0" fontId="1" fillId="39" borderId="28" xfId="0" applyFont="1" applyFill="1" applyBorder="1" applyAlignment="1">
      <alignment horizontal="center"/>
    </xf>
    <xf numFmtId="0" fontId="1" fillId="40" borderId="28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1" fillId="41" borderId="28" xfId="0" applyFont="1" applyFill="1" applyBorder="1"/>
    <xf numFmtId="0" fontId="1" fillId="42" borderId="28" xfId="0" applyFont="1" applyFill="1" applyBorder="1"/>
    <xf numFmtId="0" fontId="1" fillId="43" borderId="28" xfId="0" applyFont="1" applyFill="1" applyBorder="1"/>
    <xf numFmtId="0" fontId="1" fillId="44" borderId="28" xfId="0" applyFont="1" applyFill="1" applyBorder="1"/>
    <xf numFmtId="0" fontId="0" fillId="38" borderId="28" xfId="0" applyFill="1" applyBorder="1"/>
    <xf numFmtId="0" fontId="22" fillId="0" borderId="0" xfId="0" applyFont="1"/>
    <xf numFmtId="0" fontId="46" fillId="37" borderId="24" xfId="0" applyFont="1" applyFill="1" applyBorder="1" applyAlignment="1">
      <alignment horizontal="center"/>
    </xf>
    <xf numFmtId="0" fontId="46" fillId="37" borderId="57" xfId="0" applyFont="1" applyFill="1" applyBorder="1" applyAlignment="1">
      <alignment horizontal="center"/>
    </xf>
    <xf numFmtId="0" fontId="46" fillId="37" borderId="65" xfId="0" applyFont="1" applyFill="1" applyBorder="1" applyAlignment="1">
      <alignment horizontal="center"/>
    </xf>
    <xf numFmtId="0" fontId="46" fillId="37" borderId="40" xfId="0" applyFont="1" applyFill="1" applyBorder="1" applyAlignment="1">
      <alignment horizontal="center"/>
    </xf>
    <xf numFmtId="0" fontId="46" fillId="37" borderId="41" xfId="0" applyFont="1" applyFill="1" applyBorder="1" applyAlignment="1">
      <alignment horizontal="center"/>
    </xf>
    <xf numFmtId="0" fontId="47" fillId="29" borderId="25" xfId="0" applyFont="1" applyFill="1" applyBorder="1"/>
    <xf numFmtId="166" fontId="47" fillId="29" borderId="44" xfId="0" applyNumberFormat="1" applyFont="1" applyFill="1" applyBorder="1"/>
    <xf numFmtId="166" fontId="47" fillId="29" borderId="42" xfId="0" applyNumberFormat="1" applyFont="1" applyFill="1" applyBorder="1"/>
    <xf numFmtId="0" fontId="47" fillId="29" borderId="66" xfId="0" applyFont="1" applyFill="1" applyBorder="1"/>
    <xf numFmtId="166" fontId="47" fillId="29" borderId="46" xfId="0" applyNumberFormat="1" applyFont="1" applyFill="1" applyBorder="1"/>
    <xf numFmtId="166" fontId="47" fillId="29" borderId="35" xfId="0" applyNumberFormat="1" applyFont="1" applyFill="1" applyBorder="1"/>
    <xf numFmtId="0" fontId="0" fillId="26" borderId="0" xfId="0" applyFill="1"/>
    <xf numFmtId="3" fontId="0" fillId="26" borderId="0" xfId="0" applyNumberFormat="1" applyFill="1"/>
    <xf numFmtId="0" fontId="47" fillId="29" borderId="24" xfId="0" applyFont="1" applyFill="1" applyBorder="1"/>
    <xf numFmtId="3" fontId="47" fillId="26" borderId="24" xfId="0" applyNumberFormat="1" applyFont="1" applyFill="1" applyBorder="1"/>
    <xf numFmtId="0" fontId="47" fillId="26" borderId="40" xfId="0" applyFont="1" applyFill="1" applyBorder="1"/>
    <xf numFmtId="3" fontId="47" fillId="26" borderId="40" xfId="0" applyNumberFormat="1" applyFont="1" applyFill="1" applyBorder="1"/>
    <xf numFmtId="0" fontId="47" fillId="26" borderId="41" xfId="0" applyFont="1" applyFill="1" applyBorder="1"/>
    <xf numFmtId="0" fontId="57" fillId="0" borderId="0" xfId="0" applyFont="1"/>
    <xf numFmtId="0" fontId="46" fillId="37" borderId="24" xfId="0" applyFont="1" applyFill="1" applyBorder="1"/>
    <xf numFmtId="0" fontId="46" fillId="37" borderId="40" xfId="0" applyFont="1" applyFill="1" applyBorder="1"/>
    <xf numFmtId="0" fontId="46" fillId="37" borderId="41" xfId="0" applyFont="1" applyFill="1" applyBorder="1"/>
    <xf numFmtId="0" fontId="46" fillId="37" borderId="18" xfId="0" applyFont="1" applyFill="1" applyBorder="1"/>
    <xf numFmtId="0" fontId="46" fillId="37" borderId="67" xfId="0" applyFont="1" applyFill="1" applyBorder="1"/>
    <xf numFmtId="0" fontId="46" fillId="37" borderId="14" xfId="0" applyFont="1" applyFill="1" applyBorder="1"/>
    <xf numFmtId="0" fontId="46" fillId="37" borderId="16" xfId="0" applyFont="1" applyFill="1" applyBorder="1"/>
    <xf numFmtId="17" fontId="2" fillId="0" borderId="0" xfId="0" applyNumberFormat="1" applyFont="1" applyFill="1" applyBorder="1" applyAlignment="1" applyProtection="1">
      <alignment vertical="center"/>
    </xf>
    <xf numFmtId="0" fontId="2" fillId="39" borderId="0" xfId="0" applyFont="1" applyFill="1" applyAlignment="1" applyProtection="1">
      <alignment vertical="center"/>
    </xf>
    <xf numFmtId="0" fontId="2" fillId="39" borderId="0" xfId="0" applyFont="1" applyFill="1" applyAlignment="1" applyProtection="1">
      <alignment horizontal="center" vertical="center"/>
    </xf>
    <xf numFmtId="168" fontId="2" fillId="0" borderId="0" xfId="0" applyNumberFormat="1" applyFont="1" applyFill="1" applyBorder="1" applyAlignment="1" applyProtection="1">
      <alignment vertical="center"/>
    </xf>
    <xf numFmtId="3" fontId="47" fillId="29" borderId="43" xfId="0" applyNumberFormat="1" applyFont="1" applyFill="1" applyBorder="1" applyAlignment="1">
      <alignment horizontal="right"/>
    </xf>
    <xf numFmtId="3" fontId="47" fillId="29" borderId="45" xfId="0" applyNumberFormat="1" applyFont="1" applyFill="1" applyBorder="1" applyAlignment="1">
      <alignment horizontal="right"/>
    </xf>
    <xf numFmtId="3" fontId="47" fillId="29" borderId="0" xfId="0" applyNumberFormat="1" applyFont="1" applyFill="1" applyBorder="1" applyAlignment="1">
      <alignment horizontal="right"/>
    </xf>
    <xf numFmtId="3" fontId="47" fillId="29" borderId="50" xfId="0" applyNumberFormat="1" applyFont="1" applyFill="1" applyBorder="1" applyAlignment="1">
      <alignment horizontal="right"/>
    </xf>
    <xf numFmtId="0" fontId="47" fillId="29" borderId="0" xfId="0" applyFont="1" applyFill="1" applyBorder="1" applyAlignment="1">
      <alignment horizontal="right"/>
    </xf>
    <xf numFmtId="3" fontId="47" fillId="29" borderId="67" xfId="0" applyNumberFormat="1" applyFont="1" applyFill="1" applyBorder="1" applyAlignment="1">
      <alignment horizontal="right"/>
    </xf>
    <xf numFmtId="3" fontId="47" fillId="29" borderId="14" xfId="0" applyNumberFormat="1" applyFont="1" applyFill="1" applyBorder="1" applyAlignment="1">
      <alignment horizontal="right"/>
    </xf>
    <xf numFmtId="3" fontId="47" fillId="29" borderId="16" xfId="0" applyNumberFormat="1" applyFont="1" applyFill="1" applyBorder="1" applyAlignment="1">
      <alignment horizontal="right"/>
    </xf>
    <xf numFmtId="3" fontId="47" fillId="29" borderId="25" xfId="0" applyNumberFormat="1" applyFont="1" applyFill="1" applyBorder="1" applyAlignment="1">
      <alignment horizontal="right"/>
    </xf>
    <xf numFmtId="3" fontId="47" fillId="29" borderId="42" xfId="0" applyNumberFormat="1" applyFont="1" applyFill="1" applyBorder="1" applyAlignment="1">
      <alignment horizontal="right"/>
    </xf>
    <xf numFmtId="3" fontId="47" fillId="29" borderId="66" xfId="0" applyNumberFormat="1" applyFont="1" applyFill="1" applyBorder="1" applyAlignment="1">
      <alignment horizontal="right"/>
    </xf>
    <xf numFmtId="3" fontId="47" fillId="29" borderId="35" xfId="0" applyNumberFormat="1" applyFont="1" applyFill="1" applyBorder="1" applyAlignment="1">
      <alignment horizontal="right"/>
    </xf>
    <xf numFmtId="0" fontId="47" fillId="29" borderId="53" xfId="0" applyFont="1" applyFill="1" applyBorder="1"/>
    <xf numFmtId="0" fontId="47" fillId="29" borderId="68" xfId="0" applyFont="1" applyFill="1" applyBorder="1"/>
    <xf numFmtId="0" fontId="47" fillId="29" borderId="69" xfId="0" applyFont="1" applyFill="1" applyBorder="1"/>
    <xf numFmtId="0" fontId="1" fillId="41" borderId="28" xfId="0" applyFont="1" applyFill="1" applyBorder="1" applyAlignment="1">
      <alignment horizontal="center"/>
    </xf>
    <xf numFmtId="0" fontId="0" fillId="41" borderId="14" xfId="0" applyFill="1" applyBorder="1"/>
    <xf numFmtId="0" fontId="0" fillId="41" borderId="16" xfId="0" applyFill="1" applyBorder="1"/>
    <xf numFmtId="17" fontId="0" fillId="41" borderId="25" xfId="0" applyNumberFormat="1" applyFill="1" applyBorder="1"/>
    <xf numFmtId="17" fontId="0" fillId="41" borderId="0" xfId="0" applyNumberFormat="1" applyFill="1" applyBorder="1"/>
    <xf numFmtId="17" fontId="0" fillId="41" borderId="42" xfId="0" applyNumberFormat="1" applyFill="1" applyBorder="1"/>
    <xf numFmtId="3" fontId="0" fillId="41" borderId="25" xfId="0" applyNumberFormat="1" applyFill="1" applyBorder="1"/>
    <xf numFmtId="3" fontId="0" fillId="41" borderId="0" xfId="0" applyNumberFormat="1" applyFill="1" applyBorder="1"/>
    <xf numFmtId="3" fontId="0" fillId="41" borderId="42" xfId="0" applyNumberFormat="1" applyFill="1" applyBorder="1"/>
    <xf numFmtId="3" fontId="0" fillId="41" borderId="66" xfId="0" applyNumberFormat="1" applyFill="1" applyBorder="1"/>
    <xf numFmtId="3" fontId="0" fillId="41" borderId="50" xfId="0" applyNumberFormat="1" applyFill="1" applyBorder="1"/>
    <xf numFmtId="3" fontId="0" fillId="41" borderId="35" xfId="0" applyNumberFormat="1" applyFill="1" applyBorder="1"/>
    <xf numFmtId="168" fontId="0" fillId="41" borderId="25" xfId="0" applyNumberFormat="1" applyFill="1" applyBorder="1"/>
    <xf numFmtId="168" fontId="0" fillId="41" borderId="0" xfId="0" applyNumberFormat="1" applyFill="1" applyBorder="1"/>
    <xf numFmtId="168" fontId="0" fillId="41" borderId="42" xfId="0" applyNumberFormat="1" applyFill="1" applyBorder="1"/>
    <xf numFmtId="0" fontId="0" fillId="41" borderId="25" xfId="0" applyFill="1" applyBorder="1"/>
    <xf numFmtId="0" fontId="0" fillId="41" borderId="0" xfId="0" applyFill="1" applyBorder="1"/>
    <xf numFmtId="0" fontId="0" fillId="41" borderId="42" xfId="0" applyFill="1" applyBorder="1"/>
    <xf numFmtId="0" fontId="0" fillId="41" borderId="66" xfId="0" applyFill="1" applyBorder="1"/>
    <xf numFmtId="0" fontId="0" fillId="41" borderId="50" xfId="0" applyFill="1" applyBorder="1"/>
    <xf numFmtId="0" fontId="0" fillId="41" borderId="35" xfId="0" applyFill="1" applyBorder="1"/>
    <xf numFmtId="0" fontId="58" fillId="0" borderId="0" xfId="0" applyFont="1" applyFill="1"/>
    <xf numFmtId="3" fontId="0" fillId="0" borderId="0" xfId="0" applyNumberFormat="1" applyFill="1"/>
    <xf numFmtId="0" fontId="22" fillId="41" borderId="67" xfId="0" applyFont="1" applyFill="1" applyBorder="1"/>
    <xf numFmtId="2" fontId="9" fillId="25" borderId="19" xfId="0" applyNumberFormat="1" applyFont="1" applyFill="1" applyBorder="1" applyAlignment="1" applyProtection="1">
      <alignment horizontal="center" vertical="center"/>
    </xf>
    <xf numFmtId="0" fontId="48" fillId="26" borderId="67" xfId="0" applyFont="1" applyFill="1" applyBorder="1"/>
    <xf numFmtId="166" fontId="48" fillId="26" borderId="16" xfId="0" applyNumberFormat="1" applyFont="1" applyFill="1" applyBorder="1"/>
    <xf numFmtId="0" fontId="0" fillId="24" borderId="67" xfId="0" applyFill="1" applyBorder="1"/>
    <xf numFmtId="0" fontId="0" fillId="24" borderId="16" xfId="0" applyFill="1" applyBorder="1"/>
    <xf numFmtId="0" fontId="0" fillId="24" borderId="25" xfId="0" applyFill="1" applyBorder="1"/>
    <xf numFmtId="3" fontId="0" fillId="24" borderId="42" xfId="0" applyNumberFormat="1" applyFill="1" applyBorder="1"/>
    <xf numFmtId="0" fontId="0" fillId="24" borderId="66" xfId="0" applyFill="1" applyBorder="1"/>
    <xf numFmtId="3" fontId="0" fillId="24" borderId="35" xfId="0" applyNumberFormat="1" applyFill="1" applyBorder="1"/>
    <xf numFmtId="0" fontId="0" fillId="24" borderId="42" xfId="0" applyFill="1" applyBorder="1"/>
    <xf numFmtId="0" fontId="0" fillId="24" borderId="35" xfId="0" applyFill="1" applyBorder="1"/>
    <xf numFmtId="0" fontId="0" fillId="24" borderId="14" xfId="0" applyFill="1" applyBorder="1"/>
    <xf numFmtId="3" fontId="0" fillId="24" borderId="0" xfId="0" applyNumberFormat="1" applyFill="1" applyBorder="1"/>
    <xf numFmtId="3" fontId="0" fillId="24" borderId="50" xfId="0" applyNumberFormat="1" applyFill="1" applyBorder="1"/>
    <xf numFmtId="0" fontId="0" fillId="24" borderId="0" xfId="0" applyFill="1" applyBorder="1"/>
    <xf numFmtId="0" fontId="0" fillId="24" borderId="50" xfId="0" applyFill="1" applyBorder="1"/>
    <xf numFmtId="0" fontId="1" fillId="45" borderId="28" xfId="0" applyFont="1" applyFill="1" applyBorder="1" applyAlignment="1">
      <alignment horizontal="center"/>
    </xf>
    <xf numFmtId="0" fontId="0" fillId="45" borderId="67" xfId="0" applyFill="1" applyBorder="1"/>
    <xf numFmtId="0" fontId="2" fillId="45" borderId="16" xfId="0" applyFont="1" applyFill="1" applyBorder="1"/>
    <xf numFmtId="9" fontId="0" fillId="45" borderId="25" xfId="0" applyNumberFormat="1" applyFill="1" applyBorder="1"/>
    <xf numFmtId="0" fontId="0" fillId="45" borderId="42" xfId="0" applyFill="1" applyBorder="1"/>
    <xf numFmtId="9" fontId="0" fillId="45" borderId="66" xfId="0" applyNumberFormat="1" applyFill="1" applyBorder="1"/>
    <xf numFmtId="0" fontId="0" fillId="45" borderId="35" xfId="0" applyFill="1" applyBorder="1"/>
    <xf numFmtId="0" fontId="0" fillId="46" borderId="55" xfId="0" applyFill="1" applyBorder="1" applyAlignment="1">
      <alignment horizontal="center"/>
    </xf>
    <xf numFmtId="0" fontId="0" fillId="46" borderId="47" xfId="0" applyFill="1" applyBorder="1" applyAlignment="1">
      <alignment horizontal="center"/>
    </xf>
    <xf numFmtId="0" fontId="1" fillId="41" borderId="55" xfId="0" applyFont="1" applyFill="1" applyBorder="1" applyAlignment="1">
      <alignment horizontal="center"/>
    </xf>
    <xf numFmtId="0" fontId="1" fillId="41" borderId="56" xfId="0" applyFont="1" applyFill="1" applyBorder="1" applyAlignment="1">
      <alignment horizontal="center"/>
    </xf>
    <xf numFmtId="0" fontId="1" fillId="41" borderId="47" xfId="0" applyFont="1" applyFill="1" applyBorder="1" applyAlignment="1">
      <alignment horizontal="center"/>
    </xf>
    <xf numFmtId="0" fontId="46" fillId="34" borderId="67" xfId="0" applyFont="1" applyFill="1" applyBorder="1" applyAlignment="1">
      <alignment horizontal="center"/>
    </xf>
    <xf numFmtId="0" fontId="46" fillId="34" borderId="16" xfId="0" applyFont="1" applyFill="1" applyBorder="1" applyAlignment="1">
      <alignment horizontal="center"/>
    </xf>
    <xf numFmtId="0" fontId="0" fillId="0" borderId="32" xfId="0" applyBorder="1"/>
    <xf numFmtId="0" fontId="1" fillId="0" borderId="70" xfId="0" applyFont="1" applyBorder="1"/>
    <xf numFmtId="0" fontId="0" fillId="0" borderId="25" xfId="0" applyBorder="1"/>
    <xf numFmtId="0" fontId="0" fillId="0" borderId="70" xfId="0" applyBorder="1"/>
    <xf numFmtId="0" fontId="0" fillId="0" borderId="66" xfId="0" applyBorder="1"/>
    <xf numFmtId="0" fontId="0" fillId="0" borderId="35" xfId="0" applyBorder="1"/>
    <xf numFmtId="0" fontId="1" fillId="47" borderId="28" xfId="0" applyFont="1" applyFill="1" applyBorder="1" applyAlignment="1">
      <alignment horizontal="center"/>
    </xf>
    <xf numFmtId="0" fontId="50" fillId="34" borderId="0" xfId="0" applyFont="1" applyFill="1" applyAlignment="1" applyProtection="1">
      <alignment horizontal="center" vertical="center"/>
    </xf>
    <xf numFmtId="0" fontId="51" fillId="0" borderId="55" xfId="0" applyFont="1" applyFill="1" applyBorder="1" applyAlignment="1" applyProtection="1">
      <alignment horizontal="center" vertical="center" wrapText="1"/>
    </xf>
    <xf numFmtId="0" fontId="51" fillId="0" borderId="56" xfId="0" applyFont="1" applyFill="1" applyBorder="1" applyAlignment="1" applyProtection="1">
      <alignment horizontal="center" vertical="center" wrapText="1"/>
    </xf>
    <xf numFmtId="0" fontId="51" fillId="0" borderId="47" xfId="0" applyFont="1" applyFill="1" applyBorder="1" applyAlignment="1" applyProtection="1">
      <alignment horizontal="center" vertical="center" wrapText="1"/>
    </xf>
    <xf numFmtId="0" fontId="49" fillId="37" borderId="59" xfId="0" applyFont="1" applyFill="1" applyBorder="1" applyAlignment="1" applyProtection="1">
      <alignment horizontal="left" vertical="top" wrapText="1"/>
    </xf>
    <xf numFmtId="0" fontId="49" fillId="37" borderId="60" xfId="0" applyFont="1" applyFill="1" applyBorder="1" applyAlignment="1" applyProtection="1">
      <alignment horizontal="left" vertical="top" wrapText="1"/>
    </xf>
    <xf numFmtId="0" fontId="49" fillId="37" borderId="61" xfId="0" applyFont="1" applyFill="1" applyBorder="1" applyAlignment="1" applyProtection="1">
      <alignment horizontal="left" vertical="top" wrapText="1"/>
    </xf>
    <xf numFmtId="0" fontId="49" fillId="37" borderId="43" xfId="0" applyFont="1" applyFill="1" applyBorder="1" applyAlignment="1" applyProtection="1">
      <alignment horizontal="left" vertical="top" wrapText="1"/>
    </xf>
    <xf numFmtId="0" fontId="49" fillId="37" borderId="0" xfId="0" applyFont="1" applyFill="1" applyBorder="1" applyAlignment="1" applyProtection="1">
      <alignment horizontal="left" vertical="top" wrapText="1"/>
    </xf>
    <xf numFmtId="0" fontId="49" fillId="37" borderId="44" xfId="0" applyFont="1" applyFill="1" applyBorder="1" applyAlignment="1" applyProtection="1">
      <alignment horizontal="left" vertical="top" wrapText="1"/>
    </xf>
    <xf numFmtId="0" fontId="49" fillId="37" borderId="62" xfId="0" applyFont="1" applyFill="1" applyBorder="1" applyAlignment="1" applyProtection="1">
      <alignment horizontal="left" vertical="top" wrapText="1"/>
    </xf>
    <xf numFmtId="0" fontId="49" fillId="37" borderId="63" xfId="0" applyFont="1" applyFill="1" applyBorder="1" applyAlignment="1" applyProtection="1">
      <alignment horizontal="left" vertical="top" wrapText="1"/>
    </xf>
    <xf numFmtId="0" fontId="49" fillId="37" borderId="64" xfId="0" applyFont="1" applyFill="1" applyBorder="1" applyAlignment="1" applyProtection="1">
      <alignment horizontal="left" vertical="top" wrapText="1"/>
    </xf>
    <xf numFmtId="0" fontId="8" fillId="25" borderId="45" xfId="0" applyFont="1" applyFill="1" applyBorder="1" applyAlignment="1" applyProtection="1">
      <alignment horizontal="left" vertical="center"/>
    </xf>
    <xf numFmtId="0" fontId="8" fillId="25" borderId="46" xfId="0" applyFont="1" applyFill="1" applyBorder="1" applyAlignment="1" applyProtection="1">
      <alignment horizontal="left" vertical="center"/>
    </xf>
    <xf numFmtId="0" fontId="9" fillId="31" borderId="55" xfId="0" applyFont="1" applyFill="1" applyBorder="1" applyAlignment="1" applyProtection="1">
      <alignment vertical="center"/>
    </xf>
    <xf numFmtId="0" fontId="9" fillId="31" borderId="56" xfId="0" applyFont="1" applyFill="1" applyBorder="1" applyAlignment="1" applyProtection="1">
      <alignment vertical="center"/>
    </xf>
    <xf numFmtId="0" fontId="9" fillId="31" borderId="47" xfId="0" applyFont="1" applyFill="1" applyBorder="1" applyAlignment="1" applyProtection="1">
      <alignment vertical="center"/>
    </xf>
    <xf numFmtId="0" fontId="9" fillId="29" borderId="48" xfId="0" applyFont="1" applyFill="1" applyBorder="1" applyAlignment="1" applyProtection="1">
      <alignment horizontal="center" vertical="center"/>
    </xf>
    <xf numFmtId="0" fontId="9" fillId="29" borderId="16" xfId="0" applyFont="1" applyFill="1" applyBorder="1" applyAlignment="1" applyProtection="1">
      <alignment horizontal="center" vertical="center"/>
    </xf>
    <xf numFmtId="0" fontId="56" fillId="24" borderId="57" xfId="0" applyFont="1" applyFill="1" applyBorder="1" applyAlignment="1" applyProtection="1">
      <alignment horizontal="center" vertical="center"/>
      <protection locked="0"/>
    </xf>
    <xf numFmtId="0" fontId="0" fillId="24" borderId="41" xfId="0" applyFill="1" applyBorder="1"/>
    <xf numFmtId="0" fontId="9" fillId="25" borderId="14" xfId="0" applyFont="1" applyFill="1" applyBorder="1" applyAlignment="1" applyProtection="1">
      <alignment vertical="center"/>
    </xf>
    <xf numFmtId="0" fontId="9" fillId="25" borderId="12" xfId="0" applyFont="1" applyFill="1" applyBorder="1" applyAlignment="1" applyProtection="1">
      <alignment vertical="center"/>
    </xf>
    <xf numFmtId="0" fontId="9" fillId="25" borderId="48" xfId="0" applyFont="1" applyFill="1" applyBorder="1" applyAlignment="1" applyProtection="1">
      <alignment vertical="center"/>
    </xf>
    <xf numFmtId="0" fontId="9" fillId="25" borderId="48" xfId="0" applyFont="1" applyFill="1" applyBorder="1" applyAlignment="1" applyProtection="1">
      <alignment horizontal="left" vertical="center"/>
    </xf>
    <xf numFmtId="0" fontId="9" fillId="25" borderId="14" xfId="0" applyFont="1" applyFill="1" applyBorder="1" applyAlignment="1" applyProtection="1">
      <alignment horizontal="left" vertical="center"/>
    </xf>
    <xf numFmtId="0" fontId="9" fillId="25" borderId="12" xfId="0" applyFont="1" applyFill="1" applyBorder="1" applyAlignment="1" applyProtection="1">
      <alignment horizontal="left" vertical="center"/>
    </xf>
    <xf numFmtId="0" fontId="9" fillId="25" borderId="16" xfId="0" applyFont="1" applyFill="1" applyBorder="1" applyAlignment="1" applyProtection="1">
      <alignment horizontal="left" vertical="center"/>
    </xf>
    <xf numFmtId="0" fontId="8" fillId="25" borderId="50" xfId="0" applyFont="1" applyFill="1" applyBorder="1" applyAlignment="1" applyProtection="1">
      <alignment horizontal="left" vertical="center"/>
    </xf>
    <xf numFmtId="0" fontId="8" fillId="25" borderId="35" xfId="0" applyFont="1" applyFill="1" applyBorder="1" applyAlignment="1" applyProtection="1">
      <alignment horizontal="left" vertical="center"/>
    </xf>
    <xf numFmtId="0" fontId="8" fillId="25" borderId="45" xfId="0" applyFont="1" applyFill="1" applyBorder="1" applyAlignment="1" applyProtection="1">
      <alignment horizontal="left" vertical="center" indent="1"/>
    </xf>
    <xf numFmtId="0" fontId="8" fillId="25" borderId="50" xfId="0" applyFont="1" applyFill="1" applyBorder="1" applyAlignment="1" applyProtection="1">
      <alignment horizontal="left" vertical="center" indent="1"/>
    </xf>
    <xf numFmtId="0" fontId="8" fillId="25" borderId="46" xfId="0" applyFont="1" applyFill="1" applyBorder="1" applyAlignment="1" applyProtection="1">
      <alignment horizontal="left" vertical="center" indent="1"/>
    </xf>
    <xf numFmtId="0" fontId="45" fillId="34" borderId="24" xfId="0" applyFont="1" applyFill="1" applyBorder="1" applyAlignment="1" applyProtection="1">
      <alignment horizontal="center" vertical="center"/>
    </xf>
    <xf numFmtId="0" fontId="45" fillId="34" borderId="40" xfId="0" applyFont="1" applyFill="1" applyBorder="1" applyAlignment="1" applyProtection="1">
      <alignment horizontal="center" vertical="center"/>
    </xf>
    <xf numFmtId="0" fontId="45" fillId="34" borderId="41" xfId="0" applyFont="1" applyFill="1" applyBorder="1" applyAlignment="1" applyProtection="1">
      <alignment horizontal="center" vertical="center"/>
    </xf>
    <xf numFmtId="0" fontId="45" fillId="36" borderId="62" xfId="0" applyFont="1" applyFill="1" applyBorder="1" applyAlignment="1" applyProtection="1">
      <alignment horizontal="center" vertical="top" wrapText="1"/>
    </xf>
    <xf numFmtId="0" fontId="45" fillId="36" borderId="63" xfId="0" applyFont="1" applyFill="1" applyBorder="1" applyAlignment="1" applyProtection="1">
      <alignment horizontal="center" vertical="top" wrapText="1"/>
    </xf>
    <xf numFmtId="0" fontId="45" fillId="36" borderId="64" xfId="0" applyFont="1" applyFill="1" applyBorder="1" applyAlignment="1" applyProtection="1">
      <alignment horizontal="center" vertical="top" wrapText="1"/>
    </xf>
    <xf numFmtId="0" fontId="42" fillId="24" borderId="57" xfId="0" applyFont="1" applyFill="1" applyBorder="1" applyAlignment="1" applyProtection="1">
      <alignment horizontal="center" vertical="center"/>
      <protection locked="0"/>
    </xf>
    <xf numFmtId="0" fontId="2" fillId="24" borderId="41" xfId="0" applyFont="1" applyFill="1" applyBorder="1"/>
    <xf numFmtId="0" fontId="41" fillId="36" borderId="55" xfId="0" applyFont="1" applyFill="1" applyBorder="1" applyAlignment="1" applyProtection="1">
      <alignment horizontal="center" vertical="center"/>
    </xf>
    <xf numFmtId="0" fontId="41" fillId="36" borderId="56" xfId="0" applyFont="1" applyFill="1" applyBorder="1" applyAlignment="1" applyProtection="1">
      <alignment horizontal="center" vertical="center"/>
    </xf>
    <xf numFmtId="0" fontId="41" fillId="36" borderId="47" xfId="0" applyFont="1" applyFill="1" applyBorder="1" applyAlignment="1" applyProtection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52" fillId="26" borderId="66" xfId="0" applyFont="1" applyFill="1" applyBorder="1" applyAlignment="1">
      <alignment horizontal="center"/>
    </xf>
    <xf numFmtId="0" fontId="52" fillId="26" borderId="35" xfId="0" applyFont="1" applyFill="1" applyBorder="1" applyAlignment="1">
      <alignment horizontal="center"/>
    </xf>
  </cellXfs>
  <cellStyles count="19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Énfasis1" xfId="7" builtinId="30" customBuiltin="1"/>
    <cellStyle name="20% - Énfasis1 2" xfId="8"/>
    <cellStyle name="20% - Énfasis2" xfId="9" builtinId="34" customBuiltin="1"/>
    <cellStyle name="20% - Énfasis2 2" xfId="10"/>
    <cellStyle name="20% - Énfasis3" xfId="11" builtinId="38" customBuiltin="1"/>
    <cellStyle name="20% - Énfasis3 2" xfId="12"/>
    <cellStyle name="20% - Énfasis4" xfId="13" builtinId="42" customBuiltin="1"/>
    <cellStyle name="20% - Énfasis4 2" xfId="14"/>
    <cellStyle name="20% - Énfasis5" xfId="15" builtinId="46" customBuiltin="1"/>
    <cellStyle name="20% - Énfasis5 2" xfId="16"/>
    <cellStyle name="20% - Énfasis6" xfId="17" builtinId="50" customBuiltin="1"/>
    <cellStyle name="20% - Énfasis6 2" xfId="18"/>
    <cellStyle name="40% - Accent1" xfId="19"/>
    <cellStyle name="40% - Accent2" xfId="20"/>
    <cellStyle name="40% - Accent3" xfId="21"/>
    <cellStyle name="40% - Accent4" xfId="22"/>
    <cellStyle name="40% - Accent5" xfId="23"/>
    <cellStyle name="40% - Accent6" xfId="24"/>
    <cellStyle name="40% - Énfasis1" xfId="25" builtinId="31" customBuiltin="1"/>
    <cellStyle name="40% - Énfasis1 2" xfId="26"/>
    <cellStyle name="40% - Énfasis2" xfId="27" builtinId="35" customBuiltin="1"/>
    <cellStyle name="40% - Énfasis2 2" xfId="28"/>
    <cellStyle name="40% - Énfasis3" xfId="29" builtinId="39" customBuiltin="1"/>
    <cellStyle name="40% - Énfasis3 2" xfId="30"/>
    <cellStyle name="40% - Énfasis4" xfId="31" builtinId="43" customBuiltin="1"/>
    <cellStyle name="40% - Énfasis4 2" xfId="32"/>
    <cellStyle name="40% - Énfasis5" xfId="33" builtinId="47" customBuiltin="1"/>
    <cellStyle name="40% - Énfasis5 2" xfId="34"/>
    <cellStyle name="40% - Énfasis6" xfId="35" builtinId="51" customBuiltin="1"/>
    <cellStyle name="40% - Énfasis6 2" xfId="36"/>
    <cellStyle name="60% - Accent1" xfId="37"/>
    <cellStyle name="60% - Accent2" xfId="38"/>
    <cellStyle name="60% - Accent3" xfId="39"/>
    <cellStyle name="60% - Accent4" xfId="40"/>
    <cellStyle name="60% - Accent5" xfId="41"/>
    <cellStyle name="60% - Accent6" xfId="42"/>
    <cellStyle name="60% - Énfasis1" xfId="43" builtinId="32" customBuiltin="1"/>
    <cellStyle name="60% - Énfasis1 2" xfId="44"/>
    <cellStyle name="60% - Énfasis2" xfId="45" builtinId="36" customBuiltin="1"/>
    <cellStyle name="60% - Énfasis2 2" xfId="46"/>
    <cellStyle name="60% - Énfasis3" xfId="47" builtinId="40" customBuiltin="1"/>
    <cellStyle name="60% - Énfasis3 2" xfId="48"/>
    <cellStyle name="60% - Énfasis4" xfId="49" builtinId="44" customBuiltin="1"/>
    <cellStyle name="60% - Énfasis4 2" xfId="50"/>
    <cellStyle name="60% - Énfasis5" xfId="51" builtinId="48" customBuiltin="1"/>
    <cellStyle name="60% - Énfasis5 2" xfId="52"/>
    <cellStyle name="60% - Énfasis6" xfId="53" builtinId="52" customBuiltin="1"/>
    <cellStyle name="60% - Énfasis6 2" xfId="54"/>
    <cellStyle name="Accent1" xfId="55"/>
    <cellStyle name="Accent2" xfId="56"/>
    <cellStyle name="Accent3" xfId="57"/>
    <cellStyle name="Accent4" xfId="58"/>
    <cellStyle name="Accent5" xfId="59"/>
    <cellStyle name="Accent6" xfId="60"/>
    <cellStyle name="Bad" xfId="61"/>
    <cellStyle name="Buena" xfId="62" builtinId="26" customBuiltin="1"/>
    <cellStyle name="Buena 2" xfId="63"/>
    <cellStyle name="Calculation" xfId="64"/>
    <cellStyle name="Cálculo" xfId="65" builtinId="22" customBuiltin="1"/>
    <cellStyle name="Cálculo 2" xfId="66"/>
    <cellStyle name="Celda de comprobación" xfId="67" builtinId="23" customBuiltin="1"/>
    <cellStyle name="Celda de comprobación 2" xfId="68"/>
    <cellStyle name="Celda vinculada" xfId="69" builtinId="24" customBuiltin="1"/>
    <cellStyle name="Celda vinculada 2" xfId="70"/>
    <cellStyle name="Check Cell" xfId="71"/>
    <cellStyle name="Encabezado 4" xfId="72" builtinId="19" customBuiltin="1"/>
    <cellStyle name="Encabezado 4 2" xfId="73"/>
    <cellStyle name="Énfasis1" xfId="74" builtinId="29" customBuiltin="1"/>
    <cellStyle name="Énfasis1 2" xfId="75"/>
    <cellStyle name="Énfasis2" xfId="76" builtinId="33" customBuiltin="1"/>
    <cellStyle name="Énfasis2 2" xfId="77"/>
    <cellStyle name="Énfasis3" xfId="78" builtinId="37" customBuiltin="1"/>
    <cellStyle name="Énfasis3 2" xfId="79"/>
    <cellStyle name="Énfasis4" xfId="80" builtinId="41" customBuiltin="1"/>
    <cellStyle name="Énfasis4 2" xfId="81"/>
    <cellStyle name="Énfasis5" xfId="82" builtinId="45" customBuiltin="1"/>
    <cellStyle name="Énfasis5 2" xfId="83"/>
    <cellStyle name="Énfasis6" xfId="84" builtinId="49" customBuiltin="1"/>
    <cellStyle name="Énfasis6 2" xfId="85"/>
    <cellStyle name="Entrada" xfId="86" builtinId="20" customBuiltin="1"/>
    <cellStyle name="Entrada 2" xfId="87"/>
    <cellStyle name="Euro" xfId="88"/>
    <cellStyle name="Euro 2" xfId="89"/>
    <cellStyle name="Euro 3" xfId="90"/>
    <cellStyle name="Euro 4" xfId="91"/>
    <cellStyle name="Excel Built-in Comma" xfId="92"/>
    <cellStyle name="Excel Built-in Currency" xfId="93"/>
    <cellStyle name="Excel Built-in Hyperlink" xfId="94"/>
    <cellStyle name="Excel Built-in Normal" xfId="95"/>
    <cellStyle name="Explanatory Text" xfId="96"/>
    <cellStyle name="Good" xfId="97"/>
    <cellStyle name="Heading 1" xfId="98"/>
    <cellStyle name="Heading 2" xfId="99"/>
    <cellStyle name="Heading 3" xfId="100"/>
    <cellStyle name="Heading 4" xfId="101"/>
    <cellStyle name="Incorrecto" xfId="102" builtinId="27" customBuiltin="1"/>
    <cellStyle name="Incorrecto 2" xfId="103"/>
    <cellStyle name="Input" xfId="104"/>
    <cellStyle name="Linked Cell" xfId="105"/>
    <cellStyle name="Millares 10" xfId="106"/>
    <cellStyle name="Millares 11" xfId="107"/>
    <cellStyle name="Millares 11 2" xfId="108"/>
    <cellStyle name="Millares 12" xfId="109"/>
    <cellStyle name="Millares 13" xfId="110"/>
    <cellStyle name="Millares 14" xfId="111"/>
    <cellStyle name="Millares 15" xfId="112"/>
    <cellStyle name="Millares 2" xfId="113"/>
    <cellStyle name="Millares 2 2" xfId="114"/>
    <cellStyle name="Millares 3" xfId="115"/>
    <cellStyle name="Millares 4" xfId="116"/>
    <cellStyle name="Millares 5" xfId="117"/>
    <cellStyle name="Millares 6" xfId="118"/>
    <cellStyle name="Millares 7" xfId="119"/>
    <cellStyle name="Millares 8" xfId="120"/>
    <cellStyle name="Millares 9" xfId="121"/>
    <cellStyle name="Millares 9 2" xfId="122"/>
    <cellStyle name="Neutral" xfId="123" builtinId="28" customBuiltin="1"/>
    <cellStyle name="Neutral 2" xfId="124"/>
    <cellStyle name="Normal" xfId="0" builtinId="0"/>
    <cellStyle name="Normal 10" xfId="125"/>
    <cellStyle name="Normal 11" xfId="126"/>
    <cellStyle name="Normal 12" xfId="127"/>
    <cellStyle name="Normal 13" xfId="128"/>
    <cellStyle name="Normal 2" xfId="129"/>
    <cellStyle name="Normal 2 2" xfId="130"/>
    <cellStyle name="Normal 2 3" xfId="131"/>
    <cellStyle name="Normal 2 4" xfId="132"/>
    <cellStyle name="Normal 2_2010_07 Gerencial de promociones" xfId="133"/>
    <cellStyle name="Normal 3" xfId="134"/>
    <cellStyle name="Normal 3 2" xfId="135"/>
    <cellStyle name="Normal 3 2 2" xfId="136"/>
    <cellStyle name="Normal 3 3" xfId="137"/>
    <cellStyle name="Normal 3 4" xfId="138"/>
    <cellStyle name="Normal 3 5" xfId="139"/>
    <cellStyle name="Normal 3 6" xfId="140"/>
    <cellStyle name="Normal 3_Lista de Precio DWH Noviembre 2010 ( Original)" xfId="141"/>
    <cellStyle name="Normal 4" xfId="142"/>
    <cellStyle name="Normal 4 2" xfId="143"/>
    <cellStyle name="Normal 4 2 2" xfId="144"/>
    <cellStyle name="Normal 4 2 3" xfId="145"/>
    <cellStyle name="Normal 4 2 4" xfId="146"/>
    <cellStyle name="Normal 4 3" xfId="147"/>
    <cellStyle name="Normal 4 4" xfId="148"/>
    <cellStyle name="Normal 4 5" xfId="149"/>
    <cellStyle name="Normal 5" xfId="150"/>
    <cellStyle name="Normal 5 2" xfId="151"/>
    <cellStyle name="Normal 5 3" xfId="152"/>
    <cellStyle name="Normal 5 4" xfId="153"/>
    <cellStyle name="Normal 6" xfId="154"/>
    <cellStyle name="Normal 6 2" xfId="155"/>
    <cellStyle name="Normal 6_201008 Prom Mkt APROB cd" xfId="156"/>
    <cellStyle name="Normal 7" xfId="157"/>
    <cellStyle name="Normal 8" xfId="158"/>
    <cellStyle name="Normal 9" xfId="159"/>
    <cellStyle name="Notas" xfId="160" builtinId="10" customBuiltin="1"/>
    <cellStyle name="Notas 2" xfId="161"/>
    <cellStyle name="Notas 3" xfId="162"/>
    <cellStyle name="Note" xfId="163"/>
    <cellStyle name="Output" xfId="164"/>
    <cellStyle name="Porcentaje" xfId="165" builtinId="5"/>
    <cellStyle name="Porcentual 2" xfId="166"/>
    <cellStyle name="Porcentual 2 2" xfId="167"/>
    <cellStyle name="Porcentual 3" xfId="168"/>
    <cellStyle name="Porcentual 3 2" xfId="169"/>
    <cellStyle name="Porcentual 4" xfId="170"/>
    <cellStyle name="Porcentual 5" xfId="171"/>
    <cellStyle name="Porcentual 5 2" xfId="172"/>
    <cellStyle name="Porcentual 6" xfId="173"/>
    <cellStyle name="Porcentual 7" xfId="174"/>
    <cellStyle name="Salida" xfId="175" builtinId="21" customBuiltin="1"/>
    <cellStyle name="Salida 2" xfId="176"/>
    <cellStyle name="Texto de advertencia" xfId="177" builtinId="11" customBuiltin="1"/>
    <cellStyle name="Texto de advertencia 2" xfId="178"/>
    <cellStyle name="Texto explicativo" xfId="179" builtinId="53" customBuiltin="1"/>
    <cellStyle name="Texto explicativo 2" xfId="180"/>
    <cellStyle name="Title" xfId="181"/>
    <cellStyle name="Título" xfId="182" builtinId="15" customBuiltin="1"/>
    <cellStyle name="Título 1 2" xfId="183"/>
    <cellStyle name="Título 2" xfId="184" builtinId="17" customBuiltin="1"/>
    <cellStyle name="Título 2 2" xfId="185"/>
    <cellStyle name="Título 3" xfId="186" builtinId="18" customBuiltin="1"/>
    <cellStyle name="Título 3 2" xfId="187"/>
    <cellStyle name="Título 4" xfId="188"/>
    <cellStyle name="Total" xfId="189" builtinId="25" customBuiltin="1"/>
    <cellStyle name="Total 2" xfId="190"/>
    <cellStyle name="Warning Text" xfId="191"/>
  </cellStyles>
  <dxfs count="53">
    <dxf>
      <font>
        <b/>
        <i val="0"/>
      </font>
      <fill>
        <patternFill>
          <fgColor rgb="FF00FF00"/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fgColor rgb="FF00FF00"/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8"/>
        </patternFill>
      </fill>
    </dxf>
    <dxf>
      <font>
        <b/>
        <i val="0"/>
      </font>
      <fill>
        <patternFill>
          <fgColor rgb="FF00FF00"/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fgColor rgb="FF00FF00"/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8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CC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E0F6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TOTAL VENTA VS PROYECCION (UNDS)</a:t>
            </a:r>
          </a:p>
        </c:rich>
      </c:tx>
      <c:layout>
        <c:manualLayout>
          <c:xMode val="edge"/>
          <c:yMode val="edge"/>
          <c:x val="0.29341383896519668"/>
          <c:y val="2.08335255164234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856427489605745E-2"/>
          <c:y val="0.10416709052364309"/>
          <c:w val="0.8822372486223814"/>
          <c:h val="0.6541693284884787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numRef>
              <c:f>tacometros!$A$20:$M$20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tacometros!$A$21:$M$21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3175">
              <a:solidFill>
                <a:srgbClr val="003300"/>
              </a:solidFill>
              <a:prstDash val="sysDash"/>
            </a:ln>
          </c:spPr>
          <c:marker>
            <c:symbol val="none"/>
          </c:marker>
          <c:cat>
            <c:numRef>
              <c:f>tacometros!$A$20:$M$20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tacometros!$A$22:$M$22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2688992"/>
        <c:axId val="242681936"/>
      </c:lineChart>
      <c:dateAx>
        <c:axId val="24268899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426819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426819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42688992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REP LYS VS HP (UNDS)</a:t>
            </a:r>
          </a:p>
        </c:rich>
      </c:tx>
      <c:layout>
        <c:manualLayout>
          <c:xMode val="edge"/>
          <c:yMode val="edge"/>
          <c:x val="0.28621956076331412"/>
          <c:y val="2.0242974514179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738650029417725E-2"/>
          <c:y val="9.3117592986132425E-2"/>
          <c:w val="0.8727930253302808"/>
          <c:h val="0.70850342489448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FF808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'v-cod'!$B$9:$N$9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'v-cod'!$B$21:$N$21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3366FF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'v-cod'!$B$9:$N$9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'v-cod'!$B$22:$N$22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255184"/>
        <c:axId val="308254792"/>
      </c:lineChart>
      <c:dateAx>
        <c:axId val="308255184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254792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308254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255184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4890468457979733E-2"/>
          <c:y val="0.34826039849773827"/>
          <c:w val="0.92911976469867352"/>
          <c:h val="0.53917442137914573"/>
        </c:manualLayout>
      </c:layout>
      <c:pie3DChart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1.8077572933712177E-2"/>
                  <c:y val="-0.1024602361624927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3.6335189002461236E-2"/>
                  <c:y val="-0.13728627601226656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8555722135138861"/>
                  <c:y val="-7.1754897550674171E-2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'v-cod'!$L$3:$N$3</c:f>
              <c:strCache>
                <c:ptCount val="3"/>
                <c:pt idx="0">
                  <c:v>Rep</c:v>
                </c:pt>
                <c:pt idx="1">
                  <c:v>Ind</c:v>
                </c:pt>
                <c:pt idx="2">
                  <c:v>Exp</c:v>
                </c:pt>
              </c:strCache>
            </c:strRef>
          </c:cat>
          <c:val>
            <c:numRef>
              <c:f>'v-cod'!$L$4:$N$4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gradFill rotWithShape="0"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/>
    </a:gra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PPU LYS VS HP (REP)</a:t>
            </a:r>
          </a:p>
        </c:rich>
      </c:tx>
      <c:layout>
        <c:manualLayout>
          <c:xMode val="edge"/>
          <c:yMode val="edge"/>
          <c:x val="0.30035380192860517"/>
          <c:y val="1.3966244725738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74227504947525"/>
          <c:y val="6.4245897681752012E-2"/>
          <c:w val="0.81978940031022318"/>
          <c:h val="0.7988837711730906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'v-cod'!$B$59:$N$59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'v-cod'!$B$70:$N$70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'v-cod'!$B$59:$N$59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'v-cod'!$B$71:$N$71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255576"/>
        <c:axId val="308250088"/>
      </c:lineChart>
      <c:dateAx>
        <c:axId val="308255576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250088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308250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255576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PE"/>
              <a:t>PARTICIPACION REP
</a:t>
            </a:r>
          </a:p>
        </c:rich>
      </c:tx>
      <c:overlay val="0"/>
    </c:title>
    <c:autoTitleDeleted val="0"/>
    <c:view3D>
      <c:rotX val="15"/>
      <c:rotY val="21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6580309076979421E-2"/>
          <c:y val="0.27487273393151446"/>
          <c:w val="0.72008434633872187"/>
          <c:h val="0.5723881026499594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GraficoPart!$Q$13</c:f>
              <c:strCache>
                <c:ptCount val="1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GraficoPart!$R$12:$W$12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GraficoPart!$R$13:$W$13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1"/>
          <c:order val="1"/>
          <c:tx>
            <c:strRef>
              <c:f>GraficoPart!$Q$14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rgbClr val="0070C0"/>
            </a:solidFill>
            <a:ln w="25400">
              <a:noFill/>
            </a:ln>
          </c:spPr>
          <c:invertIfNegative val="0"/>
          <c:cat>
            <c:numRef>
              <c:f>GraficoPart!$R$12:$W$12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GraficoPart!$R$14:$W$14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2"/>
          <c:order val="2"/>
          <c:tx>
            <c:strRef>
              <c:f>GraficoPart!$Q$15</c:f>
              <c:strCache>
                <c:ptCount val="1"/>
                <c:pt idx="0">
                  <c:v>PUROLATOR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numRef>
              <c:f>GraficoPart!$R$12:$W$12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GraficoPart!$R$15:$W$15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3"/>
          <c:order val="3"/>
          <c:tx>
            <c:strRef>
              <c:f>GraficoPart!$Q$16</c:f>
              <c:strCache>
                <c:ptCount val="1"/>
                <c:pt idx="0">
                  <c:v>WB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numRef>
              <c:f>GraficoPart!$R$12:$W$12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GraficoPart!$R$16:$W$16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4"/>
          <c:order val="4"/>
          <c:tx>
            <c:strRef>
              <c:f>GraficoPart!$Q$17</c:f>
              <c:strCache>
                <c:ptCount val="1"/>
                <c:pt idx="0">
                  <c:v>IMPORTADOS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numRef>
              <c:f>GraficoPart!$R$12:$W$12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GraficoPart!$R$17:$W$17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8253224"/>
        <c:axId val="308256752"/>
        <c:axId val="0"/>
      </c:bar3DChart>
      <c:catAx>
        <c:axId val="308253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8256752"/>
        <c:crosses val="autoZero"/>
        <c:auto val="1"/>
        <c:lblAlgn val="ctr"/>
        <c:lblOffset val="100"/>
        <c:noMultiLvlLbl val="0"/>
      </c:catAx>
      <c:valAx>
        <c:axId val="308256752"/>
        <c:scaling>
          <c:orientation val="minMax"/>
        </c:scaling>
        <c:delete val="0"/>
        <c:axPos val="r"/>
        <c:majorGridlines/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82532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740008108742481"/>
          <c:y val="0.45070422535211274"/>
          <c:w val="9.7968618733791479E-2"/>
          <c:h val="0.26997392510483842"/>
        </c:manualLayout>
      </c:layout>
      <c:overlay val="0"/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PE"/>
              <a:t>PARTICIPACION IND</a:t>
            </a:r>
          </a:p>
        </c:rich>
      </c:tx>
      <c:overlay val="0"/>
    </c:title>
    <c:autoTitleDeleted val="0"/>
    <c:view3D>
      <c:rotX val="15"/>
      <c:rotY val="21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GraficoPart!$Q$22</c:f>
              <c:strCache>
                <c:ptCount val="1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GraficoPart!$R$21:$W$21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GraficoPart!$R$22:$W$22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1"/>
          <c:order val="1"/>
          <c:tx>
            <c:strRef>
              <c:f>GraficoPart!$Q$23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rgbClr val="376092"/>
            </a:solidFill>
            <a:ln w="25400">
              <a:noFill/>
            </a:ln>
          </c:spPr>
          <c:invertIfNegative val="0"/>
          <c:cat>
            <c:numRef>
              <c:f>GraficoPart!$R$21:$W$21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GraficoPart!$R$23:$W$23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2"/>
          <c:order val="2"/>
          <c:tx>
            <c:strRef>
              <c:f>GraficoPart!$Q$24</c:f>
              <c:strCache>
                <c:ptCount val="1"/>
                <c:pt idx="0">
                  <c:v>PUROLATOR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numRef>
              <c:f>GraficoPart!$R$21:$W$21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GraficoPart!$R$24:$W$24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3"/>
          <c:order val="3"/>
          <c:tx>
            <c:strRef>
              <c:f>GraficoPart!$Q$25</c:f>
              <c:strCache>
                <c:ptCount val="1"/>
                <c:pt idx="0">
                  <c:v>WB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numRef>
              <c:f>GraficoPart!$R$21:$W$21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GraficoPart!$R$25:$W$25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4"/>
          <c:order val="4"/>
          <c:tx>
            <c:strRef>
              <c:f>GraficoPart!$Q$26</c:f>
              <c:strCache>
                <c:ptCount val="1"/>
                <c:pt idx="0">
                  <c:v>IMPORTADOS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numRef>
              <c:f>GraficoPart!$R$21:$W$21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GraficoPart!$R$26:$W$26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8249304"/>
        <c:axId val="308249696"/>
        <c:axId val="0"/>
      </c:bar3DChart>
      <c:catAx>
        <c:axId val="30824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8249696"/>
        <c:crosses val="autoZero"/>
        <c:auto val="1"/>
        <c:lblAlgn val="ctr"/>
        <c:lblOffset val="100"/>
        <c:noMultiLvlLbl val="0"/>
      </c:catAx>
      <c:valAx>
        <c:axId val="308249696"/>
        <c:scaling>
          <c:orientation val="minMax"/>
        </c:scaling>
        <c:delete val="0"/>
        <c:axPos val="r"/>
        <c:majorGridlines/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82493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942520244670914"/>
          <c:y val="0.40209863627186465"/>
          <c:w val="0.10459295374958079"/>
          <c:h val="0.2679621688441316"/>
        </c:manualLayout>
      </c:layout>
      <c:overlay val="0"/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3866171003722"/>
          <c:y val="0.22680488484242395"/>
          <c:w val="0.65055762081784374"/>
          <c:h val="0.601376588597336"/>
        </c:manualLayout>
      </c:layout>
      <c:doughnutChart>
        <c:varyColors val="1"/>
        <c:ser>
          <c:idx val="0"/>
          <c:order val="0"/>
          <c:tx>
            <c:strRef>
              <c:f>tacometros!$B$2</c:f>
              <c:strCache>
                <c:ptCount val="1"/>
                <c:pt idx="0">
                  <c:v>IIII</c:v>
                </c:pt>
              </c:strCache>
            </c:strRef>
          </c:tx>
          <c:spPr>
            <a:solidFill>
              <a:srgbClr val="F3FCC0"/>
            </a:solidFill>
            <a:ln w="12700">
              <a:solidFill>
                <a:srgbClr val="666699"/>
              </a:solidFill>
              <a:prstDash val="solid"/>
            </a:ln>
          </c:spPr>
          <c:dPt>
            <c:idx val="10"/>
            <c:bubble3D val="0"/>
            <c:spPr>
              <a:noFill/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0.17942136079143969"/>
                  <c:y val="2.7777742357104177E-2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18089521502119937"/>
                  <c:y val="-3.7555123423337215E-2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7499818291944294"/>
                  <c:y val="-8.3101575865769869E-2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5181546537452056"/>
                  <c:y val="-0.1288792544656614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4230163537250241E-2"/>
                  <c:y val="-0.17388887117855198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2.6923076923076945E-2"/>
                  <c:y val="-0.19755469837525369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5.1068443367655945E-2"/>
                  <c:y val="-0.19290679758147652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11134423581667677"/>
                  <c:y val="-0.1543332589499187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.15320331112457106"/>
                  <c:y val="-0.12065669928910709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674338784575006"/>
                  <c:y val="-8.7981977961256869E-2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39678942055320032"/>
                  <c:y val="-0.21841563326851349"/>
                </c:manualLayout>
              </c:layout>
              <c:spPr/>
              <c:txPr>
                <a:bodyPr/>
                <a:lstStyle/>
                <a:p>
                  <a:pPr algn="ctr" rtl="0"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tacometros!$A$3:$A$13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tacometros!$B$3:$B$13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996633"/>
              </a:solidFill>
              <a:prstDash val="solid"/>
            </a:ln>
          </c:spPr>
          <c:marker>
            <c:symbol val="none"/>
          </c:marker>
          <c:xVal>
            <c:numRef>
              <c:f>tacometros!$E$8:$E$9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tacometros!$F$8:$F$9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772168"/>
        <c:axId val="395774128"/>
      </c:scatterChart>
      <c:valAx>
        <c:axId val="39577216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one"/>
        <c:crossAx val="395774128"/>
        <c:crossesAt val="0"/>
        <c:crossBetween val="midCat"/>
      </c:valAx>
      <c:valAx>
        <c:axId val="395774128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one"/>
        <c:crossAx val="395772168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 alignWithMargins="0"/>
    <c:pageMargins b="1" l="0.75000000000000089" r="0.75000000000000089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1017565112077"/>
          <c:y val="0.15087336754970421"/>
          <c:w val="0.65060879585173803"/>
          <c:h val="0.75597054416780951"/>
        </c:manualLayout>
      </c:layout>
      <c:doughnutChart>
        <c:varyColors val="1"/>
        <c:ser>
          <c:idx val="0"/>
          <c:order val="0"/>
          <c:tx>
            <c:strRef>
              <c:f>tacometros!$B$2</c:f>
              <c:strCache>
                <c:ptCount val="1"/>
                <c:pt idx="0">
                  <c:v>IIII</c:v>
                </c:pt>
              </c:strCache>
            </c:strRef>
          </c:tx>
          <c:spPr>
            <a:solidFill>
              <a:srgbClr val="F3FCC0"/>
            </a:solidFill>
            <a:ln w="12700">
              <a:solidFill>
                <a:srgbClr val="666699"/>
              </a:solidFill>
              <a:prstDash val="solid"/>
            </a:ln>
          </c:spPr>
          <c:dPt>
            <c:idx val="10"/>
            <c:bubble3D val="0"/>
            <c:spPr>
              <a:noFill/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0.1794213607914398"/>
                  <c:y val="2.7777742357104198E-2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18089521502119946"/>
                  <c:y val="-3.7555123423337215E-2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7499818291944302"/>
                  <c:y val="-8.3101575865769911E-2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5181546537452062"/>
                  <c:y val="-0.1288792544656614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4230163537250283E-2"/>
                  <c:y val="-0.17388887117855192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2.6923076923076956E-2"/>
                  <c:y val="-0.19755469837525369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5.1068443367655945E-2"/>
                  <c:y val="-0.19290679758147664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11134423581667677"/>
                  <c:y val="-0.1543332589499187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.15320331112457111"/>
                  <c:y val="-0.12065669928910709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6743387845750066"/>
                  <c:y val="-8.7981977961256869E-2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39678942055320032"/>
                  <c:y val="-0.21841563326851349"/>
                </c:manualLayout>
              </c:layout>
              <c:spPr/>
              <c:txPr>
                <a:bodyPr/>
                <a:lstStyle/>
                <a:p>
                  <a:pPr algn="ctr" rtl="0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tacometros!$A$3:$A$13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tacometros!$B$3:$B$13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996633"/>
              </a:solidFill>
              <a:prstDash val="solid"/>
            </a:ln>
          </c:spPr>
          <c:marker>
            <c:symbol val="none"/>
          </c:marker>
          <c:xVal>
            <c:numRef>
              <c:f>tacometros!$G$8:$G$9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tacometros!$H$8:$H$9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770208"/>
        <c:axId val="395777264"/>
      </c:scatterChart>
      <c:valAx>
        <c:axId val="39577020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one"/>
        <c:crossAx val="395777264"/>
        <c:crossesAt val="0"/>
        <c:crossBetween val="midCat"/>
      </c:valAx>
      <c:valAx>
        <c:axId val="39577726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one"/>
        <c:crossAx val="395770208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TOTAL VENTA VS PROYECCION (UNDS)</a:t>
            </a:r>
          </a:p>
        </c:rich>
      </c:tx>
      <c:layout>
        <c:manualLayout>
          <c:xMode val="edge"/>
          <c:yMode val="edge"/>
          <c:x val="0.29341365886311183"/>
          <c:y val="2.0833448450522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74475998152129"/>
          <c:y val="0.10416709052364309"/>
          <c:w val="0.82634891613046602"/>
          <c:h val="0.6541693284884787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numRef>
              <c:f>tacometros!$A$26:$M$26</c:f>
              <c:numCache>
                <c:formatCode>[$-C0A]mmm\-yy;@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tacometros!$A$27:$M$27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3175">
              <a:solidFill>
                <a:srgbClr val="003300"/>
              </a:solidFill>
              <a:prstDash val="sysDash"/>
            </a:ln>
          </c:spPr>
          <c:marker>
            <c:symbol val="none"/>
          </c:marker>
          <c:cat>
            <c:numRef>
              <c:f>tacometros!$A$26:$M$26</c:f>
              <c:numCache>
                <c:formatCode>[$-C0A]mmm\-yy;@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tacometros!$A$28:$M$28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777656"/>
        <c:axId val="395779224"/>
      </c:lineChart>
      <c:dateAx>
        <c:axId val="395777656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957792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3957792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95777656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REP LYS VS HP (UNDS)</a:t>
            </a:r>
          </a:p>
        </c:rich>
      </c:tx>
      <c:layout>
        <c:manualLayout>
          <c:xMode val="edge"/>
          <c:yMode val="edge"/>
          <c:x val="0.28621939915503131"/>
          <c:y val="2.02427619624469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4517506552124"/>
          <c:y val="9.3117592986132425E-2"/>
          <c:w val="0.77738650029417711"/>
          <c:h val="0.70850342489448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FF808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'v-rk'!$B$9:$N$9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'v-rk'!$B$21:$N$21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3366FF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'v-rk'!$B$9:$N$9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'v-rk'!$B$22:$N$22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778048"/>
        <c:axId val="240908272"/>
      </c:lineChart>
      <c:dateAx>
        <c:axId val="395778048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40908272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240908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95778048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4818833621407081E-2"/>
          <c:y val="0.39867174306955838"/>
          <c:w val="0.94980923116317795"/>
          <c:h val="0.35006159405953652"/>
        </c:manualLayout>
      </c:layout>
      <c:pie3DChart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-7.1821377098094056E-3"/>
                  <c:y val="4.5408038691623048E-2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9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7.4088285187476385E-2"/>
                  <c:y val="-5.1396394671322961E-2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9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5946438741007821E-2"/>
                  <c:y val="-7.08643854702522E-2"/>
                </c:manualLayout>
              </c:layout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9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'v-rk'!$L$3:$N$3</c:f>
              <c:strCache>
                <c:ptCount val="3"/>
                <c:pt idx="0">
                  <c:v>Rep</c:v>
                </c:pt>
                <c:pt idx="1">
                  <c:v>Ind</c:v>
                </c:pt>
                <c:pt idx="2">
                  <c:v>Exp</c:v>
                </c:pt>
              </c:strCache>
            </c:strRef>
          </c:cat>
          <c:val>
            <c:numRef>
              <c:f>'v-rk'!$L$4:$N$4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gradFill rotWithShape="0"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/>
    </a:gradFill>
    <a:ln w="3175">
      <a:solidFill>
        <a:srgbClr val="000000"/>
      </a:solidFill>
      <a:prstDash val="solid"/>
    </a:ln>
  </c:spPr>
  <c:txPr>
    <a:bodyPr/>
    <a:lstStyle/>
    <a:p>
      <a:pPr>
        <a:defRPr sz="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PPU LYS VS HP (REP)</a:t>
            </a:r>
          </a:p>
        </c:rich>
      </c:tx>
      <c:layout>
        <c:manualLayout>
          <c:xMode val="edge"/>
          <c:yMode val="edge"/>
          <c:x val="0.30035384465830661"/>
          <c:y val="1.39663937356667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74227504947525"/>
          <c:y val="6.4245897681752012E-2"/>
          <c:w val="0.81978940031022318"/>
          <c:h val="0.7988837711730906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'v-rk'!$B$59:$N$59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'v-rk'!$B$70:$N$70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1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'v-rk'!$B$59:$N$59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'v-rk'!$B$71:$N$71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907880"/>
        <c:axId val="240909840"/>
      </c:lineChart>
      <c:dateAx>
        <c:axId val="240907880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40909840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2409098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40907880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11" r="0.75000000000000011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PE"/>
              <a:t>PARTICIPACION REP
</a:t>
            </a:r>
          </a:p>
        </c:rich>
      </c:tx>
      <c:overlay val="0"/>
    </c:title>
    <c:autoTitleDeleted val="0"/>
    <c:view3D>
      <c:rotX val="15"/>
      <c:rotY val="21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GraficoPart!$Y$13</c:f>
              <c:strCache>
                <c:ptCount val="1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GraficoPart!$Z$12:$AE$12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GraficoPart!$Z$13:$AE$13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1"/>
          <c:order val="1"/>
          <c:tx>
            <c:strRef>
              <c:f>GraficoPart!$Y$14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rgbClr val="376092"/>
            </a:solidFill>
            <a:ln w="25400">
              <a:noFill/>
            </a:ln>
          </c:spPr>
          <c:invertIfNegative val="0"/>
          <c:cat>
            <c:numRef>
              <c:f>GraficoPart!$Z$12:$AE$12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GraficoPart!$Z$14:$AE$14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2"/>
          <c:order val="2"/>
          <c:tx>
            <c:strRef>
              <c:f>GraficoPart!$Y$15</c:f>
              <c:strCache>
                <c:ptCount val="1"/>
                <c:pt idx="0">
                  <c:v>PUROLATOR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numRef>
              <c:f>GraficoPart!$Z$12:$AE$12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GraficoPart!$Z$15:$AE$15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3"/>
          <c:order val="3"/>
          <c:tx>
            <c:strRef>
              <c:f>GraficoPart!$Y$16</c:f>
              <c:strCache>
                <c:ptCount val="1"/>
                <c:pt idx="0">
                  <c:v>WB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numRef>
              <c:f>GraficoPart!$Z$12:$AE$12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GraficoPart!$Z$16:$AE$16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4"/>
          <c:order val="4"/>
          <c:tx>
            <c:strRef>
              <c:f>GraficoPart!$Y$17</c:f>
              <c:strCache>
                <c:ptCount val="1"/>
                <c:pt idx="0">
                  <c:v>IMPORTADOS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numRef>
              <c:f>GraficoPart!$Z$12:$AE$12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GraficoPart!$Z$17:$AE$17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0909448"/>
        <c:axId val="240911016"/>
        <c:axId val="0"/>
      </c:bar3DChart>
      <c:catAx>
        <c:axId val="240909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240911016"/>
        <c:crosses val="autoZero"/>
        <c:auto val="1"/>
        <c:lblAlgn val="ctr"/>
        <c:lblOffset val="100"/>
        <c:noMultiLvlLbl val="0"/>
      </c:catAx>
      <c:valAx>
        <c:axId val="240911016"/>
        <c:scaling>
          <c:orientation val="minMax"/>
        </c:scaling>
        <c:delete val="0"/>
        <c:axPos val="r"/>
        <c:majorGridlines/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2409094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978723404255328"/>
          <c:y val="0.45229756174471125"/>
          <c:w val="0.10260186302031031"/>
          <c:h val="0.27092310520297269"/>
        </c:manualLayout>
      </c:layout>
      <c:overlay val="0"/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25400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PE"/>
              <a:t>PARTICIPACION IND</a:t>
            </a:r>
          </a:p>
        </c:rich>
      </c:tx>
      <c:overlay val="0"/>
    </c:title>
    <c:autoTitleDeleted val="0"/>
    <c:view3D>
      <c:rotX val="15"/>
      <c:rotY val="21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GraficoPart!$Y$22</c:f>
              <c:strCache>
                <c:ptCount val="1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GraficoPart!$Z$21:$AE$21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GraficoPart!$Z$22:$AE$22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1"/>
          <c:order val="1"/>
          <c:tx>
            <c:strRef>
              <c:f>GraficoPart!$Y$23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rgbClr val="376092"/>
            </a:solidFill>
            <a:ln w="25400">
              <a:noFill/>
            </a:ln>
          </c:spPr>
          <c:invertIfNegative val="0"/>
          <c:cat>
            <c:numRef>
              <c:f>GraficoPart!$Z$21:$AE$21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GraficoPart!$Z$23:$AE$23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2"/>
          <c:order val="2"/>
          <c:tx>
            <c:strRef>
              <c:f>GraficoPart!$Y$24</c:f>
              <c:strCache>
                <c:ptCount val="1"/>
                <c:pt idx="0">
                  <c:v>PUROLATOR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numRef>
              <c:f>GraficoPart!$Z$21:$AE$21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GraficoPart!$Z$24:$AE$24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3"/>
          <c:order val="3"/>
          <c:tx>
            <c:strRef>
              <c:f>GraficoPart!$Y$25</c:f>
              <c:strCache>
                <c:ptCount val="1"/>
                <c:pt idx="0">
                  <c:v>WB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numRef>
              <c:f>GraficoPart!$Z$21:$AE$21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GraficoPart!$Z$25:$AE$25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ser>
          <c:idx val="4"/>
          <c:order val="4"/>
          <c:tx>
            <c:strRef>
              <c:f>GraficoPart!$Y$26</c:f>
              <c:strCache>
                <c:ptCount val="1"/>
                <c:pt idx="0">
                  <c:v>IMPORTADOS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numRef>
              <c:f>GraficoPart!$Z$21:$AE$21</c:f>
              <c:numCache>
                <c:formatCode>General</c:formatCode>
                <c:ptCount val="6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</c:numCache>
            </c:numRef>
          </c:cat>
          <c:val>
            <c:numRef>
              <c:f>GraficoPart!$Z$26:$AE$26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7265144"/>
        <c:axId val="304028896"/>
        <c:axId val="0"/>
      </c:bar3DChart>
      <c:catAx>
        <c:axId val="307265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4028896"/>
        <c:crosses val="autoZero"/>
        <c:auto val="1"/>
        <c:lblAlgn val="ctr"/>
        <c:lblOffset val="100"/>
        <c:noMultiLvlLbl val="0"/>
      </c:catAx>
      <c:valAx>
        <c:axId val="304028896"/>
        <c:scaling>
          <c:orientation val="minMax"/>
        </c:scaling>
        <c:delete val="0"/>
        <c:axPos val="r"/>
        <c:majorGridlines/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3072651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471161146179063"/>
          <c:y val="0.40140845070422537"/>
          <c:w val="0.10181449426259734"/>
          <c:h val="0.26997392510483842"/>
        </c:manualLayout>
      </c:layout>
      <c:overlay val="0"/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25400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85062562406959"/>
          <c:y val="0.14583382783280383"/>
          <c:w val="0.76404773835344386"/>
          <c:h val="0.70833573518790416"/>
        </c:manualLayout>
      </c:layout>
      <c:doughnutChart>
        <c:varyColors val="1"/>
        <c:ser>
          <c:idx val="0"/>
          <c:order val="0"/>
          <c:tx>
            <c:strRef>
              <c:f>tacometros!$B$2</c:f>
              <c:strCache>
                <c:ptCount val="1"/>
                <c:pt idx="0">
                  <c:v>IIII</c:v>
                </c:pt>
              </c:strCache>
            </c:strRef>
          </c:tx>
          <c:spPr>
            <a:solidFill>
              <a:srgbClr val="F3FCC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0"/>
            <c:bubble3D val="0"/>
            <c:spPr>
              <a:noFill/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0.19687491926061368"/>
                  <c:y val="4.6295583171934501E-3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19722227804204476"/>
                  <c:y val="-2.7777755258061101E-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2024314294490529"/>
                  <c:y val="-8.5407466799407E-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7083326327376019"/>
                  <c:y val="-0.1217528032318136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2708328121584592"/>
                  <c:y val="-0.16307427642123509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3.7499984621069335E-2"/>
                  <c:y val="-0.20114764079394434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4.6180673318293432E-2"/>
                  <c:y val="-0.19137048059687706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9.5138986573578346E-2"/>
                  <c:y val="-0.17782676266551645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.15416660344217387"/>
                  <c:y val="-0.14662902811298376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864582568658725"/>
                  <c:y val="-0.10444374363086113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43680551312109878"/>
                  <c:y val="-0.25894962816794986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1"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tacometros!$A$3:$A$13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tacometros!$B$3:$B$13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996633"/>
              </a:solidFill>
              <a:prstDash val="solid"/>
            </a:ln>
          </c:spPr>
          <c:marker>
            <c:symbol val="none"/>
          </c:marker>
          <c:xVal>
            <c:numRef>
              <c:f>tacometros!$J$8:$J$9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tacometros!$K$8:$K$9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37752"/>
        <c:axId val="394340496"/>
      </c:scatterChart>
      <c:valAx>
        <c:axId val="39433775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one"/>
        <c:crossAx val="394340496"/>
        <c:crossesAt val="0"/>
        <c:crossBetween val="midCat"/>
      </c:valAx>
      <c:valAx>
        <c:axId val="394340496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one"/>
        <c:crossAx val="394337752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08139356800906"/>
          <c:y val="0.13888935984076556"/>
          <c:w val="0.76383901464305892"/>
          <c:h val="0.7187524371759616"/>
        </c:manualLayout>
      </c:layout>
      <c:doughnutChart>
        <c:varyColors val="1"/>
        <c:ser>
          <c:idx val="0"/>
          <c:order val="0"/>
          <c:tx>
            <c:strRef>
              <c:f>tacometros!$B$2</c:f>
              <c:strCache>
                <c:ptCount val="1"/>
                <c:pt idx="0">
                  <c:v>IIII</c:v>
                </c:pt>
              </c:strCache>
            </c:strRef>
          </c:tx>
          <c:spPr>
            <a:solidFill>
              <a:srgbClr val="F3FCC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0"/>
            <c:bubble3D val="0"/>
            <c:spPr>
              <a:noFill/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0.2004614807764416"/>
                  <c:y val="4.6295583171934501E-3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20113331987347741"/>
                  <c:y val="-2.7778160612961487E-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9071654504725374"/>
                  <c:y val="-8.0259459564632721E-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6465211079384307"/>
                  <c:y val="-0.1269008104665878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2057800467249286"/>
                  <c:y val="-0.16822228365600941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3.6202782344514642E-2"/>
                  <c:y val="-0.1908516263243957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6.0832780517819915E-2"/>
                  <c:y val="-0.19651848783165138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10490688663917011"/>
                  <c:y val="-0.17267875543074218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.15319354311480296"/>
                  <c:y val="-0.14148102087820949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9525328564698644"/>
                  <c:y val="-9.4147729161312657E-2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42932671877553791"/>
                  <c:y val="-0.24350560646362709"/>
                </c:manualLayout>
              </c:layout>
              <c:spPr/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1"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tacometros!$A$3:$A$13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tacometros!$B$3:$B$13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20"/>
      </c:doughnut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996633"/>
              </a:solidFill>
              <a:prstDash val="solid"/>
            </a:ln>
          </c:spPr>
          <c:marker>
            <c:symbol val="none"/>
          </c:marker>
          <c:xVal>
            <c:numRef>
              <c:f>tacometros!$L$8:$L$9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tacometros!$M$8:$M$9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31480"/>
        <c:axId val="394333048"/>
      </c:scatterChart>
      <c:valAx>
        <c:axId val="394331480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one"/>
        <c:crossAx val="394333048"/>
        <c:crossesAt val="0"/>
        <c:crossBetween val="midCat"/>
      </c:valAx>
      <c:valAx>
        <c:axId val="394333048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one"/>
        <c:crossAx val="394331480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X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fmlaLink="$X$3" lockText="1" noThreeD="1"/>
</file>

<file path=xl/ctrlProps/ctrlProp5.xml><?xml version="1.0" encoding="utf-8"?>
<formControlPr xmlns="http://schemas.microsoft.com/office/spreadsheetml/2009/9/main" objectType="CheckBox" fmlaLink="$X$12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X$1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Spin" dx="16" fmlaLink="$E$4" max="1674" min="1" page="10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Radio" checked="Checked" firstButton="1" fmlaLink="$X$2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CheckBox" fmlaLink="$X$3" lockText="1" noThreeD="1"/>
</file>

<file path=xl/ctrlProps/ctrlProp15.xml><?xml version="1.0" encoding="utf-8"?>
<formControlPr xmlns="http://schemas.microsoft.com/office/spreadsheetml/2009/9/main" objectType="CheckBox" fmlaLink="$X$12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checked="Checked" firstButton="1" fmlaLink="$X$1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file:///P:\modelo%20de%20demanda\LF1A.jpg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4.emf"/><Relationship Id="rId5" Type="http://schemas.openxmlformats.org/officeDocument/2006/relationships/chart" Target="../charts/chart5.xml"/><Relationship Id="rId10" Type="http://schemas.openxmlformats.org/officeDocument/2006/relationships/image" Target="../media/image3.emf"/><Relationship Id="rId4" Type="http://schemas.openxmlformats.org/officeDocument/2006/relationships/chart" Target="../charts/chart4.xml"/><Relationship Id="rId9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image" Target="file:///P:\modelo%20de%20demanda\LF1A.jpg" TargetMode="Externa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image" Target="../media/image9.emf"/><Relationship Id="rId5" Type="http://schemas.openxmlformats.org/officeDocument/2006/relationships/chart" Target="../charts/chart13.xml"/><Relationship Id="rId10" Type="http://schemas.openxmlformats.org/officeDocument/2006/relationships/image" Target="../media/image3.emf"/><Relationship Id="rId4" Type="http://schemas.openxmlformats.org/officeDocument/2006/relationships/chart" Target="../charts/chart12.xml"/><Relationship Id="rId9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1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26</xdr:row>
      <xdr:rowOff>0</xdr:rowOff>
    </xdr:from>
    <xdr:to>
      <xdr:col>13</xdr:col>
      <xdr:colOff>0</xdr:colOff>
      <xdr:row>38</xdr:row>
      <xdr:rowOff>0</xdr:rowOff>
    </xdr:to>
    <xdr:graphicFrame macro="">
      <xdr:nvGraphicFramePr>
        <xdr:cNvPr id="283930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0</xdr:row>
      <xdr:rowOff>104775</xdr:rowOff>
    </xdr:from>
    <xdr:to>
      <xdr:col>13</xdr:col>
      <xdr:colOff>419100</xdr:colOff>
      <xdr:row>1</xdr:row>
      <xdr:rowOff>114300</xdr:rowOff>
    </xdr:to>
    <xdr:grpSp>
      <xdr:nvGrpSpPr>
        <xdr:cNvPr id="28393078" name="Group 54"/>
        <xdr:cNvGrpSpPr>
          <a:grpSpLocks/>
        </xdr:cNvGrpSpPr>
      </xdr:nvGrpSpPr>
      <xdr:grpSpPr bwMode="auto">
        <a:xfrm>
          <a:off x="7565571" y="104775"/>
          <a:ext cx="1480458" cy="200025"/>
          <a:chOff x="335" y="11"/>
          <a:chExt cx="154" cy="21"/>
        </a:xfrm>
      </xdr:grpSpPr>
      <xdr:grpSp>
        <xdr:nvGrpSpPr>
          <xdr:cNvPr id="28393102" name="Group 55"/>
          <xdr:cNvGrpSpPr>
            <a:grpSpLocks/>
          </xdr:cNvGrpSpPr>
        </xdr:nvGrpSpPr>
        <xdr:grpSpPr bwMode="auto">
          <a:xfrm>
            <a:off x="335" y="21"/>
            <a:ext cx="154" cy="11"/>
            <a:chOff x="328" y="21"/>
            <a:chExt cx="146" cy="11"/>
          </a:xfrm>
        </xdr:grpSpPr>
        <xdr:sp macro="" textlink="">
          <xdr:nvSpPr>
            <xdr:cNvPr id="28393104" name="Line 56"/>
            <xdr:cNvSpPr>
              <a:spLocks noChangeShapeType="1"/>
            </xdr:cNvSpPr>
          </xdr:nvSpPr>
          <xdr:spPr bwMode="auto">
            <a:xfrm>
              <a:off x="328" y="21"/>
              <a:ext cx="14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3105" name="Line 57"/>
            <xdr:cNvSpPr>
              <a:spLocks noChangeShapeType="1"/>
            </xdr:cNvSpPr>
          </xdr:nvSpPr>
          <xdr:spPr bwMode="auto">
            <a:xfrm>
              <a:off x="328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3106" name="Line 58"/>
            <xdr:cNvSpPr>
              <a:spLocks noChangeShapeType="1"/>
            </xdr:cNvSpPr>
          </xdr:nvSpPr>
          <xdr:spPr bwMode="auto">
            <a:xfrm>
              <a:off x="474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107" name="Text Box 59"/>
          <xdr:cNvSpPr txBox="1">
            <a:spLocks noChangeArrowheads="1"/>
          </xdr:cNvSpPr>
        </xdr:nvSpPr>
        <xdr:spPr bwMode="auto">
          <a:xfrm>
            <a:off x="351" y="11"/>
            <a:ext cx="122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s-ES" sz="900" b="0" i="0" strike="noStrike">
                <a:solidFill>
                  <a:srgbClr val="000000"/>
                </a:solidFill>
                <a:latin typeface="Arial"/>
                <a:cs typeface="Arial"/>
              </a:rPr>
              <a:t>promedio 12 meses</a:t>
            </a:r>
          </a:p>
        </xdr:txBody>
      </xdr:sp>
    </xdr:grpSp>
    <xdr:clientData/>
  </xdr:twoCellAnchor>
  <xdr:twoCellAnchor>
    <xdr:from>
      <xdr:col>14</xdr:col>
      <xdr:colOff>123825</xdr:colOff>
      <xdr:row>39</xdr:row>
      <xdr:rowOff>19050</xdr:rowOff>
    </xdr:from>
    <xdr:to>
      <xdr:col>22</xdr:col>
      <xdr:colOff>190500</xdr:colOff>
      <xdr:row>54</xdr:row>
      <xdr:rowOff>85725</xdr:rowOff>
    </xdr:to>
    <xdr:graphicFrame macro="">
      <xdr:nvGraphicFramePr>
        <xdr:cNvPr id="28393079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228600</xdr:colOff>
      <xdr:row>10</xdr:row>
      <xdr:rowOff>142875</xdr:rowOff>
    </xdr:from>
    <xdr:to>
      <xdr:col>22</xdr:col>
      <xdr:colOff>200025</xdr:colOff>
      <xdr:row>21</xdr:row>
      <xdr:rowOff>0</xdr:rowOff>
    </xdr:to>
    <xdr:graphicFrame macro="">
      <xdr:nvGraphicFramePr>
        <xdr:cNvPr id="28393080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133350</xdr:colOff>
      <xdr:row>54</xdr:row>
      <xdr:rowOff>180975</xdr:rowOff>
    </xdr:from>
    <xdr:to>
      <xdr:col>22</xdr:col>
      <xdr:colOff>190500</xdr:colOff>
      <xdr:row>75</xdr:row>
      <xdr:rowOff>19050</xdr:rowOff>
    </xdr:to>
    <xdr:graphicFrame macro="">
      <xdr:nvGraphicFramePr>
        <xdr:cNvPr id="28393081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419100</xdr:colOff>
      <xdr:row>79</xdr:row>
      <xdr:rowOff>9525</xdr:rowOff>
    </xdr:from>
    <xdr:to>
      <xdr:col>15</xdr:col>
      <xdr:colOff>638175</xdr:colOff>
      <xdr:row>94</xdr:row>
      <xdr:rowOff>142875</xdr:rowOff>
    </xdr:to>
    <xdr:graphicFrame macro="">
      <xdr:nvGraphicFramePr>
        <xdr:cNvPr id="2839308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19050</xdr:colOff>
      <xdr:row>79</xdr:row>
      <xdr:rowOff>9525</xdr:rowOff>
    </xdr:from>
    <xdr:to>
      <xdr:col>22</xdr:col>
      <xdr:colOff>152400</xdr:colOff>
      <xdr:row>95</xdr:row>
      <xdr:rowOff>0</xdr:rowOff>
    </xdr:to>
    <xdr:graphicFrame macro="">
      <xdr:nvGraphicFramePr>
        <xdr:cNvPr id="28393083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0</xdr:row>
      <xdr:rowOff>104775</xdr:rowOff>
    </xdr:from>
    <xdr:to>
      <xdr:col>18</xdr:col>
      <xdr:colOff>657225</xdr:colOff>
      <xdr:row>1</xdr:row>
      <xdr:rowOff>104775</xdr:rowOff>
    </xdr:to>
    <xdr:grpSp>
      <xdr:nvGrpSpPr>
        <xdr:cNvPr id="28393084" name="Group 54"/>
        <xdr:cNvGrpSpPr>
          <a:grpSpLocks/>
        </xdr:cNvGrpSpPr>
      </xdr:nvGrpSpPr>
      <xdr:grpSpPr bwMode="auto">
        <a:xfrm>
          <a:off x="9402536" y="104775"/>
          <a:ext cx="3065689" cy="190500"/>
          <a:chOff x="335" y="11"/>
          <a:chExt cx="154" cy="21"/>
        </a:xfrm>
      </xdr:grpSpPr>
      <xdr:grpSp>
        <xdr:nvGrpSpPr>
          <xdr:cNvPr id="28393097" name="Group 55"/>
          <xdr:cNvGrpSpPr>
            <a:grpSpLocks/>
          </xdr:cNvGrpSpPr>
        </xdr:nvGrpSpPr>
        <xdr:grpSpPr bwMode="auto">
          <a:xfrm>
            <a:off x="335" y="21"/>
            <a:ext cx="154" cy="11"/>
            <a:chOff x="328" y="21"/>
            <a:chExt cx="146" cy="11"/>
          </a:xfrm>
        </xdr:grpSpPr>
        <xdr:sp macro="" textlink="">
          <xdr:nvSpPr>
            <xdr:cNvPr id="28393099" name="Line 56"/>
            <xdr:cNvSpPr>
              <a:spLocks noChangeShapeType="1"/>
            </xdr:cNvSpPr>
          </xdr:nvSpPr>
          <xdr:spPr bwMode="auto">
            <a:xfrm>
              <a:off x="328" y="21"/>
              <a:ext cx="14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3100" name="Line 57"/>
            <xdr:cNvSpPr>
              <a:spLocks noChangeShapeType="1"/>
            </xdr:cNvSpPr>
          </xdr:nvSpPr>
          <xdr:spPr bwMode="auto">
            <a:xfrm>
              <a:off x="328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3101" name="Line 58"/>
            <xdr:cNvSpPr>
              <a:spLocks noChangeShapeType="1"/>
            </xdr:cNvSpPr>
          </xdr:nvSpPr>
          <xdr:spPr bwMode="auto">
            <a:xfrm>
              <a:off x="474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1" name="Text Box 59"/>
          <xdr:cNvSpPr txBox="1">
            <a:spLocks noChangeArrowheads="1"/>
          </xdr:cNvSpPr>
        </xdr:nvSpPr>
        <xdr:spPr bwMode="auto">
          <a:xfrm>
            <a:off x="351" y="11"/>
            <a:ext cx="122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s-ES" sz="900" b="0" i="0" strike="noStrike">
                <a:solidFill>
                  <a:srgbClr val="000000"/>
                </a:solidFill>
                <a:latin typeface="Arial"/>
                <a:cs typeface="Arial"/>
              </a:rPr>
              <a:t>mercado</a:t>
            </a:r>
          </a:p>
        </xdr:txBody>
      </xdr:sp>
    </xdr:grpSp>
    <xdr:clientData/>
  </xdr:twoCellAnchor>
  <xdr:twoCellAnchor>
    <xdr:from>
      <xdr:col>14</xdr:col>
      <xdr:colOff>123825</xdr:colOff>
      <xdr:row>23</xdr:row>
      <xdr:rowOff>0</xdr:rowOff>
    </xdr:from>
    <xdr:to>
      <xdr:col>18</xdr:col>
      <xdr:colOff>142875</xdr:colOff>
      <xdr:row>38</xdr:row>
      <xdr:rowOff>0</xdr:rowOff>
    </xdr:to>
    <xdr:graphicFrame macro="">
      <xdr:nvGraphicFramePr>
        <xdr:cNvPr id="28393085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200025</xdr:colOff>
      <xdr:row>22</xdr:row>
      <xdr:rowOff>180975</xdr:rowOff>
    </xdr:from>
    <xdr:to>
      <xdr:col>22</xdr:col>
      <xdr:colOff>171450</xdr:colOff>
      <xdr:row>38</xdr:row>
      <xdr:rowOff>0</xdr:rowOff>
    </xdr:to>
    <xdr:graphicFrame macro="">
      <xdr:nvGraphicFramePr>
        <xdr:cNvPr id="28393086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0</xdr:row>
          <xdr:rowOff>123825</xdr:rowOff>
        </xdr:from>
        <xdr:to>
          <xdr:col>22</xdr:col>
          <xdr:colOff>9525</xdr:colOff>
          <xdr:row>4</xdr:row>
          <xdr:rowOff>38100</xdr:rowOff>
        </xdr:to>
        <xdr:sp macro="" textlink="">
          <xdr:nvSpPr>
            <xdr:cNvPr id="2520" name="Group Box 472" hidden="1">
              <a:extLst>
                <a:ext uri="{63B3BB69-23CF-44E3-9099-C40C66FF867C}">
                  <a14:compatExt spid="_x0000_s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MONEDA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28575</xdr:rowOff>
        </xdr:from>
        <xdr:to>
          <xdr:col>21</xdr:col>
          <xdr:colOff>762000</xdr:colOff>
          <xdr:row>2</xdr:row>
          <xdr:rowOff>123825</xdr:rowOff>
        </xdr:to>
        <xdr:sp macro="" textlink="">
          <xdr:nvSpPr>
            <xdr:cNvPr id="2523" name="Option Button 475" hidden="1">
              <a:extLst>
                <a:ext uri="{63B3BB69-23CF-44E3-9099-C40C66FF867C}">
                  <a14:compatExt spid="_x0000_s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NUEVOS SOLES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2</xdr:row>
          <xdr:rowOff>180975</xdr:rowOff>
        </xdr:from>
        <xdr:to>
          <xdr:col>21</xdr:col>
          <xdr:colOff>942975</xdr:colOff>
          <xdr:row>4</xdr:row>
          <xdr:rowOff>19050</xdr:rowOff>
        </xdr:to>
        <xdr:sp macro="" textlink="">
          <xdr:nvSpPr>
            <xdr:cNvPr id="2524" name="Option Button 476" hidden="1">
              <a:extLst>
                <a:ext uri="{63B3BB69-23CF-44E3-9099-C40C66FF867C}">
                  <a14:compatExt spid="_x0000_s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DOLARES AMERICANOS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8</xdr:row>
          <xdr:rowOff>28575</xdr:rowOff>
        </xdr:from>
        <xdr:to>
          <xdr:col>21</xdr:col>
          <xdr:colOff>838200</xdr:colOff>
          <xdr:row>10</xdr:row>
          <xdr:rowOff>28575</xdr:rowOff>
        </xdr:to>
        <xdr:sp macro="" textlink="">
          <xdr:nvSpPr>
            <xdr:cNvPr id="2526" name="Check Box 478" hidden="1">
              <a:extLst>
                <a:ext uri="{63B3BB69-23CF-44E3-9099-C40C66FF867C}">
                  <a14:compatExt spid="_x0000_s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A6CAF0"/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INCLUYE IGV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77</xdr:row>
          <xdr:rowOff>28575</xdr:rowOff>
        </xdr:from>
        <xdr:to>
          <xdr:col>21</xdr:col>
          <xdr:colOff>838200</xdr:colOff>
          <xdr:row>78</xdr:row>
          <xdr:rowOff>66675</xdr:rowOff>
        </xdr:to>
        <xdr:sp macro="" textlink="">
          <xdr:nvSpPr>
            <xdr:cNvPr id="1242234" name="Check Box 1146" descr="PROYECTADO" hidden="1">
              <a:extLst>
                <a:ext uri="{63B3BB69-23CF-44E3-9099-C40C66FF867C}">
                  <a14:compatExt spid="_x0000_s124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A6CAF0"/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PROYECTADO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47625</xdr:rowOff>
        </xdr:from>
        <xdr:to>
          <xdr:col>14</xdr:col>
          <xdr:colOff>47625</xdr:colOff>
          <xdr:row>35</xdr:row>
          <xdr:rowOff>85725</xdr:rowOff>
        </xdr:to>
        <xdr:sp macro="" textlink="">
          <xdr:nvSpPr>
            <xdr:cNvPr id="16199758" name="Group Box 16462" hidden="1">
              <a:extLst>
                <a:ext uri="{63B3BB69-23CF-44E3-9099-C40C66FF867C}">
                  <a14:compatExt spid="_x0000_s16199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29</xdr:row>
          <xdr:rowOff>38100</xdr:rowOff>
        </xdr:from>
        <xdr:to>
          <xdr:col>13</xdr:col>
          <xdr:colOff>609600</xdr:colOff>
          <xdr:row>30</xdr:row>
          <xdr:rowOff>95250</xdr:rowOff>
        </xdr:to>
        <xdr:sp macro="" textlink="">
          <xdr:nvSpPr>
            <xdr:cNvPr id="16199759" name="Option Button 16463" hidden="1">
              <a:extLst>
                <a:ext uri="{63B3BB69-23CF-44E3-9099-C40C66FF867C}">
                  <a14:compatExt spid="_x0000_s16199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30</xdr:row>
          <xdr:rowOff>152400</xdr:rowOff>
        </xdr:from>
        <xdr:to>
          <xdr:col>13</xdr:col>
          <xdr:colOff>600075</xdr:colOff>
          <xdr:row>32</xdr:row>
          <xdr:rowOff>0</xdr:rowOff>
        </xdr:to>
        <xdr:sp macro="" textlink="">
          <xdr:nvSpPr>
            <xdr:cNvPr id="16199760" name="Option Button 16464" hidden="1">
              <a:extLst>
                <a:ext uri="{63B3BB69-23CF-44E3-9099-C40C66FF867C}">
                  <a14:compatExt spid="_x0000_s16199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32</xdr:row>
          <xdr:rowOff>133350</xdr:rowOff>
        </xdr:from>
        <xdr:to>
          <xdr:col>13</xdr:col>
          <xdr:colOff>581025</xdr:colOff>
          <xdr:row>33</xdr:row>
          <xdr:rowOff>161925</xdr:rowOff>
        </xdr:to>
        <xdr:sp macro="" textlink="">
          <xdr:nvSpPr>
            <xdr:cNvPr id="16199761" name="Option Button 16465" hidden="1">
              <a:extLst>
                <a:ext uri="{63B3BB69-23CF-44E3-9099-C40C66FF867C}">
                  <a14:compatExt spid="_x0000_s16199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9524</xdr:rowOff>
        </xdr:from>
        <xdr:to>
          <xdr:col>7</xdr:col>
          <xdr:colOff>326571</xdr:colOff>
          <xdr:row>87</xdr:row>
          <xdr:rowOff>149678</xdr:rowOff>
        </xdr:to>
        <xdr:pic>
          <xdr:nvPicPr>
            <xdr:cNvPr id="28731539" name="Picture 1031"/>
            <xdr:cNvPicPr>
              <a:picLocks noChangeAspect="1" noChangeArrowheads="1"/>
              <a:extLst>
                <a:ext uri="{84589F7E-364E-4C9E-8A38-B11213B215E9}">
                  <a14:cameraTool cellRange="GraficoPart!$A$2:$E$9" spid="_x0000_s2874951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0" y="14092917"/>
              <a:ext cx="5157107" cy="15825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32</xdr:row>
          <xdr:rowOff>114300</xdr:rowOff>
        </xdr:from>
        <xdr:to>
          <xdr:col>17</xdr:col>
          <xdr:colOff>790576</xdr:colOff>
          <xdr:row>35</xdr:row>
          <xdr:rowOff>161925</xdr:rowOff>
        </xdr:to>
        <xdr:pic>
          <xdr:nvPicPr>
            <xdr:cNvPr id="28731540" name="Picture 10689"/>
            <xdr:cNvPicPr>
              <a:picLocks noChangeAspect="1" noChangeArrowheads="1"/>
              <a:extLst>
                <a:ext uri="{84589F7E-364E-4C9E-8A38-B11213B215E9}">
                  <a14:cameraTool cellRange="tacometros!$E$4:$F$5" spid="_x0000_s2874951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9363075" y="4514850"/>
              <a:ext cx="2247900" cy="6191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32</xdr:row>
          <xdr:rowOff>114300</xdr:rowOff>
        </xdr:from>
        <xdr:to>
          <xdr:col>22</xdr:col>
          <xdr:colOff>19051</xdr:colOff>
          <xdr:row>35</xdr:row>
          <xdr:rowOff>180975</xdr:rowOff>
        </xdr:to>
        <xdr:pic>
          <xdr:nvPicPr>
            <xdr:cNvPr id="28731541" name="Picture 10710"/>
            <xdr:cNvPicPr>
              <a:picLocks noChangeAspect="1" noChangeArrowheads="1"/>
              <a:extLst>
                <a:ext uri="{84589F7E-364E-4C9E-8A38-B11213B215E9}">
                  <a14:cameraTool cellRange="tacometros!$G$4:$H$5" spid="_x0000_s287495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12030075" y="4514850"/>
              <a:ext cx="2247900" cy="6381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14</xdr:col>
      <xdr:colOff>142875</xdr:colOff>
      <xdr:row>8</xdr:row>
      <xdr:rowOff>0</xdr:rowOff>
    </xdr:from>
    <xdr:to>
      <xdr:col>17</xdr:col>
      <xdr:colOff>734787</xdr:colOff>
      <xdr:row>21</xdr:row>
      <xdr:rowOff>0</xdr:rowOff>
    </xdr:to>
    <xdr:pic>
      <xdr:nvPicPr>
        <xdr:cNvPr id="4" name="foto_del_filtro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9395732" y="1428750"/>
          <a:ext cx="2306412" cy="2476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31297</xdr:colOff>
          <xdr:row>5</xdr:row>
          <xdr:rowOff>54429</xdr:rowOff>
        </xdr:from>
        <xdr:to>
          <xdr:col>16</xdr:col>
          <xdr:colOff>489857</xdr:colOff>
          <xdr:row>7</xdr:row>
          <xdr:rowOff>24493</xdr:rowOff>
        </xdr:to>
        <xdr:sp macro="" textlink="">
          <xdr:nvSpPr>
            <xdr:cNvPr id="28749495" name="cmdverHojas" hidden="1">
              <a:extLst>
                <a:ext uri="{63B3BB69-23CF-44E3-9099-C40C66FF867C}">
                  <a14:compatExt spid="_x0000_s2874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26</xdr:row>
      <xdr:rowOff>0</xdr:rowOff>
    </xdr:from>
    <xdr:to>
      <xdr:col>12</xdr:col>
      <xdr:colOff>609600</xdr:colOff>
      <xdr:row>38</xdr:row>
      <xdr:rowOff>0</xdr:rowOff>
    </xdr:to>
    <xdr:graphicFrame macro="">
      <xdr:nvGraphicFramePr>
        <xdr:cNvPr id="283910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0</xdr:row>
      <xdr:rowOff>104775</xdr:rowOff>
    </xdr:from>
    <xdr:to>
      <xdr:col>13</xdr:col>
      <xdr:colOff>419100</xdr:colOff>
      <xdr:row>1</xdr:row>
      <xdr:rowOff>114300</xdr:rowOff>
    </xdr:to>
    <xdr:grpSp>
      <xdr:nvGrpSpPr>
        <xdr:cNvPr id="28391032" name="Group 6"/>
        <xdr:cNvGrpSpPr>
          <a:grpSpLocks/>
        </xdr:cNvGrpSpPr>
      </xdr:nvGrpSpPr>
      <xdr:grpSpPr bwMode="auto">
        <a:xfrm>
          <a:off x="7551964" y="104775"/>
          <a:ext cx="1480457" cy="200025"/>
          <a:chOff x="335" y="11"/>
          <a:chExt cx="154" cy="21"/>
        </a:xfrm>
      </xdr:grpSpPr>
      <xdr:grpSp>
        <xdr:nvGrpSpPr>
          <xdr:cNvPr id="28391056" name="Group 7"/>
          <xdr:cNvGrpSpPr>
            <a:grpSpLocks/>
          </xdr:cNvGrpSpPr>
        </xdr:nvGrpSpPr>
        <xdr:grpSpPr bwMode="auto">
          <a:xfrm>
            <a:off x="335" y="21"/>
            <a:ext cx="154" cy="11"/>
            <a:chOff x="328" y="21"/>
            <a:chExt cx="146" cy="11"/>
          </a:xfrm>
        </xdr:grpSpPr>
        <xdr:sp macro="" textlink="">
          <xdr:nvSpPr>
            <xdr:cNvPr id="28391058" name="Line 8"/>
            <xdr:cNvSpPr>
              <a:spLocks noChangeShapeType="1"/>
            </xdr:cNvSpPr>
          </xdr:nvSpPr>
          <xdr:spPr bwMode="auto">
            <a:xfrm>
              <a:off x="328" y="21"/>
              <a:ext cx="14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1059" name="Line 9"/>
            <xdr:cNvSpPr>
              <a:spLocks noChangeShapeType="1"/>
            </xdr:cNvSpPr>
          </xdr:nvSpPr>
          <xdr:spPr bwMode="auto">
            <a:xfrm>
              <a:off x="328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1060" name="Line 10"/>
            <xdr:cNvSpPr>
              <a:spLocks noChangeShapeType="1"/>
            </xdr:cNvSpPr>
          </xdr:nvSpPr>
          <xdr:spPr bwMode="auto">
            <a:xfrm>
              <a:off x="474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93195" name="Text Box 11"/>
          <xdr:cNvSpPr txBox="1">
            <a:spLocks noChangeArrowheads="1"/>
          </xdr:cNvSpPr>
        </xdr:nvSpPr>
        <xdr:spPr bwMode="auto">
          <a:xfrm>
            <a:off x="351" y="11"/>
            <a:ext cx="122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s-ES" sz="900" b="0" i="0" strike="noStrike">
                <a:solidFill>
                  <a:srgbClr val="000000"/>
                </a:solidFill>
                <a:latin typeface="Arial"/>
                <a:cs typeface="Arial"/>
              </a:rPr>
              <a:t>promedio 12 meses</a:t>
            </a:r>
          </a:p>
        </xdr:txBody>
      </xdr:sp>
    </xdr:grpSp>
    <xdr:clientData/>
  </xdr:twoCellAnchor>
  <xdr:twoCellAnchor>
    <xdr:from>
      <xdr:col>15</xdr:col>
      <xdr:colOff>38100</xdr:colOff>
      <xdr:row>54</xdr:row>
      <xdr:rowOff>85725</xdr:rowOff>
    </xdr:from>
    <xdr:to>
      <xdr:col>22</xdr:col>
      <xdr:colOff>400050</xdr:colOff>
      <xdr:row>75</xdr:row>
      <xdr:rowOff>9525</xdr:rowOff>
    </xdr:to>
    <xdr:graphicFrame macro="">
      <xdr:nvGraphicFramePr>
        <xdr:cNvPr id="28391033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295275</xdr:colOff>
      <xdr:row>11</xdr:row>
      <xdr:rowOff>19050</xdr:rowOff>
    </xdr:from>
    <xdr:to>
      <xdr:col>22</xdr:col>
      <xdr:colOff>361950</xdr:colOff>
      <xdr:row>20</xdr:row>
      <xdr:rowOff>171450</xdr:rowOff>
    </xdr:to>
    <xdr:graphicFrame macro="">
      <xdr:nvGraphicFramePr>
        <xdr:cNvPr id="28391034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38100</xdr:colOff>
      <xdr:row>38</xdr:row>
      <xdr:rowOff>114300</xdr:rowOff>
    </xdr:from>
    <xdr:to>
      <xdr:col>22</xdr:col>
      <xdr:colOff>419100</xdr:colOff>
      <xdr:row>54</xdr:row>
      <xdr:rowOff>0</xdr:rowOff>
    </xdr:to>
    <xdr:graphicFrame macro="">
      <xdr:nvGraphicFramePr>
        <xdr:cNvPr id="28391035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381000</xdr:colOff>
      <xdr:row>79</xdr:row>
      <xdr:rowOff>19050</xdr:rowOff>
    </xdr:from>
    <xdr:to>
      <xdr:col>15</xdr:col>
      <xdr:colOff>438150</xdr:colOff>
      <xdr:row>94</xdr:row>
      <xdr:rowOff>142875</xdr:rowOff>
    </xdr:to>
    <xdr:graphicFrame macro="">
      <xdr:nvGraphicFramePr>
        <xdr:cNvPr id="28391036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485775</xdr:colOff>
      <xdr:row>79</xdr:row>
      <xdr:rowOff>9525</xdr:rowOff>
    </xdr:from>
    <xdr:to>
      <xdr:col>22</xdr:col>
      <xdr:colOff>333375</xdr:colOff>
      <xdr:row>94</xdr:row>
      <xdr:rowOff>142875</xdr:rowOff>
    </xdr:to>
    <xdr:graphicFrame macro="">
      <xdr:nvGraphicFramePr>
        <xdr:cNvPr id="28391037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0</xdr:row>
      <xdr:rowOff>104775</xdr:rowOff>
    </xdr:from>
    <xdr:to>
      <xdr:col>18</xdr:col>
      <xdr:colOff>619125</xdr:colOff>
      <xdr:row>1</xdr:row>
      <xdr:rowOff>104775</xdr:rowOff>
    </xdr:to>
    <xdr:grpSp>
      <xdr:nvGrpSpPr>
        <xdr:cNvPr id="28391038" name="Group 54"/>
        <xdr:cNvGrpSpPr>
          <a:grpSpLocks/>
        </xdr:cNvGrpSpPr>
      </xdr:nvGrpSpPr>
      <xdr:grpSpPr bwMode="auto">
        <a:xfrm>
          <a:off x="9320893" y="104775"/>
          <a:ext cx="2945946" cy="190500"/>
          <a:chOff x="335" y="11"/>
          <a:chExt cx="154" cy="21"/>
        </a:xfrm>
      </xdr:grpSpPr>
      <xdr:grpSp>
        <xdr:nvGrpSpPr>
          <xdr:cNvPr id="28391051" name="Group 55"/>
          <xdr:cNvGrpSpPr>
            <a:grpSpLocks/>
          </xdr:cNvGrpSpPr>
        </xdr:nvGrpSpPr>
        <xdr:grpSpPr bwMode="auto">
          <a:xfrm>
            <a:off x="335" y="21"/>
            <a:ext cx="154" cy="11"/>
            <a:chOff x="328" y="21"/>
            <a:chExt cx="146" cy="11"/>
          </a:xfrm>
        </xdr:grpSpPr>
        <xdr:sp macro="" textlink="">
          <xdr:nvSpPr>
            <xdr:cNvPr id="28391053" name="Line 56"/>
            <xdr:cNvSpPr>
              <a:spLocks noChangeShapeType="1"/>
            </xdr:cNvSpPr>
          </xdr:nvSpPr>
          <xdr:spPr bwMode="auto">
            <a:xfrm>
              <a:off x="328" y="21"/>
              <a:ext cx="14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1054" name="Line 57"/>
            <xdr:cNvSpPr>
              <a:spLocks noChangeShapeType="1"/>
            </xdr:cNvSpPr>
          </xdr:nvSpPr>
          <xdr:spPr bwMode="auto">
            <a:xfrm>
              <a:off x="328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391055" name="Line 58"/>
            <xdr:cNvSpPr>
              <a:spLocks noChangeShapeType="1"/>
            </xdr:cNvSpPr>
          </xdr:nvSpPr>
          <xdr:spPr bwMode="auto">
            <a:xfrm>
              <a:off x="474" y="21"/>
              <a:ext cx="0" cy="1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16" name="Text Box 59"/>
          <xdr:cNvSpPr txBox="1">
            <a:spLocks noChangeArrowheads="1"/>
          </xdr:cNvSpPr>
        </xdr:nvSpPr>
        <xdr:spPr bwMode="auto">
          <a:xfrm>
            <a:off x="351" y="11"/>
            <a:ext cx="122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s-ES" sz="900" b="0" i="0" strike="noStrike">
                <a:solidFill>
                  <a:srgbClr val="000000"/>
                </a:solidFill>
                <a:latin typeface="Arial"/>
                <a:cs typeface="Arial"/>
              </a:rPr>
              <a:t>mercado</a:t>
            </a:r>
          </a:p>
        </xdr:txBody>
      </xdr:sp>
    </xdr:grpSp>
    <xdr:clientData/>
  </xdr:twoCellAnchor>
  <xdr:twoCellAnchor>
    <xdr:from>
      <xdr:col>15</xdr:col>
      <xdr:colOff>9525</xdr:colOff>
      <xdr:row>23</xdr:row>
      <xdr:rowOff>9525</xdr:rowOff>
    </xdr:from>
    <xdr:to>
      <xdr:col>18</xdr:col>
      <xdr:colOff>228600</xdr:colOff>
      <xdr:row>38</xdr:row>
      <xdr:rowOff>28575</xdr:rowOff>
    </xdr:to>
    <xdr:graphicFrame macro="">
      <xdr:nvGraphicFramePr>
        <xdr:cNvPr id="28391039" name="2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276225</xdr:colOff>
      <xdr:row>23</xdr:row>
      <xdr:rowOff>9525</xdr:rowOff>
    </xdr:from>
    <xdr:to>
      <xdr:col>22</xdr:col>
      <xdr:colOff>419100</xdr:colOff>
      <xdr:row>38</xdr:row>
      <xdr:rowOff>28575</xdr:rowOff>
    </xdr:to>
    <xdr:graphicFrame macro="">
      <xdr:nvGraphicFramePr>
        <xdr:cNvPr id="28391040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2</xdr:row>
          <xdr:rowOff>0</xdr:rowOff>
        </xdr:from>
        <xdr:to>
          <xdr:col>3</xdr:col>
          <xdr:colOff>581025</xdr:colOff>
          <xdr:row>3</xdr:row>
          <xdr:rowOff>171450</xdr:rowOff>
        </xdr:to>
        <xdr:sp macro="" textlink="">
          <xdr:nvSpPr>
            <xdr:cNvPr id="93215" name="Spinner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0</xdr:row>
          <xdr:rowOff>133350</xdr:rowOff>
        </xdr:from>
        <xdr:to>
          <xdr:col>22</xdr:col>
          <xdr:colOff>219075</xdr:colOff>
          <xdr:row>4</xdr:row>
          <xdr:rowOff>76200</xdr:rowOff>
        </xdr:to>
        <xdr:sp macro="" textlink="">
          <xdr:nvSpPr>
            <xdr:cNvPr id="93695" name="Group Box 511" hidden="1">
              <a:extLst>
                <a:ext uri="{63B3BB69-23CF-44E3-9099-C40C66FF867C}">
                  <a14:compatExt spid="_x0000_s93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MONEDA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1</xdr:row>
          <xdr:rowOff>38100</xdr:rowOff>
        </xdr:from>
        <xdr:to>
          <xdr:col>21</xdr:col>
          <xdr:colOff>838200</xdr:colOff>
          <xdr:row>2</xdr:row>
          <xdr:rowOff>66675</xdr:rowOff>
        </xdr:to>
        <xdr:sp macro="" textlink="">
          <xdr:nvSpPr>
            <xdr:cNvPr id="93696" name="Option Button 512" hidden="1">
              <a:extLst>
                <a:ext uri="{63B3BB69-23CF-44E3-9099-C40C66FF867C}">
                  <a14:compatExt spid="_x0000_s93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NUEVOS SOLES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2</xdr:row>
          <xdr:rowOff>142875</xdr:rowOff>
        </xdr:from>
        <xdr:to>
          <xdr:col>22</xdr:col>
          <xdr:colOff>161925</xdr:colOff>
          <xdr:row>4</xdr:row>
          <xdr:rowOff>0</xdr:rowOff>
        </xdr:to>
        <xdr:sp macro="" textlink="">
          <xdr:nvSpPr>
            <xdr:cNvPr id="93697" name="Option Button 513" hidden="1">
              <a:extLst>
                <a:ext uri="{63B3BB69-23CF-44E3-9099-C40C66FF867C}">
                  <a14:compatExt spid="_x0000_s9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DOLARES AMERICANOS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8</xdr:row>
          <xdr:rowOff>38100</xdr:rowOff>
        </xdr:from>
        <xdr:to>
          <xdr:col>21</xdr:col>
          <xdr:colOff>838200</xdr:colOff>
          <xdr:row>10</xdr:row>
          <xdr:rowOff>38100</xdr:rowOff>
        </xdr:to>
        <xdr:sp macro="" textlink="">
          <xdr:nvSpPr>
            <xdr:cNvPr id="93698" name="Check Box 514" hidden="1">
              <a:extLst>
                <a:ext uri="{63B3BB69-23CF-44E3-9099-C40C66FF867C}">
                  <a14:compatExt spid="_x0000_s93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A6CAF0"/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INCLUYE IGV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77</xdr:row>
          <xdr:rowOff>66675</xdr:rowOff>
        </xdr:from>
        <xdr:to>
          <xdr:col>21</xdr:col>
          <xdr:colOff>704850</xdr:colOff>
          <xdr:row>78</xdr:row>
          <xdr:rowOff>104775</xdr:rowOff>
        </xdr:to>
        <xdr:sp macro="" textlink="">
          <xdr:nvSpPr>
            <xdr:cNvPr id="1271943" name="Check Box 1159" hidden="1">
              <a:extLst>
                <a:ext uri="{63B3BB69-23CF-44E3-9099-C40C66FF867C}">
                  <a14:compatExt spid="_x0000_s12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A6CAF0"/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PROYECTADO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28</xdr:row>
          <xdr:rowOff>0</xdr:rowOff>
        </xdr:from>
        <xdr:to>
          <xdr:col>14</xdr:col>
          <xdr:colOff>19050</xdr:colOff>
          <xdr:row>35</xdr:row>
          <xdr:rowOff>104775</xdr:rowOff>
        </xdr:to>
        <xdr:sp macro="" textlink="">
          <xdr:nvSpPr>
            <xdr:cNvPr id="16238673" name="Group Box 16465" hidden="1">
              <a:extLst>
                <a:ext uri="{63B3BB69-23CF-44E3-9099-C40C66FF867C}">
                  <a14:compatExt spid="_x0000_s1623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29</xdr:row>
          <xdr:rowOff>47625</xdr:rowOff>
        </xdr:from>
        <xdr:to>
          <xdr:col>13</xdr:col>
          <xdr:colOff>590550</xdr:colOff>
          <xdr:row>30</xdr:row>
          <xdr:rowOff>85725</xdr:rowOff>
        </xdr:to>
        <xdr:sp macro="" textlink="">
          <xdr:nvSpPr>
            <xdr:cNvPr id="16238675" name="Option Button 16467" hidden="1">
              <a:extLst>
                <a:ext uri="{63B3BB69-23CF-44E3-9099-C40C66FF867C}">
                  <a14:compatExt spid="_x0000_s1623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30</xdr:row>
          <xdr:rowOff>171450</xdr:rowOff>
        </xdr:from>
        <xdr:to>
          <xdr:col>13</xdr:col>
          <xdr:colOff>590550</xdr:colOff>
          <xdr:row>32</xdr:row>
          <xdr:rowOff>28575</xdr:rowOff>
        </xdr:to>
        <xdr:sp macro="" textlink="">
          <xdr:nvSpPr>
            <xdr:cNvPr id="16238676" name="Option Button 16468" hidden="1">
              <a:extLst>
                <a:ext uri="{63B3BB69-23CF-44E3-9099-C40C66FF867C}">
                  <a14:compatExt spid="_x0000_s1623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32</xdr:row>
          <xdr:rowOff>133350</xdr:rowOff>
        </xdr:from>
        <xdr:to>
          <xdr:col>13</xdr:col>
          <xdr:colOff>581025</xdr:colOff>
          <xdr:row>33</xdr:row>
          <xdr:rowOff>171450</xdr:rowOff>
        </xdr:to>
        <xdr:sp macro="" textlink="">
          <xdr:nvSpPr>
            <xdr:cNvPr id="16238678" name="Option Button 16470" hidden="1">
              <a:extLst>
                <a:ext uri="{63B3BB69-23CF-44E3-9099-C40C66FF867C}">
                  <a14:compatExt spid="_x0000_s1623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9525</xdr:rowOff>
        </xdr:from>
        <xdr:to>
          <xdr:col>7</xdr:col>
          <xdr:colOff>285750</xdr:colOff>
          <xdr:row>88</xdr:row>
          <xdr:rowOff>0</xdr:rowOff>
        </xdr:to>
        <xdr:pic>
          <xdr:nvPicPr>
            <xdr:cNvPr id="28732565" name="Picture 1041"/>
            <xdr:cNvPicPr>
              <a:picLocks noChangeAspect="1" noChangeArrowheads="1"/>
              <a:extLst>
                <a:ext uri="{84589F7E-364E-4C9E-8A38-B11213B215E9}">
                  <a14:cameraTool cellRange="GraficoPart!$I$2:$M$9" spid="_x0000_s2875053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0" y="13997668"/>
              <a:ext cx="5089071" cy="159611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32</xdr:row>
          <xdr:rowOff>57150</xdr:rowOff>
        </xdr:from>
        <xdr:to>
          <xdr:col>18</xdr:col>
          <xdr:colOff>114301</xdr:colOff>
          <xdr:row>35</xdr:row>
          <xdr:rowOff>161925</xdr:rowOff>
        </xdr:to>
        <xdr:pic>
          <xdr:nvPicPr>
            <xdr:cNvPr id="28732566" name="Picture 10815"/>
            <xdr:cNvPicPr>
              <a:picLocks noChangeAspect="1" noChangeArrowheads="1"/>
              <a:extLst>
                <a:ext uri="{84589F7E-364E-4C9E-8A38-B11213B215E9}">
                  <a14:cameraTool cellRange="tacometros!$J$4:$K$5" spid="_x0000_s2875053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9458325" y="4514850"/>
              <a:ext cx="2371725" cy="647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390525</xdr:colOff>
          <xdr:row>32</xdr:row>
          <xdr:rowOff>76200</xdr:rowOff>
        </xdr:from>
        <xdr:to>
          <xdr:col>22</xdr:col>
          <xdr:colOff>295274</xdr:colOff>
          <xdr:row>35</xdr:row>
          <xdr:rowOff>142875</xdr:rowOff>
        </xdr:to>
        <xdr:pic>
          <xdr:nvPicPr>
            <xdr:cNvPr id="28732567" name="Picture 10816"/>
            <xdr:cNvPicPr>
              <a:picLocks noChangeAspect="1" noChangeArrowheads="1"/>
              <a:extLst>
                <a:ext uri="{84589F7E-364E-4C9E-8A38-B11213B215E9}">
                  <a14:cameraTool cellRange="tacometros!$L$4:$M$5" spid="_x0000_s287505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12106275" y="4533900"/>
              <a:ext cx="2343150" cy="609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15</xdr:col>
      <xdr:colOff>4081</xdr:colOff>
      <xdr:row>7</xdr:row>
      <xdr:rowOff>161924</xdr:rowOff>
    </xdr:from>
    <xdr:to>
      <xdr:col>17</xdr:col>
      <xdr:colOff>649618</xdr:colOff>
      <xdr:row>20</xdr:row>
      <xdr:rowOff>122463</xdr:rowOff>
    </xdr:to>
    <xdr:pic>
      <xdr:nvPicPr>
        <xdr:cNvPr id="9" name="foto_del_filtro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9324974" y="1400174"/>
          <a:ext cx="2210358" cy="2409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_visor">
    <pageSetUpPr fitToPage="1"/>
  </sheetPr>
  <dimension ref="A1:IU96"/>
  <sheetViews>
    <sheetView showGridLines="0" tabSelected="1" zoomScale="70" zoomScaleNormal="70" workbookViewId="0">
      <pane ySplit="8" topLeftCell="A9" activePane="bottomLeft" state="frozen"/>
      <selection pane="bottomLeft" activeCell="Q5" sqref="Q5"/>
    </sheetView>
  </sheetViews>
  <sheetFormatPr baseColWidth="10" defaultRowHeight="12.75" outlineLevelRow="1" x14ac:dyDescent="0.2"/>
  <cols>
    <col min="1" max="1" width="15.7109375" style="22" customWidth="1"/>
    <col min="2" max="2" width="9.7109375" style="133" customWidth="1"/>
    <col min="3" max="8" width="9.28515625" style="133" customWidth="1"/>
    <col min="9" max="9" width="10.140625" style="133" customWidth="1"/>
    <col min="10" max="10" width="9.28515625" style="133" customWidth="1"/>
    <col min="11" max="11" width="9.140625" style="133" customWidth="1"/>
    <col min="12" max="14" width="9.28515625" style="133" customWidth="1"/>
    <col min="15" max="15" width="2.140625" style="134" customWidth="1"/>
    <col min="16" max="16" width="10" style="134" customWidth="1"/>
    <col min="17" max="17" width="13.42578125" style="134" customWidth="1"/>
    <col min="18" max="18" width="12.5703125" style="134" customWidth="1"/>
    <col min="19" max="19" width="12.140625" style="134" customWidth="1"/>
    <col min="20" max="20" width="0.7109375" style="134" customWidth="1"/>
    <col min="21" max="21" width="11.42578125" style="134"/>
    <col min="22" max="22" width="14.7109375" style="134" customWidth="1"/>
    <col min="23" max="23" width="15.85546875" style="1" customWidth="1"/>
    <col min="24" max="24" width="13.28515625" style="1" hidden="1" customWidth="1"/>
    <col min="25" max="36" width="11.42578125" style="1" customWidth="1"/>
    <col min="37" max="37" width="4.42578125" style="1" customWidth="1"/>
    <col min="38" max="39" width="11.42578125" style="1" customWidth="1"/>
    <col min="40" max="16384" width="11.42578125" style="1"/>
  </cols>
  <sheetData>
    <row r="1" spans="1:255" ht="15" customHeight="1" x14ac:dyDescent="0.2">
      <c r="A1" s="20" t="s">
        <v>35</v>
      </c>
      <c r="B1" s="19"/>
      <c r="C1" s="19"/>
      <c r="D1" s="23"/>
      <c r="E1" s="19"/>
      <c r="F1" s="19"/>
      <c r="G1" s="271" t="str">
        <f>IFERROR(INDEX(maestro!FcDetalle,MATCH(FcItem,maestro!FcClave,0),2),"")</f>
        <v/>
      </c>
      <c r="H1" s="272"/>
      <c r="I1" s="272"/>
      <c r="J1" s="272"/>
      <c r="K1" s="273"/>
      <c r="L1" s="19"/>
      <c r="M1" s="19"/>
      <c r="N1" s="19"/>
      <c r="O1" s="6"/>
      <c r="P1" s="1"/>
      <c r="Q1" s="1"/>
      <c r="R1" s="1"/>
      <c r="S1" s="1"/>
      <c r="T1" s="1"/>
      <c r="U1" s="1"/>
      <c r="V1" s="1"/>
      <c r="X1" s="177"/>
    </row>
    <row r="2" spans="1:255" ht="9.9499999999999993" customHeight="1" thickBot="1" x14ac:dyDescent="0.25">
      <c r="A2" s="19"/>
      <c r="B2" s="19"/>
      <c r="C2" s="19"/>
      <c r="D2" s="19"/>
      <c r="E2" s="19"/>
      <c r="F2" s="19"/>
      <c r="G2" s="19"/>
      <c r="H2" s="24"/>
      <c r="I2" s="19"/>
      <c r="J2" s="19"/>
      <c r="K2" s="19"/>
      <c r="L2" s="19"/>
      <c r="M2" s="19"/>
      <c r="N2" s="19"/>
      <c r="O2" s="6"/>
      <c r="P2" s="1"/>
      <c r="Q2" s="1"/>
      <c r="R2" s="1"/>
      <c r="S2" s="1"/>
      <c r="T2" s="1"/>
      <c r="U2" s="1"/>
      <c r="V2" s="1"/>
      <c r="X2" s="178">
        <v>1</v>
      </c>
    </row>
    <row r="3" spans="1:255" ht="15" customHeight="1" thickBot="1" x14ac:dyDescent="0.25">
      <c r="A3" s="29" t="s">
        <v>31</v>
      </c>
      <c r="B3" s="274" t="s">
        <v>29</v>
      </c>
      <c r="C3" s="275"/>
      <c r="D3" s="22"/>
      <c r="E3" s="64" t="s">
        <v>60</v>
      </c>
      <c r="F3" s="15" t="s">
        <v>62</v>
      </c>
      <c r="G3" s="16" t="s">
        <v>69</v>
      </c>
      <c r="H3" s="16" t="s">
        <v>27</v>
      </c>
      <c r="I3" s="15" t="s">
        <v>68</v>
      </c>
      <c r="J3" s="16" t="s">
        <v>61</v>
      </c>
      <c r="K3" s="16" t="s">
        <v>65</v>
      </c>
      <c r="L3" s="99" t="s">
        <v>32</v>
      </c>
      <c r="M3" s="17" t="s">
        <v>33</v>
      </c>
      <c r="N3" s="17" t="s">
        <v>34</v>
      </c>
      <c r="O3" s="17"/>
      <c r="P3" s="99" t="s">
        <v>20</v>
      </c>
      <c r="Q3" s="17" t="s">
        <v>21</v>
      </c>
      <c r="R3" s="17" t="s">
        <v>22</v>
      </c>
      <c r="S3" s="21" t="s">
        <v>26</v>
      </c>
      <c r="T3" s="1"/>
      <c r="U3" s="1"/>
      <c r="V3" s="1"/>
      <c r="X3" s="177" t="b">
        <v>0</v>
      </c>
    </row>
    <row r="4" spans="1:255" ht="15.75" customHeight="1" thickBot="1" x14ac:dyDescent="0.25">
      <c r="A4" s="82">
        <v>41913</v>
      </c>
      <c r="B4" s="276" t="s">
        <v>47</v>
      </c>
      <c r="C4" s="277"/>
      <c r="D4" s="22"/>
      <c r="E4" s="100" t="str">
        <f>IFERROR(INDEX(maestro!FcDetalle,MATCH($B$4,maestro!FcClave,0),40),"")</f>
        <v/>
      </c>
      <c r="F4" s="101" t="str">
        <f>IFERROR(INDEX(maestro!FcDetalle,MATCH(FcItem,maestro!FcClave,0),7),"")</f>
        <v/>
      </c>
      <c r="G4" s="102" t="str">
        <f>IFERROR(INDEX(maestro!FcDetalle,MATCH(FcItem,maestro!FcClave,0),8),"")</f>
        <v/>
      </c>
      <c r="H4" s="102" t="str">
        <f>IFERROR(INDEX(maestro!FcDetalle,MATCH(FcItem,maestro!FcClave,0),9),"")</f>
        <v/>
      </c>
      <c r="I4" s="137" t="str">
        <f>CONCATENATE("R","-",IFERROR(INDEX(maestro!FcDetalle,MATCH(FcItem,maestro!FcClave,0),11),""),"   ","I","-",IFERROR(INDEX(maestro!FcDetalle,MATCH(FcItem,maestro!FcClave,0),12),""))</f>
        <v>R-   I-</v>
      </c>
      <c r="J4" s="103" t="str">
        <f>IFERROR(INDEX(maestro!FcDetalle,MATCH(FcItem,maestro!FcClave,0),(IF(FcIGVMon="VLN",13,IF(FcIGVMon="VEN",14,IF(FcIGVMon="VLI",15,16))))),"")</f>
        <v/>
      </c>
      <c r="K4" s="104">
        <f>COUNTIF(C13:N13,"&gt;0")/12</f>
        <v>0</v>
      </c>
      <c r="L4" s="105" t="str">
        <f>IFERROR(AVERAGE(C10:N10),"-")</f>
        <v>-</v>
      </c>
      <c r="M4" s="106" t="str">
        <f>IFERROR(AVERAGE(C11:N11),"-")</f>
        <v>-</v>
      </c>
      <c r="N4" s="106" t="str">
        <f>IFERROR(AVERAGE(C12:N12),"-")</f>
        <v>-</v>
      </c>
      <c r="O4" s="107"/>
      <c r="P4" s="105" t="str">
        <f>IFERROR(INDEX(maestro!FcDetalle,MATCH(FcItem,maestro!FcClave,0),17),"")</f>
        <v/>
      </c>
      <c r="Q4" s="106" t="str">
        <f>IFERROR(INDEX(maestro!FcDetalle,MATCH(FcItem,maestro!FcClave,0),18),"")</f>
        <v/>
      </c>
      <c r="R4" s="106" t="str">
        <f>IFERROR(INDEX(maestro!FcDetalle,MATCH(FcItem,maestro!FcClave,0),19),"")</f>
        <v/>
      </c>
      <c r="S4" s="108" t="str">
        <f>IFERROR(INDEX(maestro!FcDetalle,MATCH(FcItem,maestro!FcClave,0),20),"")</f>
        <v/>
      </c>
      <c r="T4" s="1"/>
      <c r="U4" s="1"/>
      <c r="V4" s="1"/>
      <c r="X4" s="178" t="str">
        <f>IF(FcIgv=FALSE,IF(FcMoneda=1,"VLN","VEN"),IF(FcMoneda=1,"VLI","VEI"))</f>
        <v>VLN</v>
      </c>
    </row>
    <row r="5" spans="1:255" ht="13.5" customHeight="1" outlineLevel="1" thickBo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6"/>
      <c r="P5" s="1"/>
      <c r="Q5" s="1"/>
      <c r="R5" s="1"/>
      <c r="S5" s="1"/>
      <c r="T5" s="1"/>
      <c r="U5" s="1"/>
      <c r="V5" s="1"/>
      <c r="X5" s="178">
        <f>IF(FcIGVMon="VLN",21,IF(FcIGVMon="VEN",49,IF(FcIGVMon="VLI",36,62)))</f>
        <v>21</v>
      </c>
    </row>
    <row r="6" spans="1:255" ht="15" customHeight="1" outlineLevel="1" x14ac:dyDescent="0.2">
      <c r="A6" s="40" t="s">
        <v>38</v>
      </c>
      <c r="B6" s="278" t="s">
        <v>45</v>
      </c>
      <c r="C6" s="279"/>
      <c r="D6" s="280" t="s">
        <v>72</v>
      </c>
      <c r="E6" s="278"/>
      <c r="F6" s="278"/>
      <c r="G6" s="278"/>
      <c r="H6" s="279"/>
      <c r="I6" s="281" t="s">
        <v>39</v>
      </c>
      <c r="J6" s="282"/>
      <c r="K6" s="283"/>
      <c r="L6" s="282" t="s">
        <v>44</v>
      </c>
      <c r="M6" s="282"/>
      <c r="N6" s="284"/>
      <c r="O6" s="6"/>
      <c r="P6" s="1"/>
      <c r="Q6" s="1"/>
      <c r="R6" s="1"/>
      <c r="S6" s="1"/>
      <c r="T6" s="1"/>
      <c r="U6" s="1"/>
      <c r="V6" s="1"/>
      <c r="X6" s="178">
        <f>IF(FcIGVMon="VLN",82,IF(FcIGVMon="VEN",96,IF(FcIGVMon="VLI",89,103)))</f>
        <v>82</v>
      </c>
    </row>
    <row r="7" spans="1:255" ht="15" customHeight="1" outlineLevel="1" thickBot="1" x14ac:dyDescent="0.25">
      <c r="A7" s="41" t="str">
        <f>IFERROR(INDEX(maestro!FcDetalle,MATCH(FcItem,maestro!FcClave,0),21),"")</f>
        <v/>
      </c>
      <c r="B7" s="269" t="str">
        <f>IFERROR(INDEX(maestro!FcDetalle,MATCH(FcItem,maestro!FcClave,0),22),"")</f>
        <v/>
      </c>
      <c r="C7" s="270"/>
      <c r="D7" s="269" t="str">
        <f>CONCATENATE(IFERROR(INDEX(maestro!FcDetalle,MATCH(FcItem,maestro!FcClave,0),23),""),"  ",IFERROR(INDEX(maestro!FcDetalle,MATCH(FcItem,maestro!FcClave,0),24),""),"  ",IFERROR(INDEX(maestro!FcDetalle,MATCH(FcItem,maestro!FcClave,0),25),""),"  ",IFERROR(INDEX(maestro!FcDetalle,MATCH(FcItem,maestro!FcClave,0),26),""))</f>
        <v xml:space="preserve">      </v>
      </c>
      <c r="E7" s="285"/>
      <c r="F7" s="285"/>
      <c r="G7" s="285"/>
      <c r="H7" s="270"/>
      <c r="I7" s="287" t="str">
        <f>CONCATENATE(IFERROR(INDEX(maestro!FcDetalle,MATCH(FcItem,maestro!FcClave,0),28),""),"  ",IFERROR(INDEX(maestro!FcDetalle,MATCH(FcItem,maestro!FcClave,0),29),""))</f>
        <v xml:space="preserve">  </v>
      </c>
      <c r="J7" s="288"/>
      <c r="K7" s="289"/>
      <c r="L7" s="269" t="str">
        <f>CONCATENATE(IFERROR(INDEX(maestro!FcDetalle,MATCH(FcItem,maestro!FcClave,0),33),""),"  ",IFERROR(INDEX(maestro!FcDetalle,MATCH(FcItem,maestro!FcClave,0),34),""),"  ",IFERROR(INDEX(maestro!FcDetalle,MATCH(FcItem,maestro!FcClave,0),35),""))</f>
        <v xml:space="preserve">    </v>
      </c>
      <c r="M7" s="285"/>
      <c r="N7" s="286"/>
      <c r="O7" s="6"/>
      <c r="P7" s="1"/>
      <c r="Q7" s="1"/>
      <c r="R7" s="1"/>
      <c r="S7" s="1"/>
      <c r="T7" s="1"/>
      <c r="U7" s="1"/>
      <c r="V7" s="1"/>
      <c r="X7" s="178">
        <v>7</v>
      </c>
    </row>
    <row r="8" spans="1:255" ht="12.75" customHeight="1" thickBot="1" x14ac:dyDescent="0.25">
      <c r="A8" s="25" t="s">
        <v>18</v>
      </c>
      <c r="B8" s="26"/>
      <c r="C8" s="26"/>
      <c r="D8" s="26"/>
      <c r="E8" s="19"/>
      <c r="F8" s="19"/>
      <c r="G8" s="19"/>
      <c r="H8" s="27"/>
      <c r="I8" s="27"/>
      <c r="J8" s="27"/>
      <c r="K8" s="27"/>
      <c r="L8" s="27"/>
      <c r="M8" s="27"/>
      <c r="N8" s="27"/>
      <c r="O8" s="6"/>
      <c r="P8" s="2"/>
      <c r="Q8" s="2"/>
      <c r="R8" s="1"/>
      <c r="S8" s="1"/>
      <c r="T8" s="1"/>
      <c r="U8" s="1"/>
      <c r="V8" s="1"/>
      <c r="X8" s="178">
        <v>75</v>
      </c>
    </row>
    <row r="9" spans="1:255" ht="15" customHeight="1" thickBot="1" x14ac:dyDescent="0.25">
      <c r="A9" s="79" t="s">
        <v>43</v>
      </c>
      <c r="B9" s="80">
        <f t="shared" ref="B9:M9" si="0">+DATE(IF(MONTH(C9)=1,YEAR(C9)-1,YEAR(C9)),IF(MONTH(C9)=1,12,MONTH(C9)-1),1)</f>
        <v>41548</v>
      </c>
      <c r="C9" s="80">
        <f t="shared" si="0"/>
        <v>41579</v>
      </c>
      <c r="D9" s="80">
        <f t="shared" si="0"/>
        <v>41609</v>
      </c>
      <c r="E9" s="80">
        <f t="shared" si="0"/>
        <v>41640</v>
      </c>
      <c r="F9" s="80">
        <f t="shared" si="0"/>
        <v>41671</v>
      </c>
      <c r="G9" s="80">
        <f t="shared" si="0"/>
        <v>41699</v>
      </c>
      <c r="H9" s="80">
        <f t="shared" si="0"/>
        <v>41730</v>
      </c>
      <c r="I9" s="80">
        <f t="shared" si="0"/>
        <v>41760</v>
      </c>
      <c r="J9" s="80">
        <f t="shared" si="0"/>
        <v>41791</v>
      </c>
      <c r="K9" s="80">
        <f t="shared" si="0"/>
        <v>41821</v>
      </c>
      <c r="L9" s="80">
        <f t="shared" si="0"/>
        <v>41852</v>
      </c>
      <c r="M9" s="80">
        <f t="shared" si="0"/>
        <v>41883</v>
      </c>
      <c r="N9" s="81">
        <f>+DATE(YEAR(A4),MONTH(A4),1)</f>
        <v>41913</v>
      </c>
      <c r="O9" s="6"/>
      <c r="P9" s="1"/>
      <c r="Q9" s="1"/>
      <c r="R9" s="1"/>
      <c r="S9" s="136" t="s">
        <v>11</v>
      </c>
      <c r="T9" s="1"/>
      <c r="U9" s="1"/>
      <c r="V9" s="1"/>
      <c r="X9" s="178">
        <v>5</v>
      </c>
    </row>
    <row r="10" spans="1:255" ht="15" customHeight="1" thickBot="1" x14ac:dyDescent="0.25">
      <c r="A10" s="66" t="s">
        <v>32</v>
      </c>
      <c r="B10" s="67" t="str">
        <f>IFERROR(INDEX(Venta!FcDetalle,MATCH(CONCATENATE("B-",$B$4,"REP"),Venta!FcClave,0),FcInicioCantMes+0),"")</f>
        <v/>
      </c>
      <c r="C10" s="67" t="str">
        <f>IFERROR(INDEX(Venta!FcDetalle,MATCH(CONCATENATE("B-",$B$4,"REP"),Venta!FcClave,0),FcInicioCantMes+1),"")</f>
        <v/>
      </c>
      <c r="D10" s="67" t="str">
        <f>IFERROR(INDEX(Venta!FcDetalle,MATCH(CONCATENATE("B-",$B$4,"REP"),Venta!FcClave,0),FcInicioCantMes+2),"")</f>
        <v/>
      </c>
      <c r="E10" s="67" t="str">
        <f>IFERROR(INDEX(Venta!FcDetalle,MATCH(CONCATENATE("B-",$B$4,"REP"),Venta!FcClave,0),FcInicioCantMes+3),"")</f>
        <v/>
      </c>
      <c r="F10" s="67" t="str">
        <f>IFERROR(INDEX(Venta!FcDetalle,MATCH(CONCATENATE("B-",$B$4,"REP"),Venta!FcClave,0),FcInicioCantMes+4),"")</f>
        <v/>
      </c>
      <c r="G10" s="67" t="str">
        <f>IFERROR(INDEX(Venta!FcDetalle,MATCH(CONCATENATE("B-",$B$4,"REP"),Venta!FcClave,0),FcInicioCantMes+5),"")</f>
        <v/>
      </c>
      <c r="H10" s="67" t="str">
        <f>IFERROR(INDEX(Venta!FcDetalle,MATCH(CONCATENATE("B-",$B$4,"REP"),Venta!FcClave,0),FcInicioCantMes+6),"")</f>
        <v/>
      </c>
      <c r="I10" s="67" t="str">
        <f>IFERROR(INDEX(Venta!FcDetalle,MATCH(CONCATENATE("B-",$B$4,"REP"),Venta!FcClave,0),FcInicioCantMes+7),"")</f>
        <v/>
      </c>
      <c r="J10" s="67" t="str">
        <f>IFERROR(INDEX(Venta!FcDetalle,MATCH(CONCATENATE("B-",$B$4,"REP"),Venta!FcClave,0),FcInicioCantMes+8),"")</f>
        <v/>
      </c>
      <c r="K10" s="67" t="str">
        <f>IFERROR(INDEX(Venta!FcDetalle,MATCH(CONCATENATE("B-",$B$4,"REP"),Venta!FcClave,0),FcInicioCantMes+9),"")</f>
        <v/>
      </c>
      <c r="L10" s="67" t="str">
        <f>IFERROR(INDEX(Venta!FcDetalle,MATCH(CONCATENATE("B-",$B$4,"REP"),Venta!FcClave,0),FcInicioCantMes+10),"")</f>
        <v/>
      </c>
      <c r="M10" s="67" t="str">
        <f>IFERROR(INDEX(Venta!FcDetalle,MATCH(CONCATENATE("B-",$B$4,"REP"),Venta!FcClave,0),FcInicioCantMes+11),"")</f>
        <v/>
      </c>
      <c r="N10" s="68" t="str">
        <f>IFERROR(INDEX(Venta!FcDetalle,MATCH(CONCATENATE("B-",$B$4,"REP"),Venta!FcClave,0),FcInicioCantMes+12),"")</f>
        <v/>
      </c>
      <c r="O10" s="8"/>
      <c r="P10" s="1"/>
      <c r="Q10" s="1"/>
      <c r="R10" s="1"/>
      <c r="S10" s="135" t="str">
        <f>IF(GraficoPart!$C$4&gt;0,"PART.HP",IF(IFERROR(LEN(INDEX(maestro!FcDetalle,MATCH(FcItem,maestro!FcClave,0),22)),0)&gt;0,"PART.HP","-"))</f>
        <v>-</v>
      </c>
      <c r="T10" s="1"/>
      <c r="U10" s="1"/>
      <c r="V10" s="1"/>
      <c r="X10" s="178">
        <f>IF(FcIGVMon="VLN",5,IF(FcIGVMon="VEN",31,IF(FcIGVMon="VLI",18,44)))</f>
        <v>5</v>
      </c>
      <c r="IU10" s="121"/>
    </row>
    <row r="11" spans="1:255" ht="15" customHeight="1" x14ac:dyDescent="0.2">
      <c r="A11" s="69" t="s">
        <v>33</v>
      </c>
      <c r="B11" s="70" t="str">
        <f>IFERROR(INDEX(Venta!FcDetalle,MATCH(CONCATENATE("B-",$B$4,"ESP"),Venta!FcClave,0),FcInicioCantMes+0),"")</f>
        <v/>
      </c>
      <c r="C11" s="70" t="str">
        <f>IFERROR(INDEX(Venta!FcDetalle,MATCH(CONCATENATE("B-",$B$4,"ESP"),Venta!FcClave,0),FcInicioCantMes+1),"")</f>
        <v/>
      </c>
      <c r="D11" s="70" t="str">
        <f>IFERROR(INDEX(Venta!FcDetalle,MATCH(CONCATENATE("B-",$B$4,"ESP"),Venta!FcClave,0),FcInicioCantMes+2),"")</f>
        <v/>
      </c>
      <c r="E11" s="70" t="str">
        <f>IFERROR(INDEX(Venta!FcDetalle,MATCH(CONCATENATE("B-",$B$4,"ESP"),Venta!FcClave,0),FcInicioCantMes+3),"")</f>
        <v/>
      </c>
      <c r="F11" s="70" t="str">
        <f>IFERROR(INDEX(Venta!FcDetalle,MATCH(CONCATENATE("B-",$B$4,"ESP"),Venta!FcClave,0),FcInicioCantMes+4),"")</f>
        <v/>
      </c>
      <c r="G11" s="70" t="str">
        <f>IFERROR(INDEX(Venta!FcDetalle,MATCH(CONCATENATE("B-",$B$4,"ESP"),Venta!FcClave,0),FcInicioCantMes+5),"")</f>
        <v/>
      </c>
      <c r="H11" s="70" t="str">
        <f>IFERROR(INDEX(Venta!FcDetalle,MATCH(CONCATENATE("B-",$B$4,"ESP"),Venta!FcClave,0),FcInicioCantMes+6),"")</f>
        <v/>
      </c>
      <c r="I11" s="70" t="str">
        <f>IFERROR(INDEX(Venta!FcDetalle,MATCH(CONCATENATE("B-",$B$4,"ESP"),Venta!FcClave,0),FcInicioCantMes+7),"")</f>
        <v/>
      </c>
      <c r="J11" s="70" t="str">
        <f>IFERROR(INDEX(Venta!FcDetalle,MATCH(CONCATENATE("B-",$B$4,"ESP"),Venta!FcClave,0),FcInicioCantMes+8),"")</f>
        <v/>
      </c>
      <c r="K11" s="70" t="str">
        <f>IFERROR(INDEX(Venta!FcDetalle,MATCH(CONCATENATE("B-",$B$4,"ESP"),Venta!FcClave,0),FcInicioCantMes+9),"")</f>
        <v/>
      </c>
      <c r="L11" s="70" t="str">
        <f>IFERROR(INDEX(Venta!FcDetalle,MATCH(CONCATENATE("B-",$B$4,"ESP"),Venta!FcClave,0),FcInicioCantMes+10),"")</f>
        <v/>
      </c>
      <c r="M11" s="70" t="str">
        <f>IFERROR(INDEX(Venta!FcDetalle,MATCH(CONCATENATE("B-",$B$4,"ESP"),Venta!FcClave,0),FcInicioCantMes+11),"")</f>
        <v/>
      </c>
      <c r="N11" s="71" t="str">
        <f>IFERROR(INDEX(Venta!FcDetalle,MATCH(CONCATENATE("B-",$B$4,"ESP"),Venta!FcClave,0),FcInicioCantMes+12),"")</f>
        <v/>
      </c>
      <c r="O11" s="8"/>
      <c r="P11" s="1"/>
      <c r="Q11" s="1"/>
      <c r="R11" s="1"/>
      <c r="S11" s="1"/>
      <c r="T11" s="1"/>
      <c r="U11" s="1"/>
      <c r="V11" s="1"/>
      <c r="X11" s="178">
        <v>1</v>
      </c>
      <c r="IU11" s="121"/>
    </row>
    <row r="12" spans="1:255" ht="15" customHeight="1" thickBot="1" x14ac:dyDescent="0.25">
      <c r="A12" s="72" t="s">
        <v>34</v>
      </c>
      <c r="B12" s="73" t="str">
        <f>IFERROR(INDEX(Venta!FcDetalle,MATCH(CONCATENATE("B-",$B$4,"EXP"),Venta!FcClave,0),FcInicioCantMes+0),"")</f>
        <v/>
      </c>
      <c r="C12" s="73" t="str">
        <f>IFERROR(INDEX(Venta!FcDetalle,MATCH(CONCATENATE("B-",$B$4,"EXP"),Venta!FcClave,0),FcInicioCantMes+1),"")</f>
        <v/>
      </c>
      <c r="D12" s="73" t="str">
        <f>IFERROR(INDEX(Venta!FcDetalle,MATCH(CONCATENATE("B-",$B$4,"EXP"),Venta!FcClave,0),FcInicioCantMes+2),"")</f>
        <v/>
      </c>
      <c r="E12" s="73" t="str">
        <f>IFERROR(INDEX(Venta!FcDetalle,MATCH(CONCATENATE("B-",$B$4,"EXP"),Venta!FcClave,0),FcInicioCantMes+3),"")</f>
        <v/>
      </c>
      <c r="F12" s="73" t="str">
        <f>IFERROR(INDEX(Venta!FcDetalle,MATCH(CONCATENATE("B-",$B$4,"EXP"),Venta!FcClave,0),FcInicioCantMes+4),"")</f>
        <v/>
      </c>
      <c r="G12" s="73" t="str">
        <f>IFERROR(INDEX(Venta!FcDetalle,MATCH(CONCATENATE("B-",$B$4,"EXP"),Venta!FcClave,0),FcInicioCantMes+5),"")</f>
        <v/>
      </c>
      <c r="H12" s="73" t="str">
        <f>IFERROR(INDEX(Venta!FcDetalle,MATCH(CONCATENATE("B-",$B$4,"EXP"),Venta!FcClave,0),FcInicioCantMes+6),"")</f>
        <v/>
      </c>
      <c r="I12" s="73" t="str">
        <f>IFERROR(INDEX(Venta!FcDetalle,MATCH(CONCATENATE("B-",$B$4,"EXP"),Venta!FcClave,0),FcInicioCantMes+7),"")</f>
        <v/>
      </c>
      <c r="J12" s="73" t="str">
        <f>IFERROR(INDEX(Venta!FcDetalle,MATCH(CONCATENATE("B-",$B$4,"EXP"),Venta!FcClave,0),FcInicioCantMes+8),"")</f>
        <v/>
      </c>
      <c r="K12" s="73" t="str">
        <f>IFERROR(INDEX(Venta!FcDetalle,MATCH(CONCATENATE("B-",$B$4,"EXP"),Venta!FcClave,0),FcInicioCantMes+9),"")</f>
        <v/>
      </c>
      <c r="L12" s="73" t="str">
        <f>IFERROR(INDEX(Venta!FcDetalle,MATCH(CONCATENATE("B-",$B$4,"EXP"),Venta!FcClave,0),FcInicioCantMes+10),"")</f>
        <v/>
      </c>
      <c r="M12" s="73" t="str">
        <f>IFERROR(INDEX(Venta!FcDetalle,MATCH(CONCATENATE("B-",$B$4,"EXP"),Venta!FcClave,0),FcInicioCantMes+11),"")</f>
        <v/>
      </c>
      <c r="N12" s="74" t="str">
        <f>IFERROR(INDEX(Venta!FcDetalle,MATCH(CONCATENATE("B-",$B$4,"EXP"),Venta!FcClave,0),FcInicioCantMes+12),"")</f>
        <v/>
      </c>
      <c r="O12" s="8"/>
      <c r="P12" s="1"/>
      <c r="Q12" s="1"/>
      <c r="R12" s="1"/>
      <c r="S12" s="1"/>
      <c r="T12" s="1"/>
      <c r="U12" s="1"/>
      <c r="V12" s="1"/>
      <c r="X12" s="177" t="b">
        <v>0</v>
      </c>
      <c r="IU12" s="121"/>
    </row>
    <row r="13" spans="1:255" ht="15" customHeight="1" thickBot="1" x14ac:dyDescent="0.25">
      <c r="A13" s="75" t="str">
        <f>UPPER($B$4)</f>
        <v>LF1A</v>
      </c>
      <c r="B13" s="76" t="str">
        <f>IF(COUNTIF(B10:B12,"")=3,"",SUM(B10:B12))</f>
        <v/>
      </c>
      <c r="C13" s="76" t="str">
        <f t="shared" ref="C13:N13" si="1">IF(COUNTIF(C10:C12,"")=3,"",SUM(C10:C12))</f>
        <v/>
      </c>
      <c r="D13" s="76" t="str">
        <f t="shared" si="1"/>
        <v/>
      </c>
      <c r="E13" s="76" t="str">
        <f t="shared" si="1"/>
        <v/>
      </c>
      <c r="F13" s="76" t="str">
        <f t="shared" si="1"/>
        <v/>
      </c>
      <c r="G13" s="76" t="str">
        <f t="shared" si="1"/>
        <v/>
      </c>
      <c r="H13" s="76" t="str">
        <f t="shared" si="1"/>
        <v/>
      </c>
      <c r="I13" s="76" t="str">
        <f t="shared" si="1"/>
        <v/>
      </c>
      <c r="J13" s="76" t="str">
        <f t="shared" si="1"/>
        <v/>
      </c>
      <c r="K13" s="76" t="str">
        <f t="shared" si="1"/>
        <v/>
      </c>
      <c r="L13" s="76" t="str">
        <f t="shared" si="1"/>
        <v/>
      </c>
      <c r="M13" s="76" t="str">
        <f t="shared" si="1"/>
        <v/>
      </c>
      <c r="N13" s="77" t="str">
        <f t="shared" si="1"/>
        <v/>
      </c>
      <c r="O13" s="7"/>
      <c r="P13" s="1"/>
      <c r="Q13" s="1"/>
      <c r="R13" s="1"/>
      <c r="S13" s="1"/>
      <c r="T13" s="1"/>
      <c r="U13" s="1"/>
      <c r="V13" s="1"/>
      <c r="X13" s="177"/>
      <c r="IU13" s="121"/>
    </row>
    <row r="14" spans="1:255" ht="15" customHeight="1" outlineLevel="1" x14ac:dyDescent="0.2">
      <c r="A14" s="83" t="s">
        <v>48</v>
      </c>
      <c r="B14" s="84" t="str">
        <f>IFERROR(INDEX(Proy!FcDetalle,MATCH(CONCATENATE($B$4,"REP"),Proy!FcClave,0),FcInicioProyMes+0),"")</f>
        <v/>
      </c>
      <c r="C14" s="84" t="str">
        <f>IFERROR(INDEX(Proy!FcDetalle,MATCH(CONCATENATE($B$4,"REP"),Proy!FcClave,0),FcInicioProyMes+1),"")</f>
        <v/>
      </c>
      <c r="D14" s="84" t="str">
        <f>IFERROR(INDEX(Proy!FcDetalle,MATCH(CONCATENATE($B$4,"REP"),Proy!FcClave,0),FcInicioProyMes+2),"")</f>
        <v/>
      </c>
      <c r="E14" s="84" t="str">
        <f>IFERROR(INDEX(Proy!FcDetalle,MATCH(CONCATENATE($B$4,"REP"),Proy!FcClave,0),FcInicioProyMes+3),"")</f>
        <v/>
      </c>
      <c r="F14" s="84" t="str">
        <f>IFERROR(INDEX(Proy!FcDetalle,MATCH(CONCATENATE($B$4,"REP"),Proy!FcClave,0),FcInicioProyMes+4),"")</f>
        <v/>
      </c>
      <c r="G14" s="84" t="str">
        <f>IFERROR(INDEX(Proy!FcDetalle,MATCH(CONCATENATE($B$4,"REP"),Proy!FcClave,0),FcInicioProyMes+5),"")</f>
        <v/>
      </c>
      <c r="H14" s="84" t="str">
        <f>IFERROR(INDEX(Proy!FcDetalle,MATCH(CONCATENATE($B$4,"REP"),Proy!FcClave,0),FcInicioProyMes+6),"")</f>
        <v/>
      </c>
      <c r="I14" s="84" t="str">
        <f>IFERROR(INDEX(Proy!FcDetalle,MATCH(CONCATENATE($B$4,"REP"),Proy!FcClave,0),FcInicioProyMes+7),"")</f>
        <v/>
      </c>
      <c r="J14" s="84" t="str">
        <f>IFERROR(INDEX(Proy!FcDetalle,MATCH(CONCATENATE($B$4,"REP"),Proy!FcClave,0),FcInicioProyMes+8),"")</f>
        <v/>
      </c>
      <c r="K14" s="84" t="str">
        <f>IFERROR(INDEX(Proy!FcDetalle,MATCH(CONCATENATE($B$4,"REP"),Proy!FcClave,0),FcInicioProyMes+9),"")</f>
        <v/>
      </c>
      <c r="L14" s="84" t="str">
        <f>IFERROR(INDEX(Proy!FcDetalle,MATCH(CONCATENATE($B$4,"REP"),Proy!FcClave,0),FcInicioProyMes+10),"")</f>
        <v/>
      </c>
      <c r="M14" s="84" t="str">
        <f>IFERROR(INDEX(Proy!FcDetalle,MATCH(CONCATENATE($B$4,"REP"),Proy!FcClave,0),FcInicioProyMes+11),"")</f>
        <v/>
      </c>
      <c r="N14" s="85" t="str">
        <f>IFERROR(INDEX(Proy!FcDetalle,MATCH(CONCATENATE($B$4,"REP"),Proy!FcClave,0),FcInicioProyMes+12),"")</f>
        <v/>
      </c>
      <c r="O14" s="8"/>
      <c r="P14" s="1"/>
      <c r="Q14" s="1"/>
      <c r="R14" s="1"/>
      <c r="S14" s="1"/>
      <c r="T14" s="1"/>
      <c r="U14" s="1"/>
      <c r="V14" s="1"/>
      <c r="X14" s="177"/>
    </row>
    <row r="15" spans="1:255" ht="15" customHeight="1" outlineLevel="1" x14ac:dyDescent="0.2">
      <c r="A15" s="86" t="s">
        <v>49</v>
      </c>
      <c r="B15" s="87" t="str">
        <f>IFERROR(INDEX(Proy!FcDetalle,MATCH(CONCATENATE($B$4,"ESP"),Proy!FcClave,0),FcInicioProyMes+0),"")</f>
        <v/>
      </c>
      <c r="C15" s="87" t="str">
        <f>IFERROR(INDEX(Proy!FcDetalle,MATCH(CONCATENATE($B$4,"ESP"),Proy!FcClave,0),FcInicioProyMes+1),"")</f>
        <v/>
      </c>
      <c r="D15" s="87" t="str">
        <f>IFERROR(INDEX(Proy!FcDetalle,MATCH(CONCATENATE($B$4,"ESP"),Proy!FcClave,0),FcInicioProyMes+2),"")</f>
        <v/>
      </c>
      <c r="E15" s="87" t="str">
        <f>IFERROR(INDEX(Proy!FcDetalle,MATCH(CONCATENATE($B$4,"ESP"),Proy!FcClave,0),FcInicioProyMes+3),"")</f>
        <v/>
      </c>
      <c r="F15" s="87" t="str">
        <f>IFERROR(INDEX(Proy!FcDetalle,MATCH(CONCATENATE($B$4,"ESP"),Proy!FcClave,0),FcInicioProyMes+4),"")</f>
        <v/>
      </c>
      <c r="G15" s="87" t="str">
        <f>IFERROR(INDEX(Proy!FcDetalle,MATCH(CONCATENATE($B$4,"ESP"),Proy!FcClave,0),FcInicioProyMes+5),"")</f>
        <v/>
      </c>
      <c r="H15" s="87" t="str">
        <f>IFERROR(INDEX(Proy!FcDetalle,MATCH(CONCATENATE($B$4,"ESP"),Proy!FcClave,0),FcInicioProyMes+6),"")</f>
        <v/>
      </c>
      <c r="I15" s="87" t="str">
        <f>IFERROR(INDEX(Proy!FcDetalle,MATCH(CONCATENATE($B$4,"ESP"),Proy!FcClave,0),FcInicioProyMes+7),"")</f>
        <v/>
      </c>
      <c r="J15" s="87" t="str">
        <f>IFERROR(INDEX(Proy!FcDetalle,MATCH(CONCATENATE($B$4,"ESP"),Proy!FcClave,0),FcInicioProyMes+8),"")</f>
        <v/>
      </c>
      <c r="K15" s="87" t="str">
        <f>IFERROR(INDEX(Proy!FcDetalle,MATCH(CONCATENATE($B$4,"ESP"),Proy!FcClave,0),FcInicioProyMes+9),"")</f>
        <v/>
      </c>
      <c r="L15" s="87" t="str">
        <f>IFERROR(INDEX(Proy!FcDetalle,MATCH(CONCATENATE($B$4,"ESP"),Proy!FcClave,0),FcInicioProyMes+10),"")</f>
        <v/>
      </c>
      <c r="M15" s="87" t="str">
        <f>IFERROR(INDEX(Proy!FcDetalle,MATCH(CONCATENATE($B$4,"ESP"),Proy!FcClave,0),FcInicioProyMes+11),"")</f>
        <v/>
      </c>
      <c r="N15" s="88" t="str">
        <f>IFERROR(INDEX(Proy!FcDetalle,MATCH(CONCATENATE($B$4,"ESP"),Proy!FcClave,0),FcInicioProyMes+12),"")</f>
        <v/>
      </c>
      <c r="O15" s="8"/>
      <c r="P15" s="1"/>
      <c r="Q15" s="1"/>
      <c r="R15" s="1"/>
      <c r="S15" s="1"/>
      <c r="T15" s="1"/>
      <c r="U15" s="1"/>
      <c r="V15" s="1"/>
      <c r="X15" s="177"/>
    </row>
    <row r="16" spans="1:255" ht="15" customHeight="1" outlineLevel="1" x14ac:dyDescent="0.2">
      <c r="A16" s="86" t="s">
        <v>40</v>
      </c>
      <c r="B16" s="87" t="str">
        <f>IFERROR(INDEX(Proy!FcDetalle,MATCH(CONCATENATE($B$4,"EXP"),Proy!FcClave,0),FcInicioProyMes+0),"")</f>
        <v/>
      </c>
      <c r="C16" s="87" t="str">
        <f>IFERROR(INDEX(Proy!FcDetalle,MATCH(CONCATENATE($B$4,"EXP"),Proy!FcClave,0),FcInicioProyMes+1),"")</f>
        <v/>
      </c>
      <c r="D16" s="87" t="str">
        <f>IFERROR(INDEX(Proy!FcDetalle,MATCH(CONCATENATE($B$4,"EXP"),Proy!FcClave,0),FcInicioProyMes+2),"")</f>
        <v/>
      </c>
      <c r="E16" s="87" t="str">
        <f>IFERROR(INDEX(Proy!FcDetalle,MATCH(CONCATENATE($B$4,"EXP"),Proy!FcClave,0),FcInicioProyMes+3),"")</f>
        <v/>
      </c>
      <c r="F16" s="87" t="str">
        <f>IFERROR(INDEX(Proy!FcDetalle,MATCH(CONCATENATE($B$4,"EXP"),Proy!FcClave,0),FcInicioProyMes+4),"")</f>
        <v/>
      </c>
      <c r="G16" s="87" t="str">
        <f>IFERROR(INDEX(Proy!FcDetalle,MATCH(CONCATENATE($B$4,"EXP"),Proy!FcClave,0),FcInicioProyMes+5),"")</f>
        <v/>
      </c>
      <c r="H16" s="87" t="str">
        <f>IFERROR(INDEX(Proy!FcDetalle,MATCH(CONCATENATE($B$4,"EXP"),Proy!FcClave,0),FcInicioProyMes+6),"")</f>
        <v/>
      </c>
      <c r="I16" s="87" t="str">
        <f>IFERROR(INDEX(Proy!FcDetalle,MATCH(CONCATENATE($B$4,"EXP"),Proy!FcClave,0),FcInicioProyMes+7),"")</f>
        <v/>
      </c>
      <c r="J16" s="87" t="str">
        <f>IFERROR(INDEX(Proy!FcDetalle,MATCH(CONCATENATE($B$4,"EXP"),Proy!FcClave,0),FcInicioProyMes+8),"")</f>
        <v/>
      </c>
      <c r="K16" s="87" t="str">
        <f>IFERROR(INDEX(Proy!FcDetalle,MATCH(CONCATENATE($B$4,"EXP"),Proy!FcClave,0),FcInicioProyMes+9),"")</f>
        <v/>
      </c>
      <c r="L16" s="87" t="str">
        <f>IFERROR(INDEX(Proy!FcDetalle,MATCH(CONCATENATE($B$4,"EXP"),Proy!FcClave,0),FcInicioProyMes+10),"")</f>
        <v/>
      </c>
      <c r="M16" s="87" t="str">
        <f>IFERROR(INDEX(Proy!FcDetalle,MATCH(CONCATENATE($B$4,"EXP"),Proy!FcClave,0),FcInicioProyMes+11),"")</f>
        <v/>
      </c>
      <c r="N16" s="88" t="str">
        <f>IFERROR(INDEX(Proy!FcDetalle,MATCH(CONCATENATE($B$4,"EXP"),Proy!FcClave,0),FcInicioProyMes+12),"")</f>
        <v/>
      </c>
      <c r="O16" s="8"/>
      <c r="P16" s="1"/>
      <c r="Q16" s="1"/>
      <c r="R16" s="1"/>
      <c r="S16" s="1"/>
      <c r="T16" s="1"/>
      <c r="U16" s="1"/>
      <c r="V16" s="1"/>
      <c r="X16" s="177"/>
    </row>
    <row r="17" spans="1:255" ht="15" customHeight="1" outlineLevel="1" x14ac:dyDescent="0.2">
      <c r="A17" s="86" t="s">
        <v>41</v>
      </c>
      <c r="B17" s="87" t="str">
        <f>IF(ISERROR(VLOOKUP($B$4,#REF!,MATCH(B$9,#REF!,0),FALSE)),"",VLOOKUP($B$4,#REF!,MATCH(B$9,#REF!,0),FALSE))</f>
        <v/>
      </c>
      <c r="C17" s="87" t="str">
        <f>IF(ISERROR(VLOOKUP($B$4,#REF!,MATCH(C$9,#REF!,0),FALSE)),"",VLOOKUP($B$4,#REF!,MATCH(C$9,#REF!,0),FALSE))</f>
        <v/>
      </c>
      <c r="D17" s="87" t="str">
        <f>IF(ISERROR(VLOOKUP($B$4,#REF!,MATCH(D$9,#REF!,0),FALSE)),"",VLOOKUP($B$4,#REF!,MATCH(D$9,#REF!,0),FALSE))</f>
        <v/>
      </c>
      <c r="E17" s="87" t="str">
        <f>IF(ISERROR(VLOOKUP($B$4,#REF!,MATCH(E$9,#REF!,0),FALSE)),"",VLOOKUP($B$4,#REF!,MATCH(E$9,#REF!,0),FALSE))</f>
        <v/>
      </c>
      <c r="F17" s="87" t="str">
        <f>IF(ISERROR(VLOOKUP($B$4,#REF!,MATCH(F$9,#REF!,0),FALSE)),"",VLOOKUP($B$4,#REF!,MATCH(F$9,#REF!,0),FALSE))</f>
        <v/>
      </c>
      <c r="G17" s="87" t="str">
        <f>IF(ISERROR(VLOOKUP($B$4,#REF!,MATCH(G$9,#REF!,0),FALSE)),"",VLOOKUP($B$4,#REF!,MATCH(G$9,#REF!,0),FALSE))</f>
        <v/>
      </c>
      <c r="H17" s="87" t="str">
        <f>IF(ISERROR(VLOOKUP($B$4,#REF!,MATCH(H$9,#REF!,0),FALSE)),"",VLOOKUP($B$4,#REF!,MATCH(H$9,#REF!,0),FALSE))</f>
        <v/>
      </c>
      <c r="I17" s="87" t="str">
        <f>IF(ISERROR(VLOOKUP($B$4,#REF!,MATCH(I$9,#REF!,0),FALSE)),"",VLOOKUP($B$4,#REF!,MATCH(I$9,#REF!,0),FALSE))</f>
        <v/>
      </c>
      <c r="J17" s="87" t="str">
        <f>IF(ISERROR(VLOOKUP($B$4,#REF!,MATCH(J$9,#REF!,0),FALSE)),"",VLOOKUP($B$4,#REF!,MATCH(J$9,#REF!,0),FALSE))</f>
        <v/>
      </c>
      <c r="K17" s="87" t="str">
        <f>IF(ISERROR(VLOOKUP($B$4,#REF!,MATCH(K$9,#REF!,0),FALSE)),"",VLOOKUP($B$4,#REF!,MATCH(K$9,#REF!,0),FALSE))</f>
        <v/>
      </c>
      <c r="L17" s="87" t="str">
        <f>IF(ISERROR(VLOOKUP($B$4,#REF!,MATCH(L$9,#REF!,0),FALSE)),"",VLOOKUP($B$4,#REF!,MATCH(L$9,#REF!,0),FALSE))</f>
        <v/>
      </c>
      <c r="M17" s="87" t="str">
        <f>IF(ISERROR(VLOOKUP($B$4,#REF!,MATCH(M$9,#REF!,0),FALSE)),"",VLOOKUP($B$4,#REF!,MATCH(M$9,#REF!,0),FALSE))</f>
        <v/>
      </c>
      <c r="N17" s="88" t="str">
        <f>IF(ISERROR(VLOOKUP($B$4,#REF!,MATCH(N$9,#REF!,0),FALSE)),"",VLOOKUP($B$4,#REF!,MATCH(N$9,#REF!,0),FALSE))</f>
        <v/>
      </c>
      <c r="O17" s="8"/>
      <c r="P17" s="1"/>
      <c r="Q17" s="1"/>
      <c r="R17" s="1"/>
      <c r="S17" s="1"/>
      <c r="T17" s="1"/>
      <c r="U17" s="1"/>
      <c r="V17" s="1"/>
      <c r="X17" s="177"/>
    </row>
    <row r="18" spans="1:255" ht="15" customHeight="1" outlineLevel="1" thickBot="1" x14ac:dyDescent="0.25">
      <c r="A18" s="86" t="s">
        <v>42</v>
      </c>
      <c r="B18" s="87" t="str">
        <f>IF(ISERROR(VLOOKUP($B$4,#REF!,MATCH(B$9,#REF!,0),FALSE)),"",VLOOKUP($B$4,#REF!,MATCH(B$9,#REF!,0),FALSE))</f>
        <v/>
      </c>
      <c r="C18" s="87" t="str">
        <f>IF(ISERROR(VLOOKUP($B$4,#REF!,MATCH(C$9,#REF!,0),FALSE)),"",VLOOKUP($B$4,#REF!,MATCH(C$9,#REF!,0),FALSE))</f>
        <v/>
      </c>
      <c r="D18" s="87" t="str">
        <f>IF(ISERROR(VLOOKUP($B$4,#REF!,MATCH(D$9,#REF!,0),FALSE)),"",VLOOKUP($B$4,#REF!,MATCH(D$9,#REF!,0),FALSE))</f>
        <v/>
      </c>
      <c r="E18" s="87" t="str">
        <f>IF(ISERROR(VLOOKUP($B$4,#REF!,MATCH(E$9,#REF!,0),FALSE)),"",VLOOKUP($B$4,#REF!,MATCH(E$9,#REF!,0),FALSE))</f>
        <v/>
      </c>
      <c r="F18" s="87" t="str">
        <f>IF(ISERROR(VLOOKUP($B$4,#REF!,MATCH(F$9,#REF!,0),FALSE)),"",VLOOKUP($B$4,#REF!,MATCH(F$9,#REF!,0),FALSE))</f>
        <v/>
      </c>
      <c r="G18" s="87" t="str">
        <f>IF(ISERROR(VLOOKUP($B$4,#REF!,MATCH(G$9,#REF!,0),FALSE)),"",VLOOKUP($B$4,#REF!,MATCH(G$9,#REF!,0),FALSE))</f>
        <v/>
      </c>
      <c r="H18" s="87" t="str">
        <f>IF(ISERROR(VLOOKUP($B$4,#REF!,MATCH(H$9,#REF!,0),FALSE)),"",VLOOKUP($B$4,#REF!,MATCH(H$9,#REF!,0),FALSE))</f>
        <v/>
      </c>
      <c r="I18" s="87" t="str">
        <f>IF(ISERROR(VLOOKUP($B$4,#REF!,MATCH(I$9,#REF!,0),FALSE)),"",VLOOKUP($B$4,#REF!,MATCH(I$9,#REF!,0),FALSE))</f>
        <v/>
      </c>
      <c r="J18" s="87" t="str">
        <f>IF(ISERROR(VLOOKUP($B$4,#REF!,MATCH(J$9,#REF!,0),FALSE)),"",VLOOKUP($B$4,#REF!,MATCH(J$9,#REF!,0),FALSE))</f>
        <v/>
      </c>
      <c r="K18" s="87" t="str">
        <f>IF(ISERROR(VLOOKUP($B$4,#REF!,MATCH(K$9,#REF!,0),FALSE)),"",VLOOKUP($B$4,#REF!,MATCH(K$9,#REF!,0),FALSE))</f>
        <v/>
      </c>
      <c r="L18" s="87" t="str">
        <f>IF(ISERROR(VLOOKUP($B$4,#REF!,MATCH(L$9,#REF!,0),FALSE)),"",VLOOKUP($B$4,#REF!,MATCH(L$9,#REF!,0),FALSE))</f>
        <v/>
      </c>
      <c r="M18" s="87" t="str">
        <f>IF(ISERROR(VLOOKUP($B$4,#REF!,MATCH(M$9,#REF!,0),FALSE)),"",VLOOKUP($B$4,#REF!,MATCH(M$9,#REF!,0),FALSE))</f>
        <v/>
      </c>
      <c r="N18" s="88" t="str">
        <f>IF(ISERROR(VLOOKUP($B$4,#REF!,MATCH(N$9,#REF!,0),FALSE)),"",VLOOKUP($B$4,#REF!,MATCH(N$9,#REF!,0),FALSE))</f>
        <v/>
      </c>
      <c r="O18" s="8"/>
      <c r="P18" s="1"/>
      <c r="Q18" s="1"/>
      <c r="R18" s="1"/>
      <c r="S18" s="1"/>
      <c r="T18" s="1"/>
      <c r="U18" s="1"/>
      <c r="V18" s="1"/>
      <c r="X18" s="177"/>
    </row>
    <row r="19" spans="1:255" ht="15" customHeight="1" thickBot="1" x14ac:dyDescent="0.25">
      <c r="A19" s="43" t="s">
        <v>67</v>
      </c>
      <c r="B19" s="44" t="str">
        <f>IF(COUNTIF(B14:B18,"")=5,"",SUM(B14:B18))</f>
        <v/>
      </c>
      <c r="C19" s="44" t="str">
        <f t="shared" ref="C19:N19" si="2">IF(COUNTIF(C14:C18,"")=5,"",SUM(C14:C18))</f>
        <v/>
      </c>
      <c r="D19" s="44" t="str">
        <f t="shared" si="2"/>
        <v/>
      </c>
      <c r="E19" s="44" t="str">
        <f t="shared" si="2"/>
        <v/>
      </c>
      <c r="F19" s="44" t="str">
        <f t="shared" si="2"/>
        <v/>
      </c>
      <c r="G19" s="44" t="str">
        <f t="shared" si="2"/>
        <v/>
      </c>
      <c r="H19" s="44" t="str">
        <f t="shared" si="2"/>
        <v/>
      </c>
      <c r="I19" s="44" t="str">
        <f t="shared" si="2"/>
        <v/>
      </c>
      <c r="J19" s="44" t="str">
        <f t="shared" si="2"/>
        <v/>
      </c>
      <c r="K19" s="44" t="str">
        <f t="shared" si="2"/>
        <v/>
      </c>
      <c r="L19" s="44" t="str">
        <f t="shared" si="2"/>
        <v/>
      </c>
      <c r="M19" s="44" t="str">
        <f t="shared" si="2"/>
        <v/>
      </c>
      <c r="N19" s="45" t="str">
        <f t="shared" si="2"/>
        <v/>
      </c>
      <c r="O19" s="9"/>
      <c r="P19" s="1"/>
      <c r="Q19" s="1"/>
      <c r="R19" s="1"/>
      <c r="S19" s="1"/>
      <c r="T19" s="1"/>
      <c r="U19" s="1"/>
      <c r="V19" s="1"/>
      <c r="X19" s="177"/>
      <c r="IU19" s="121"/>
    </row>
    <row r="20" spans="1:255" ht="15" customHeight="1" thickBot="1" x14ac:dyDescent="0.25">
      <c r="A20" s="18" t="s">
        <v>37</v>
      </c>
      <c r="B20" s="13" t="str">
        <f t="shared" ref="B20:N20" si="3">IFERROR((B19/B13)-1,"")</f>
        <v/>
      </c>
      <c r="C20" s="13" t="str">
        <f t="shared" si="3"/>
        <v/>
      </c>
      <c r="D20" s="13" t="str">
        <f t="shared" si="3"/>
        <v/>
      </c>
      <c r="E20" s="13" t="str">
        <f t="shared" si="3"/>
        <v/>
      </c>
      <c r="F20" s="13" t="str">
        <f t="shared" si="3"/>
        <v/>
      </c>
      <c r="G20" s="13" t="str">
        <f t="shared" si="3"/>
        <v/>
      </c>
      <c r="H20" s="13" t="str">
        <f t="shared" si="3"/>
        <v/>
      </c>
      <c r="I20" s="13" t="str">
        <f t="shared" si="3"/>
        <v/>
      </c>
      <c r="J20" s="13" t="str">
        <f t="shared" si="3"/>
        <v/>
      </c>
      <c r="K20" s="13" t="str">
        <f t="shared" si="3"/>
        <v/>
      </c>
      <c r="L20" s="13" t="str">
        <f t="shared" si="3"/>
        <v/>
      </c>
      <c r="M20" s="13" t="str">
        <f t="shared" si="3"/>
        <v/>
      </c>
      <c r="N20" s="14" t="str">
        <f t="shared" si="3"/>
        <v/>
      </c>
      <c r="O20" s="10"/>
      <c r="P20" s="1"/>
      <c r="Q20" s="1"/>
      <c r="R20" s="1"/>
      <c r="S20" s="1"/>
      <c r="T20" s="1"/>
      <c r="U20" s="1"/>
      <c r="V20" s="1"/>
      <c r="X20" s="177"/>
      <c r="IU20" s="121"/>
    </row>
    <row r="21" spans="1:255" ht="15" customHeight="1" x14ac:dyDescent="0.2">
      <c r="A21" s="32" t="str">
        <f>CONCATENATE("Rep ",$A$7)</f>
        <v xml:space="preserve">Rep </v>
      </c>
      <c r="B21" s="36" t="str">
        <f>IFERROR(INDEX(Venta!FcDetalle,MATCH(CONCATENATE("B-",$A$7,"REP"),Venta!FcClave,0),FcInicioCantMes+0),"")</f>
        <v/>
      </c>
      <c r="C21" s="36" t="str">
        <f>IFERROR(INDEX(Venta!FcDetalle,MATCH(CONCATENATE("B-",$A$7,"REP"),Venta!FcClave,0),FcInicioCantMes+1),"")</f>
        <v/>
      </c>
      <c r="D21" s="36" t="str">
        <f>IFERROR(INDEX(Venta!FcDetalle,MATCH(CONCATENATE("B-",$A$7,"REP"),Venta!FcClave,0),FcInicioCantMes+2),"")</f>
        <v/>
      </c>
      <c r="E21" s="36" t="str">
        <f>IFERROR(INDEX(Venta!FcDetalle,MATCH(CONCATENATE("B-",$A$7,"REP"),Venta!FcClave,0),FcInicioCantMes+3),"")</f>
        <v/>
      </c>
      <c r="F21" s="36" t="str">
        <f>IFERROR(INDEX(Venta!FcDetalle,MATCH(CONCATENATE("B-",$A$7,"REP"),Venta!FcClave,0),FcInicioCantMes+4),"")</f>
        <v/>
      </c>
      <c r="G21" s="36" t="str">
        <f>IFERROR(INDEX(Venta!FcDetalle,MATCH(CONCATENATE("B-",$A$7,"REP"),Venta!FcClave,0),FcInicioCantMes+5),"")</f>
        <v/>
      </c>
      <c r="H21" s="36" t="str">
        <f>IFERROR(INDEX(Venta!FcDetalle,MATCH(CONCATENATE("B-",$A$7,"REP"),Venta!FcClave,0),FcInicioCantMes+6),"")</f>
        <v/>
      </c>
      <c r="I21" s="36" t="str">
        <f>IFERROR(INDEX(Venta!FcDetalle,MATCH(CONCATENATE("B-",$A$7,"REP"),Venta!FcClave,0),FcInicioCantMes+7),"")</f>
        <v/>
      </c>
      <c r="J21" s="36" t="str">
        <f>IFERROR(INDEX(Venta!FcDetalle,MATCH(CONCATENATE("B-",$A$7,"REP"),Venta!FcClave,0),FcInicioCantMes+8),"")</f>
        <v/>
      </c>
      <c r="K21" s="36" t="str">
        <f>IFERROR(INDEX(Venta!FcDetalle,MATCH(CONCATENATE("B-",$A$7,"REP"),Venta!FcClave,0),FcInicioCantMes+9),"")</f>
        <v/>
      </c>
      <c r="L21" s="36" t="str">
        <f>IFERROR(INDEX(Venta!FcDetalle,MATCH(CONCATENATE("B-",$A$7,"REP"),Venta!FcClave,0),FcInicioCantMes+10),"")</f>
        <v/>
      </c>
      <c r="M21" s="36" t="str">
        <f>IFERROR(INDEX(Venta!FcDetalle,MATCH(CONCATENATE("B-",$A$7,"REP"),Venta!FcClave,0),FcInicioCantMes+11),"")</f>
        <v/>
      </c>
      <c r="N21" s="36" t="str">
        <f>IFERROR(INDEX(Venta!FcDetalle,MATCH(CONCATENATE("B-",$A$7,"REP"),Venta!FcClave,0),FcInicioCantMes+12),"")</f>
        <v/>
      </c>
      <c r="O21" s="9"/>
      <c r="P21" s="1"/>
      <c r="Q21" s="1"/>
      <c r="R21" s="1"/>
      <c r="S21" s="1"/>
      <c r="T21" s="1"/>
      <c r="U21" s="1"/>
      <c r="V21" s="1"/>
      <c r="X21" s="177"/>
      <c r="IU21" s="121"/>
    </row>
    <row r="22" spans="1:255" ht="15" customHeight="1" thickBot="1" x14ac:dyDescent="0.25">
      <c r="A22" s="31" t="str">
        <f>CONCATENATE("Rep ",$B$7)</f>
        <v xml:space="preserve">Rep </v>
      </c>
      <c r="B22" s="37" t="str">
        <f>IFERROR(INDEX(Venta!FcDetalle,MATCH(CONCATENATE("B-",$B$7,"REP"),Venta!FcClave,0),FcInicioCantMes+0),"")</f>
        <v/>
      </c>
      <c r="C22" s="37" t="str">
        <f>IFERROR(INDEX(Venta!FcDetalle,MATCH(CONCATENATE("B-",$B$7,"REP"),Venta!FcClave,0),FcInicioCantMes+1),"")</f>
        <v/>
      </c>
      <c r="D22" s="37" t="str">
        <f>IFERROR(INDEX(Venta!FcDetalle,MATCH(CONCATENATE("B-",$B$7,"REP"),Venta!FcClave,0),FcInicioCantMes+2),"")</f>
        <v/>
      </c>
      <c r="E22" s="37" t="str">
        <f>IFERROR(INDEX(Venta!FcDetalle,MATCH(CONCATENATE("B-",$B$7,"REP"),Venta!FcClave,0),FcInicioCantMes+3),"")</f>
        <v/>
      </c>
      <c r="F22" s="37" t="str">
        <f>IFERROR(INDEX(Venta!FcDetalle,MATCH(CONCATENATE("B-",$B$7,"REP"),Venta!FcClave,0),FcInicioCantMes+4),"")</f>
        <v/>
      </c>
      <c r="G22" s="37" t="str">
        <f>IFERROR(INDEX(Venta!FcDetalle,MATCH(CONCATENATE("B-",$B$7,"REP"),Venta!FcClave,0),FcInicioCantMes+5),"")</f>
        <v/>
      </c>
      <c r="H22" s="37" t="str">
        <f>IFERROR(INDEX(Venta!FcDetalle,MATCH(CONCATENATE("B-",$B$7,"REP"),Venta!FcClave,0),FcInicioCantMes+6),"")</f>
        <v/>
      </c>
      <c r="I22" s="37" t="str">
        <f>IFERROR(INDEX(Venta!FcDetalle,MATCH(CONCATENATE("B-",$B$7,"REP"),Venta!FcClave,0),FcInicioCantMes+7),"")</f>
        <v/>
      </c>
      <c r="J22" s="37" t="str">
        <f>IFERROR(INDEX(Venta!FcDetalle,MATCH(CONCATENATE("B-",$B$7,"REP"),Venta!FcClave,0),FcInicioCantMes+8),"")</f>
        <v/>
      </c>
      <c r="K22" s="37" t="str">
        <f>IFERROR(INDEX(Venta!FcDetalle,MATCH(CONCATENATE("B-",$B$7,"REP"),Venta!FcClave,0),FcInicioCantMes+9),"")</f>
        <v/>
      </c>
      <c r="L22" s="37" t="str">
        <f>IFERROR(INDEX(Venta!FcDetalle,MATCH(CONCATENATE("B-",$B$7,"REP"),Venta!FcClave,0),FcInicioCantMes+10),"")</f>
        <v/>
      </c>
      <c r="M22" s="37" t="str">
        <f>IFERROR(INDEX(Venta!FcDetalle,MATCH(CONCATENATE("B-",$B$7,"REP"),Venta!FcClave,0),FcInicioCantMes+11),"")</f>
        <v/>
      </c>
      <c r="N22" s="37" t="str">
        <f>IFERROR(INDEX(Venta!FcDetalle,MATCH(CONCATENATE("B-",$B$7,"REP"),Venta!FcClave,0),FcInicioCantMes+12),"")</f>
        <v/>
      </c>
      <c r="O22" s="9"/>
      <c r="P22" s="1"/>
      <c r="Q22" s="1"/>
      <c r="R22" s="1"/>
      <c r="S22" s="1"/>
      <c r="T22" s="1"/>
      <c r="U22" s="1"/>
      <c r="V22" s="1"/>
      <c r="IU22" s="121"/>
    </row>
    <row r="23" spans="1:255" ht="15" customHeight="1" thickBot="1" x14ac:dyDescent="0.25">
      <c r="A23" s="116" t="s">
        <v>30</v>
      </c>
      <c r="B23" s="117"/>
      <c r="C23" s="117" t="e">
        <f>IF(AND(C21&lt;B21,C22&gt;B22,(C22-B22)&gt;0.25*(B21-C21)),"Alerta","")</f>
        <v>#VALUE!</v>
      </c>
      <c r="D23" s="117" t="e">
        <f t="shared" ref="D23:N23" si="4">IF(AND(D21&lt;C21,D22&gt;C22,(D22-C22)&gt;0.25*(C21-D21)),"Alerta","")</f>
        <v>#VALUE!</v>
      </c>
      <c r="E23" s="117" t="e">
        <f t="shared" si="4"/>
        <v>#VALUE!</v>
      </c>
      <c r="F23" s="117" t="e">
        <f t="shared" si="4"/>
        <v>#VALUE!</v>
      </c>
      <c r="G23" s="117" t="e">
        <f t="shared" si="4"/>
        <v>#VALUE!</v>
      </c>
      <c r="H23" s="117" t="e">
        <f t="shared" si="4"/>
        <v>#VALUE!</v>
      </c>
      <c r="I23" s="117" t="e">
        <f t="shared" si="4"/>
        <v>#VALUE!</v>
      </c>
      <c r="J23" s="117" t="e">
        <f>IF(AND(J21&lt;I21,J22&gt;I22,(J22-I22)&gt;0.25*(I21-J21)),"Alerta","")</f>
        <v>#VALUE!</v>
      </c>
      <c r="K23" s="117" t="e">
        <f t="shared" si="4"/>
        <v>#VALUE!</v>
      </c>
      <c r="L23" s="117" t="e">
        <f t="shared" si="4"/>
        <v>#VALUE!</v>
      </c>
      <c r="M23" s="117" t="e">
        <f t="shared" si="4"/>
        <v>#VALUE!</v>
      </c>
      <c r="N23" s="118" t="e">
        <f t="shared" si="4"/>
        <v>#VALUE!</v>
      </c>
      <c r="O23" s="8"/>
      <c r="P23" s="124"/>
      <c r="Q23" s="290" t="s">
        <v>12</v>
      </c>
      <c r="R23" s="291"/>
      <c r="S23" s="291"/>
      <c r="T23" s="291"/>
      <c r="U23" s="291"/>
      <c r="V23" s="292"/>
      <c r="IU23" s="121"/>
    </row>
    <row r="24" spans="1:255" ht="12" customHeight="1" x14ac:dyDescent="0.2">
      <c r="A24" s="132" t="s">
        <v>14</v>
      </c>
      <c r="B24" s="125">
        <f>IFERROR(INDEX(RG!FcDetalle,MATCH($B$4,RG!FcClave,0),3),0)</f>
        <v>0</v>
      </c>
      <c r="C24" s="125">
        <f>IFERROR(INDEX(RG!FcDetalle,MATCH($B$4,RG!FcClave,0),4),0)</f>
        <v>0</v>
      </c>
      <c r="D24" s="125">
        <f>IFERROR(INDEX(RG!FcDetalle,MATCH($B$4,RG!FcClave,0),5),0)</f>
        <v>0</v>
      </c>
      <c r="E24" s="125">
        <f>IFERROR(INDEX(RG!FcDetalle,MATCH($B$4,RG!FcClave,0),6),0)</f>
        <v>0</v>
      </c>
      <c r="F24" s="125">
        <f>IFERROR(INDEX(RG!FcDetalle,MATCH($B$4,RG!FcClave,0),7),0)</f>
        <v>0</v>
      </c>
      <c r="G24" s="125">
        <f>IFERROR(INDEX(RG!FcDetalle,MATCH($B$4,RG!FcClave,0),8),0)</f>
        <v>0</v>
      </c>
      <c r="H24" s="125">
        <f>IFERROR(INDEX(RG!FcDetalle,MATCH($B$4,RG!FcClave,0),9),0)</f>
        <v>0</v>
      </c>
      <c r="I24" s="125">
        <f>IFERROR(INDEX(RG!FcDetalle,MATCH($B$4,RG!FcClave,0),10),0)</f>
        <v>0</v>
      </c>
      <c r="J24" s="125">
        <f>IFERROR(INDEX(RG!FcDetalle,MATCH($B$4,RG!FcClave,0),11),0)</f>
        <v>0</v>
      </c>
      <c r="K24" s="125">
        <f>IFERROR(INDEX(RG!FcDetalle,MATCH($B$4,RG!FcClave,0),12),0)</f>
        <v>0</v>
      </c>
      <c r="L24" s="125">
        <f>IFERROR(INDEX(RG!FcDetalle,MATCH($B$4,RG!FcClave,0),13),0)</f>
        <v>0</v>
      </c>
      <c r="M24" s="125">
        <f>IFERROR(INDEX(RG!FcDetalle,MATCH($B$4,RG!FcClave,0),14),0)</f>
        <v>0</v>
      </c>
      <c r="N24" s="125">
        <f>IFERROR(INDEX(RG!FcDetalle,MATCH($B$4,RG!FcClave,0),15),0)</f>
        <v>0</v>
      </c>
      <c r="O24" s="4"/>
      <c r="P24" s="4"/>
      <c r="Q24" s="3"/>
      <c r="R24" s="1"/>
      <c r="S24" s="1"/>
      <c r="T24" s="1"/>
      <c r="U24" s="1"/>
      <c r="V24" s="1"/>
      <c r="IU24" s="121"/>
    </row>
    <row r="25" spans="1:255" s="3" customFormat="1" ht="13.5" customHeight="1" x14ac:dyDescent="0.2">
      <c r="A25" s="132" t="s">
        <v>0</v>
      </c>
      <c r="B25" s="70">
        <f>IFERROR(INDEX(StockBO!FcDetalle,MATCH($B$4,StockBO!FcClave,0),3),0)</f>
        <v>0</v>
      </c>
      <c r="C25" s="70">
        <f>IFERROR(INDEX(StockBO!FcDetalle,MATCH($B$4,StockBO!FcClave,0),4),0)</f>
        <v>0</v>
      </c>
      <c r="D25" s="70">
        <f>IFERROR(INDEX(StockBO!FcDetalle,MATCH($B$4,StockBO!FcClave,0),5),0)</f>
        <v>0</v>
      </c>
      <c r="E25" s="70">
        <f>IFERROR(INDEX(StockBO!FcDetalle,MATCH($B$4,StockBO!FcClave,0),6),0)</f>
        <v>0</v>
      </c>
      <c r="F25" s="70">
        <f>IFERROR(INDEX(StockBO!FcDetalle,MATCH($B$4,StockBO!FcClave,0),7),0)</f>
        <v>0</v>
      </c>
      <c r="G25" s="70">
        <f>IFERROR(INDEX(StockBO!FcDetalle,MATCH($B$4,StockBO!FcClave,0),8),0)</f>
        <v>0</v>
      </c>
      <c r="H25" s="70">
        <f>IFERROR(INDEX(StockBO!FcDetalle,MATCH($B$4,StockBO!FcClave,0),9),0)</f>
        <v>0</v>
      </c>
      <c r="I25" s="70">
        <f>IFERROR(INDEX(StockBO!FcDetalle,MATCH($B$4,StockBO!FcClave,0),10),0)</f>
        <v>0</v>
      </c>
      <c r="J25" s="70">
        <f>IFERROR(INDEX(StockBO!FcDetalle,MATCH($B$4,StockBO!FcClave,0),11),0)</f>
        <v>0</v>
      </c>
      <c r="K25" s="70">
        <f>IFERROR(INDEX(StockBO!FcDetalle,MATCH($B$4,StockBO!FcClave,0),12),0)</f>
        <v>0</v>
      </c>
      <c r="L25" s="70">
        <f>IFERROR(INDEX(StockBO!FcDetalle,MATCH($B$4,StockBO!FcClave,0),13),0)</f>
        <v>0</v>
      </c>
      <c r="M25" s="70">
        <f>IFERROR(INDEX(StockBO!FcDetalle,MATCH($B$4,StockBO!FcClave,0),14),0)</f>
        <v>0</v>
      </c>
      <c r="N25" s="70">
        <f>IFERROR(INDEX(StockBO!FcDetalle,MATCH($B$4,StockBO!FcClave,0),15),0)</f>
        <v>0</v>
      </c>
      <c r="IU25" s="122"/>
    </row>
    <row r="26" spans="1:255" s="3" customFormat="1" ht="13.5" customHeight="1" x14ac:dyDescent="0.2">
      <c r="A26" s="132" t="s">
        <v>2</v>
      </c>
      <c r="B26" s="70">
        <f>IFERROR(INDEX(StockBO!FcDetalle,MATCH($B$4,StockBO!FcClave,0),16),0)</f>
        <v>0</v>
      </c>
      <c r="C26" s="70">
        <f>IFERROR(INDEX(StockBO!FcDetalle,MATCH($B$4,StockBO!FcClave,0),17),0)</f>
        <v>0</v>
      </c>
      <c r="D26" s="70">
        <f>IFERROR(INDEX(StockBO!FcDetalle,MATCH($B$4,StockBO!FcClave,0),18),0)</f>
        <v>0</v>
      </c>
      <c r="E26" s="70">
        <f>IFERROR(INDEX(StockBO!FcDetalle,MATCH($B$4,StockBO!FcClave,0),19),0)</f>
        <v>0</v>
      </c>
      <c r="F26" s="70">
        <f>IFERROR(INDEX(StockBO!FcDetalle,MATCH($B$4,StockBO!FcClave,0),20),0)</f>
        <v>0</v>
      </c>
      <c r="G26" s="70">
        <f>IFERROR(INDEX(StockBO!FcDetalle,MATCH($B$4,StockBO!FcClave,0),21),0)</f>
        <v>0</v>
      </c>
      <c r="H26" s="70">
        <f>IFERROR(INDEX(StockBO!FcDetalle,MATCH($B$4,StockBO!FcClave,0),22),0)</f>
        <v>0</v>
      </c>
      <c r="I26" s="70">
        <f>IFERROR(INDEX(StockBO!FcDetalle,MATCH($B$4,StockBO!FcClave,0),23),0)</f>
        <v>0</v>
      </c>
      <c r="J26" s="70">
        <f>IFERROR(INDEX(StockBO!FcDetalle,MATCH($B$4,StockBO!FcClave,0),24),0)</f>
        <v>0</v>
      </c>
      <c r="K26" s="70">
        <f>IFERROR(INDEX(StockBO!FcDetalle,MATCH($B$4,StockBO!FcClave,0),25),0)</f>
        <v>0</v>
      </c>
      <c r="L26" s="70">
        <f>IFERROR(INDEX(StockBO!FcDetalle,MATCH($B$4,StockBO!FcClave,0),26),0)</f>
        <v>0</v>
      </c>
      <c r="M26" s="70">
        <f>IFERROR(INDEX(StockBO!FcDetalle,MATCH($B$4,StockBO!FcClave,0),27),0)</f>
        <v>0</v>
      </c>
      <c r="N26" s="70">
        <f>IFERROR(INDEX(StockBO!FcDetalle,MATCH($B$4,StockBO!FcClave,0),28),0)</f>
        <v>0</v>
      </c>
    </row>
    <row r="27" spans="1:255" s="3" customFormat="1" ht="14.25" customHeight="1" x14ac:dyDescent="0.2">
      <c r="A27" s="293" t="s">
        <v>36</v>
      </c>
      <c r="B27" s="294"/>
      <c r="C27" s="294"/>
      <c r="D27" s="294"/>
      <c r="E27" s="294"/>
      <c r="F27" s="295"/>
      <c r="G27" s="30"/>
      <c r="L27" s="126"/>
    </row>
    <row r="28" spans="1:255" s="3" customFormat="1" ht="15" customHeight="1" x14ac:dyDescent="0.2">
      <c r="A28" s="260" t="str">
        <f>IFERROR(INDEX(maestro!FcDetalle,MATCH(FcItem,maestro!FcClave,0),38),"")</f>
        <v/>
      </c>
      <c r="B28" s="261"/>
      <c r="C28" s="261"/>
      <c r="D28" s="261"/>
      <c r="E28" s="261"/>
      <c r="F28" s="262"/>
      <c r="G28" s="30"/>
    </row>
    <row r="29" spans="1:255" s="3" customFormat="1" ht="15" customHeight="1" x14ac:dyDescent="0.2">
      <c r="A29" s="263"/>
      <c r="B29" s="264"/>
      <c r="C29" s="264"/>
      <c r="D29" s="264"/>
      <c r="E29" s="264"/>
      <c r="F29" s="265"/>
      <c r="G29" s="30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</row>
    <row r="30" spans="1:255" s="3" customFormat="1" ht="15" customHeight="1" x14ac:dyDescent="0.2">
      <c r="A30" s="263"/>
      <c r="B30" s="264"/>
      <c r="C30" s="264"/>
      <c r="D30" s="264"/>
      <c r="E30" s="264"/>
      <c r="F30" s="265"/>
      <c r="G30" s="30"/>
    </row>
    <row r="31" spans="1:255" s="3" customFormat="1" ht="15" customHeight="1" x14ac:dyDescent="0.2">
      <c r="A31" s="263"/>
      <c r="B31" s="264"/>
      <c r="C31" s="264"/>
      <c r="D31" s="264"/>
      <c r="E31" s="264"/>
      <c r="F31" s="265"/>
      <c r="G31" s="30"/>
    </row>
    <row r="32" spans="1:255" s="3" customFormat="1" ht="15" customHeight="1" x14ac:dyDescent="0.2">
      <c r="A32" s="263"/>
      <c r="B32" s="264"/>
      <c r="C32" s="264"/>
      <c r="D32" s="264"/>
      <c r="E32" s="264"/>
      <c r="F32" s="265"/>
      <c r="G32" s="30"/>
    </row>
    <row r="33" spans="1:22" s="3" customFormat="1" ht="15" customHeight="1" x14ac:dyDescent="0.2">
      <c r="A33" s="263"/>
      <c r="B33" s="264"/>
      <c r="C33" s="264"/>
      <c r="D33" s="264"/>
      <c r="E33" s="264"/>
      <c r="F33" s="265"/>
      <c r="G33" s="30"/>
    </row>
    <row r="34" spans="1:22" s="3" customFormat="1" ht="15" customHeight="1" x14ac:dyDescent="0.2">
      <c r="A34" s="263"/>
      <c r="B34" s="264"/>
      <c r="C34" s="264"/>
      <c r="D34" s="264"/>
      <c r="E34" s="264"/>
      <c r="F34" s="265"/>
      <c r="G34" s="30"/>
    </row>
    <row r="35" spans="1:22" s="3" customFormat="1" ht="15" customHeight="1" x14ac:dyDescent="0.2">
      <c r="A35" s="263"/>
      <c r="B35" s="264"/>
      <c r="C35" s="264"/>
      <c r="D35" s="264"/>
      <c r="E35" s="264"/>
      <c r="F35" s="265"/>
      <c r="G35" s="30"/>
    </row>
    <row r="36" spans="1:22" s="3" customFormat="1" ht="15" customHeight="1" x14ac:dyDescent="0.2">
      <c r="A36" s="263"/>
      <c r="B36" s="264"/>
      <c r="C36" s="264"/>
      <c r="D36" s="264"/>
      <c r="E36" s="264"/>
      <c r="F36" s="265"/>
      <c r="G36" s="30"/>
    </row>
    <row r="37" spans="1:22" s="3" customFormat="1" ht="15" customHeight="1" x14ac:dyDescent="0.2">
      <c r="A37" s="263"/>
      <c r="B37" s="264"/>
      <c r="C37" s="264"/>
      <c r="D37" s="264"/>
      <c r="E37" s="264"/>
      <c r="F37" s="265"/>
      <c r="G37" s="30"/>
    </row>
    <row r="38" spans="1:22" s="3" customFormat="1" ht="15" customHeight="1" x14ac:dyDescent="0.2">
      <c r="A38" s="266"/>
      <c r="B38" s="267"/>
      <c r="C38" s="267"/>
      <c r="D38" s="267"/>
      <c r="E38" s="267"/>
      <c r="F38" s="268"/>
      <c r="G38" s="30"/>
    </row>
    <row r="39" spans="1:22" ht="9.9499999999999993" customHeight="1" thickBot="1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28"/>
      <c r="L39" s="28"/>
      <c r="M39" s="28"/>
      <c r="N39" s="19"/>
      <c r="O39" s="1"/>
      <c r="P39" s="3"/>
      <c r="Q39" s="3"/>
      <c r="R39" s="3"/>
      <c r="S39" s="3"/>
      <c r="T39" s="3"/>
      <c r="U39" s="3"/>
      <c r="V39" s="3"/>
    </row>
    <row r="40" spans="1:22" ht="15" customHeight="1" thickBot="1" x14ac:dyDescent="0.25">
      <c r="A40" s="79" t="s">
        <v>66</v>
      </c>
      <c r="B40" s="80">
        <f>B9</f>
        <v>41548</v>
      </c>
      <c r="C40" s="80">
        <f t="shared" ref="C40:N40" si="5">C9</f>
        <v>41579</v>
      </c>
      <c r="D40" s="80">
        <f t="shared" si="5"/>
        <v>41609</v>
      </c>
      <c r="E40" s="80">
        <f t="shared" si="5"/>
        <v>41640</v>
      </c>
      <c r="F40" s="80">
        <f t="shared" si="5"/>
        <v>41671</v>
      </c>
      <c r="G40" s="80">
        <f t="shared" si="5"/>
        <v>41699</v>
      </c>
      <c r="H40" s="80">
        <f t="shared" si="5"/>
        <v>41730</v>
      </c>
      <c r="I40" s="80">
        <f t="shared" si="5"/>
        <v>41760</v>
      </c>
      <c r="J40" s="80">
        <f t="shared" si="5"/>
        <v>41791</v>
      </c>
      <c r="K40" s="80">
        <f t="shared" si="5"/>
        <v>41821</v>
      </c>
      <c r="L40" s="80">
        <f t="shared" si="5"/>
        <v>41852</v>
      </c>
      <c r="M40" s="80">
        <f t="shared" si="5"/>
        <v>41883</v>
      </c>
      <c r="N40" s="81">
        <f t="shared" si="5"/>
        <v>41913</v>
      </c>
      <c r="O40" s="5"/>
      <c r="P40" s="1"/>
      <c r="Q40" s="1"/>
      <c r="R40" s="1"/>
      <c r="S40" s="1"/>
      <c r="T40" s="1"/>
      <c r="U40" s="1"/>
      <c r="V40" s="1"/>
    </row>
    <row r="41" spans="1:22" ht="15" customHeight="1" x14ac:dyDescent="0.2">
      <c r="A41" s="89" t="s">
        <v>58</v>
      </c>
      <c r="B41" s="90" t="str">
        <f>IF(B70=0,"",B70)</f>
        <v/>
      </c>
      <c r="C41" s="90" t="str">
        <f t="shared" ref="C41:N41" si="6">IF(C70=0,"",C70)</f>
        <v/>
      </c>
      <c r="D41" s="90" t="str">
        <f t="shared" si="6"/>
        <v/>
      </c>
      <c r="E41" s="90" t="str">
        <f t="shared" si="6"/>
        <v/>
      </c>
      <c r="F41" s="90" t="str">
        <f t="shared" si="6"/>
        <v/>
      </c>
      <c r="G41" s="90" t="str">
        <f t="shared" si="6"/>
        <v/>
      </c>
      <c r="H41" s="90" t="str">
        <f t="shared" si="6"/>
        <v/>
      </c>
      <c r="I41" s="90" t="str">
        <f t="shared" si="6"/>
        <v/>
      </c>
      <c r="J41" s="90" t="str">
        <f t="shared" si="6"/>
        <v/>
      </c>
      <c r="K41" s="90" t="str">
        <f t="shared" si="6"/>
        <v/>
      </c>
      <c r="L41" s="90" t="str">
        <f t="shared" si="6"/>
        <v/>
      </c>
      <c r="M41" s="90" t="str">
        <f t="shared" si="6"/>
        <v/>
      </c>
      <c r="N41" s="91" t="str">
        <f t="shared" si="6"/>
        <v/>
      </c>
      <c r="O41" s="65"/>
      <c r="P41" s="1"/>
      <c r="Q41" s="1"/>
      <c r="R41" s="1"/>
      <c r="S41" s="1"/>
      <c r="T41" s="1"/>
      <c r="U41" s="1"/>
      <c r="V41" s="1"/>
    </row>
    <row r="42" spans="1:22" ht="15" customHeight="1" x14ac:dyDescent="0.2">
      <c r="A42" s="92" t="s">
        <v>59</v>
      </c>
      <c r="B42" s="93" t="str">
        <f>IF(B71=0,"",B71)</f>
        <v/>
      </c>
      <c r="C42" s="93" t="str">
        <f t="shared" ref="C42:N42" si="7">C71</f>
        <v/>
      </c>
      <c r="D42" s="93" t="str">
        <f t="shared" si="7"/>
        <v/>
      </c>
      <c r="E42" s="93" t="str">
        <f t="shared" si="7"/>
        <v/>
      </c>
      <c r="F42" s="93" t="str">
        <f t="shared" si="7"/>
        <v/>
      </c>
      <c r="G42" s="93" t="str">
        <f t="shared" si="7"/>
        <v/>
      </c>
      <c r="H42" s="93" t="str">
        <f t="shared" si="7"/>
        <v/>
      </c>
      <c r="I42" s="93" t="str">
        <f t="shared" si="7"/>
        <v/>
      </c>
      <c r="J42" s="93" t="str">
        <f t="shared" si="7"/>
        <v/>
      </c>
      <c r="K42" s="93" t="str">
        <f t="shared" si="7"/>
        <v/>
      </c>
      <c r="L42" s="93" t="str">
        <f t="shared" si="7"/>
        <v/>
      </c>
      <c r="M42" s="93" t="str">
        <f t="shared" si="7"/>
        <v/>
      </c>
      <c r="N42" s="94" t="str">
        <f t="shared" si="7"/>
        <v/>
      </c>
      <c r="O42" s="65"/>
      <c r="P42" s="1"/>
      <c r="Q42" s="1"/>
      <c r="R42" s="1"/>
      <c r="S42" s="1"/>
      <c r="T42" s="1"/>
      <c r="U42" s="1"/>
      <c r="V42" s="1"/>
    </row>
    <row r="43" spans="1:22" ht="15" customHeight="1" x14ac:dyDescent="0.2">
      <c r="A43" s="92" t="s">
        <v>72</v>
      </c>
      <c r="B43" s="93" t="str">
        <f>IFERROR(INDEX(PrecioCompetencia!FcDetalle,MATCH(CONCATENATE($A$7,"PUR"),PrecioCompetencia!FcClave,0),FcInicioPrecioComp+0),"")</f>
        <v/>
      </c>
      <c r="C43" s="93" t="str">
        <f>IFERROR(INDEX(PrecioCompetencia!FcDetalle,MATCH(CONCATENATE($A$7,"PUR"),PrecioCompetencia!FcClave,0),FcInicioPrecioComp+1),"")</f>
        <v/>
      </c>
      <c r="D43" s="93" t="str">
        <f>IFERROR(INDEX(PrecioCompetencia!FcDetalle,MATCH(CONCATENATE($A$7,"PUR"),PrecioCompetencia!FcClave,0),FcInicioPrecioComp+2),"")</f>
        <v/>
      </c>
      <c r="E43" s="93" t="str">
        <f>IFERROR(INDEX(PrecioCompetencia!FcDetalle,MATCH(CONCATENATE($A$7,"PUR"),PrecioCompetencia!FcClave,0),FcInicioPrecioComp+3),"")</f>
        <v/>
      </c>
      <c r="F43" s="93" t="str">
        <f>IFERROR(INDEX(PrecioCompetencia!FcDetalle,MATCH(CONCATENATE($A$7,"PUR"),PrecioCompetencia!FcClave,0),FcInicioPrecioComp+4),"")</f>
        <v/>
      </c>
      <c r="G43" s="93" t="str">
        <f>IFERROR(INDEX(PrecioCompetencia!FcDetalle,MATCH(CONCATENATE($A$7,"PUR"),PrecioCompetencia!FcClave,0),FcInicioPrecioComp+5),"")</f>
        <v/>
      </c>
      <c r="H43" s="93" t="str">
        <f>IFERROR(INDEX(PrecioCompetencia!FcDetalle,MATCH(CONCATENATE($A$7,"PUR"),PrecioCompetencia!FcClave,0),FcInicioPrecioComp+6),"")</f>
        <v/>
      </c>
      <c r="I43" s="93" t="str">
        <f>IFERROR(INDEX(PrecioCompetencia!FcDetalle,MATCH(CONCATENATE($A$7,"PUR"),PrecioCompetencia!FcClave,0),FcInicioPrecioComp+7),"")</f>
        <v/>
      </c>
      <c r="J43" s="93" t="str">
        <f>IFERROR(INDEX(PrecioCompetencia!FcDetalle,MATCH(CONCATENATE($A$7,"PUR"),PrecioCompetencia!FcClave,0),FcInicioPrecioComp+8),"")</f>
        <v/>
      </c>
      <c r="K43" s="93" t="str">
        <f>IFERROR(INDEX(PrecioCompetencia!FcDetalle,MATCH(CONCATENATE($A$7,"PUR"),PrecioCompetencia!FcClave,0),FcInicioPrecioComp+9),"")</f>
        <v/>
      </c>
      <c r="L43" s="93" t="str">
        <f>IFERROR(INDEX(PrecioCompetencia!FcDetalle,MATCH(CONCATENATE($A$7,"PUR"),PrecioCompetencia!FcClave,0),FcInicioPrecioComp+10),"")</f>
        <v/>
      </c>
      <c r="M43" s="93" t="str">
        <f>IFERROR(INDEX(PrecioCompetencia!FcDetalle,MATCH(CONCATENATE($A$7,"PUR"),PrecioCompetencia!FcClave,0),FcInicioPrecioComp+11),"")</f>
        <v/>
      </c>
      <c r="N43" s="94" t="str">
        <f>IFERROR(INDEX(PrecioCompetencia!FcDetalle,MATCH(CONCATENATE($A$7,"PUR"),PrecioCompetencia!FcClave,0),FcInicioPrecioComp+12),"")</f>
        <v/>
      </c>
      <c r="O43" s="11"/>
      <c r="P43" s="1"/>
      <c r="Q43" s="1"/>
      <c r="R43" s="1"/>
      <c r="S43" s="1"/>
      <c r="T43" s="1"/>
      <c r="U43" s="1"/>
      <c r="V43" s="1"/>
    </row>
    <row r="44" spans="1:22" ht="15" customHeight="1" x14ac:dyDescent="0.2">
      <c r="A44" s="92" t="s">
        <v>76</v>
      </c>
      <c r="B44" s="93" t="str">
        <f>IFERROR(INDEX(PrecioCompetencia!FcDetalle,MATCH(CONCATENATE($A$7,"FLG"),PrecioCompetencia!FcClave,0),FcInicioPrecioComp+0),"")</f>
        <v/>
      </c>
      <c r="C44" s="93" t="str">
        <f>IFERROR(INDEX(PrecioCompetencia!FcDetalle,MATCH(CONCATENATE($A$7,"FLG"),PrecioCompetencia!FcClave,0),FcInicioPrecioComp+1),"")</f>
        <v/>
      </c>
      <c r="D44" s="93" t="str">
        <f>IFERROR(INDEX(PrecioCompetencia!FcDetalle,MATCH(CONCATENATE($A$7,"FLG"),PrecioCompetencia!FcClave,0),FcInicioPrecioComp+2),"")</f>
        <v/>
      </c>
      <c r="E44" s="93" t="str">
        <f>IFERROR(INDEX(PrecioCompetencia!FcDetalle,MATCH(CONCATENATE($A$7,"FLG"),PrecioCompetencia!FcClave,0),FcInicioPrecioComp+3),"")</f>
        <v/>
      </c>
      <c r="F44" s="93" t="str">
        <f>IFERROR(INDEX(PrecioCompetencia!FcDetalle,MATCH(CONCATENATE($A$7,"FLG"),PrecioCompetencia!FcClave,0),FcInicioPrecioComp+4),"")</f>
        <v/>
      </c>
      <c r="G44" s="93" t="str">
        <f>IFERROR(INDEX(PrecioCompetencia!FcDetalle,MATCH(CONCATENATE($A$7,"FLG"),PrecioCompetencia!FcClave,0),FcInicioPrecioComp+5),"")</f>
        <v/>
      </c>
      <c r="H44" s="93" t="str">
        <f>IFERROR(INDEX(PrecioCompetencia!FcDetalle,MATCH(CONCATENATE($A$7,"FLG"),PrecioCompetencia!FcClave,0),FcInicioPrecioComp+6),"")</f>
        <v/>
      </c>
      <c r="I44" s="93" t="str">
        <f>IFERROR(INDEX(PrecioCompetencia!FcDetalle,MATCH(CONCATENATE($A$7,"FLG"),PrecioCompetencia!FcClave,0),FcInicioPrecioComp+7),"")</f>
        <v/>
      </c>
      <c r="J44" s="93" t="str">
        <f>IFERROR(INDEX(PrecioCompetencia!FcDetalle,MATCH(CONCATENATE($A$7,"FLG"),PrecioCompetencia!FcClave,0),FcInicioPrecioComp+8),"")</f>
        <v/>
      </c>
      <c r="K44" s="93" t="str">
        <f>IFERROR(INDEX(PrecioCompetencia!FcDetalle,MATCH(CONCATENATE($A$7,"FLG"),PrecioCompetencia!FcClave,0),FcInicioPrecioComp+9),"")</f>
        <v/>
      </c>
      <c r="L44" s="93" t="str">
        <f>IFERROR(INDEX(PrecioCompetencia!FcDetalle,MATCH(CONCATENATE($A$7,"FLG"),PrecioCompetencia!FcClave,0),FcInicioPrecioComp+10),"")</f>
        <v/>
      </c>
      <c r="M44" s="93" t="str">
        <f>IFERROR(INDEX(PrecioCompetencia!FcDetalle,MATCH(CONCATENATE($A$7,"FLG"),PrecioCompetencia!FcClave,0),FcInicioPrecioComp+11),"")</f>
        <v/>
      </c>
      <c r="N44" s="94" t="str">
        <f>IFERROR(INDEX(PrecioCompetencia!FcDetalle,MATCH(CONCATENATE($A$7,"FLG"),PrecioCompetencia!FcClave,0),FcInicioPrecioComp+12),"")</f>
        <v/>
      </c>
      <c r="O44" s="12"/>
      <c r="P44" s="1"/>
      <c r="Q44" s="1"/>
      <c r="R44" s="1"/>
      <c r="S44" s="1"/>
      <c r="T44" s="1"/>
      <c r="U44" s="1"/>
      <c r="V44" s="1"/>
    </row>
    <row r="45" spans="1:22" ht="15" customHeight="1" x14ac:dyDescent="0.2">
      <c r="A45" s="92" t="s">
        <v>46</v>
      </c>
      <c r="B45" s="93" t="str">
        <f>IFERROR(INDEX(PrecioCompetencia!FcDetalle,MATCH(CONCATENATE($A$7,"WBUS"),PrecioCompetencia!FcClave,0),FcInicioPrecioComp+0),"")</f>
        <v/>
      </c>
      <c r="C45" s="93" t="str">
        <f>IFERROR(INDEX(PrecioCompetencia!FcDetalle,MATCH(CONCATENATE($A$7,"WBUS"),PrecioCompetencia!FcClave,0),FcInicioPrecioComp+1),"")</f>
        <v/>
      </c>
      <c r="D45" s="93" t="str">
        <f>IFERROR(INDEX(PrecioCompetencia!FcDetalle,MATCH(CONCATENATE($A$7,"WBUS"),PrecioCompetencia!FcClave,0),FcInicioPrecioComp+2),"")</f>
        <v/>
      </c>
      <c r="E45" s="93" t="str">
        <f>IFERROR(INDEX(PrecioCompetencia!FcDetalle,MATCH(CONCATENATE($A$7,"WBUS"),PrecioCompetencia!FcClave,0),FcInicioPrecioComp+3),"")</f>
        <v/>
      </c>
      <c r="F45" s="93" t="str">
        <f>IFERROR(INDEX(PrecioCompetencia!FcDetalle,MATCH(CONCATENATE($A$7,"WBUS"),PrecioCompetencia!FcClave,0),FcInicioPrecioComp+4),"")</f>
        <v/>
      </c>
      <c r="G45" s="93" t="str">
        <f>IFERROR(INDEX(PrecioCompetencia!FcDetalle,MATCH(CONCATENATE($A$7,"WBUS"),PrecioCompetencia!FcClave,0),FcInicioPrecioComp+5),"")</f>
        <v/>
      </c>
      <c r="H45" s="93" t="str">
        <f>IFERROR(INDEX(PrecioCompetencia!FcDetalle,MATCH(CONCATENATE($A$7,"WBUS"),PrecioCompetencia!FcClave,0),FcInicioPrecioComp+6),"")</f>
        <v/>
      </c>
      <c r="I45" s="93" t="str">
        <f>IFERROR(INDEX(PrecioCompetencia!FcDetalle,MATCH(CONCATENATE($A$7,"WBUS"),PrecioCompetencia!FcClave,0),FcInicioPrecioComp+7),"")</f>
        <v/>
      </c>
      <c r="J45" s="93" t="str">
        <f>IFERROR(INDEX(PrecioCompetencia!FcDetalle,MATCH(CONCATENATE($A$7,"WBUS"),PrecioCompetencia!FcClave,0),FcInicioPrecioComp+8),"")</f>
        <v/>
      </c>
      <c r="K45" s="93" t="str">
        <f>IFERROR(INDEX(PrecioCompetencia!FcDetalle,MATCH(CONCATENATE($A$7,"WBUS"),PrecioCompetencia!FcClave,0),FcInicioPrecioComp+9),"")</f>
        <v/>
      </c>
      <c r="L45" s="93" t="str">
        <f>IFERROR(INDEX(PrecioCompetencia!FcDetalle,MATCH(CONCATENATE($A$7,"WBUS"),PrecioCompetencia!FcClave,0),FcInicioPrecioComp+10),"")</f>
        <v/>
      </c>
      <c r="M45" s="93" t="str">
        <f>IFERROR(INDEX(PrecioCompetencia!FcDetalle,MATCH(CONCATENATE($A$7,"WBUS"),PrecioCompetencia!FcClave,0),FcInicioPrecioComp+11),"")</f>
        <v/>
      </c>
      <c r="N45" s="94" t="str">
        <f>IFERROR(INDEX(PrecioCompetencia!FcDetalle,MATCH(CONCATENATE($A$7,"WBUS"),PrecioCompetencia!FcClave,0),FcInicioPrecioComp+12),"")</f>
        <v/>
      </c>
      <c r="O45" s="11"/>
      <c r="P45" s="1"/>
      <c r="Q45" s="1"/>
      <c r="R45" s="1"/>
      <c r="S45" s="1"/>
      <c r="T45" s="1"/>
      <c r="U45" s="1"/>
      <c r="V45" s="1"/>
    </row>
    <row r="46" spans="1:22" ht="15" customHeight="1" x14ac:dyDescent="0.2">
      <c r="A46" s="92" t="s">
        <v>19</v>
      </c>
      <c r="B46" s="93" t="str">
        <f>IFERROR(INDEX(PrecioCompetencia!FcDetalle,MATCH(CONCATENATE($A$7,"SAKU"),PrecioCompetencia!FcClave,0),FcInicioPrecioComp+0),"")</f>
        <v/>
      </c>
      <c r="C46" s="93" t="str">
        <f>IFERROR(INDEX(PrecioCompetencia!FcDetalle,MATCH(CONCATENATE($A$7,"SAKU"),PrecioCompetencia!FcClave,0),FcInicioPrecioComp+1),"")</f>
        <v/>
      </c>
      <c r="D46" s="93" t="str">
        <f>IFERROR(INDEX(PrecioCompetencia!FcDetalle,MATCH(CONCATENATE($A$7,"SAKU"),PrecioCompetencia!FcClave,0),FcInicioPrecioComp+2),"")</f>
        <v/>
      </c>
      <c r="E46" s="93" t="str">
        <f>IFERROR(INDEX(PrecioCompetencia!FcDetalle,MATCH(CONCATENATE($A$7,"SAKU"),PrecioCompetencia!FcClave,0),FcInicioPrecioComp+3),"")</f>
        <v/>
      </c>
      <c r="F46" s="93" t="str">
        <f>IFERROR(INDEX(PrecioCompetencia!FcDetalle,MATCH(CONCATENATE($A$7,"SAKU"),PrecioCompetencia!FcClave,0),FcInicioPrecioComp+4),"")</f>
        <v/>
      </c>
      <c r="G46" s="93" t="str">
        <f>IFERROR(INDEX(PrecioCompetencia!FcDetalle,MATCH(CONCATENATE($A$7,"SAKU"),PrecioCompetencia!FcClave,0),FcInicioPrecioComp+5),"")</f>
        <v/>
      </c>
      <c r="H46" s="93" t="str">
        <f>IFERROR(INDEX(PrecioCompetencia!FcDetalle,MATCH(CONCATENATE($A$7,"SAKU"),PrecioCompetencia!FcClave,0),FcInicioPrecioComp+6),"")</f>
        <v/>
      </c>
      <c r="I46" s="93" t="str">
        <f>IFERROR(INDEX(PrecioCompetencia!FcDetalle,MATCH(CONCATENATE($A$7,"SAKU"),PrecioCompetencia!FcClave,0),FcInicioPrecioComp+7),"")</f>
        <v/>
      </c>
      <c r="J46" s="93" t="str">
        <f>IFERROR(INDEX(PrecioCompetencia!FcDetalle,MATCH(CONCATENATE($A$7,"SAKU"),PrecioCompetencia!FcClave,0),FcInicioPrecioComp+8),"")</f>
        <v/>
      </c>
      <c r="K46" s="93" t="str">
        <f>IFERROR(INDEX(PrecioCompetencia!FcDetalle,MATCH(CONCATENATE($A$7,"SAKU"),PrecioCompetencia!FcClave,0),FcInicioPrecioComp+9),"")</f>
        <v/>
      </c>
      <c r="L46" s="93" t="str">
        <f>IFERROR(INDEX(PrecioCompetencia!FcDetalle,MATCH(CONCATENATE($A$7,"SAKU"),PrecioCompetencia!FcClave,0),FcInicioPrecioComp+10),"")</f>
        <v/>
      </c>
      <c r="M46" s="93" t="str">
        <f>IFERROR(INDEX(PrecioCompetencia!FcDetalle,MATCH(CONCATENATE($A$7,"SAKU"),PrecioCompetencia!FcClave,0),FcInicioPrecioComp+11),"")</f>
        <v/>
      </c>
      <c r="N46" s="94" t="str">
        <f>IFERROR(INDEX(PrecioCompetencia!FcDetalle,MATCH(CONCATENATE($A$7,"SAKU"),PrecioCompetencia!FcClave,0),FcInicioPrecioComp+12),"")</f>
        <v/>
      </c>
      <c r="O46" s="12"/>
      <c r="P46" s="1"/>
      <c r="Q46" s="1"/>
      <c r="R46" s="1"/>
      <c r="S46" s="1"/>
      <c r="T46" s="1"/>
      <c r="U46" s="1"/>
      <c r="V46" s="1"/>
    </row>
    <row r="47" spans="1:22" ht="15" customHeight="1" x14ac:dyDescent="0.2">
      <c r="A47" s="92" t="s">
        <v>28</v>
      </c>
      <c r="B47" s="93" t="str">
        <f>IFERROR(INDEX(PrecioCompetencia!FcDetalle,MATCH(CONCATENATE($A$7,"RENU"),PrecioCompetencia!FcClave,0),FcInicioPrecioComp+0),"")</f>
        <v/>
      </c>
      <c r="C47" s="93" t="str">
        <f>IFERROR(INDEX(PrecioCompetencia!FcDetalle,MATCH(CONCATENATE($A$7,"RENU"),PrecioCompetencia!FcClave,0),FcInicioPrecioComp+1),"")</f>
        <v/>
      </c>
      <c r="D47" s="93" t="str">
        <f>IFERROR(INDEX(PrecioCompetencia!FcDetalle,MATCH(CONCATENATE($A$7,"RENU"),PrecioCompetencia!FcClave,0),FcInicioPrecioComp+2),"")</f>
        <v/>
      </c>
      <c r="E47" s="93" t="str">
        <f>IFERROR(INDEX(PrecioCompetencia!FcDetalle,MATCH(CONCATENATE($A$7,"RENU"),PrecioCompetencia!FcClave,0),FcInicioPrecioComp+3),"")</f>
        <v/>
      </c>
      <c r="F47" s="93" t="str">
        <f>IFERROR(INDEX(PrecioCompetencia!FcDetalle,MATCH(CONCATENATE($A$7,"RENU"),PrecioCompetencia!FcClave,0),FcInicioPrecioComp+4),"")</f>
        <v/>
      </c>
      <c r="G47" s="93" t="str">
        <f>IFERROR(INDEX(PrecioCompetencia!FcDetalle,MATCH(CONCATENATE($A$7,"RENU"),PrecioCompetencia!FcClave,0),FcInicioPrecioComp+5),"")</f>
        <v/>
      </c>
      <c r="H47" s="93" t="str">
        <f>IFERROR(INDEX(PrecioCompetencia!FcDetalle,MATCH(CONCATENATE($A$7,"RENU"),PrecioCompetencia!FcClave,0),FcInicioPrecioComp+6),"")</f>
        <v/>
      </c>
      <c r="I47" s="93" t="str">
        <f>IFERROR(INDEX(PrecioCompetencia!FcDetalle,MATCH(CONCATENATE($A$7,"RENU"),PrecioCompetencia!FcClave,0),FcInicioPrecioComp+7),"")</f>
        <v/>
      </c>
      <c r="J47" s="93" t="str">
        <f>IFERROR(INDEX(PrecioCompetencia!FcDetalle,MATCH(CONCATENATE($A$7,"RENU"),PrecioCompetencia!FcClave,0),FcInicioPrecioComp+8),"")</f>
        <v/>
      </c>
      <c r="K47" s="93" t="str">
        <f>IFERROR(INDEX(PrecioCompetencia!FcDetalle,MATCH(CONCATENATE($A$7,"RENU"),PrecioCompetencia!FcClave,0),FcInicioPrecioComp+9),"")</f>
        <v/>
      </c>
      <c r="L47" s="93" t="str">
        <f>IFERROR(INDEX(PrecioCompetencia!FcDetalle,MATCH(CONCATENATE($A$7,"RENU"),PrecioCompetencia!FcClave,0),FcInicioPrecioComp+10),"")</f>
        <v/>
      </c>
      <c r="M47" s="93" t="str">
        <f>IFERROR(INDEX(PrecioCompetencia!FcDetalle,MATCH(CONCATENATE($A$7,"RENU"),PrecioCompetencia!FcClave,0),FcInicioPrecioComp+11),"")</f>
        <v/>
      </c>
      <c r="N47" s="94" t="str">
        <f>IFERROR(INDEX(PrecioCompetencia!FcDetalle,MATCH(CONCATENATE($A$7,"RENU"),PrecioCompetencia!FcClave,0),FcInicioPrecioComp+12),"")</f>
        <v/>
      </c>
      <c r="O47" s="12"/>
      <c r="P47" s="1"/>
      <c r="Q47" s="1"/>
      <c r="R47" s="1"/>
      <c r="S47" s="1"/>
      <c r="T47" s="1"/>
      <c r="U47" s="1"/>
      <c r="V47" s="1"/>
    </row>
    <row r="48" spans="1:22" ht="15" customHeight="1" x14ac:dyDescent="0.2">
      <c r="A48" s="92" t="s">
        <v>15</v>
      </c>
      <c r="B48" s="93" t="str">
        <f>IFERROR(INDEX(PrecioCompetencia!FcDetalle,MATCH(CONCATENATE($A$7,"1575"),PrecioCompetencia!FcClave,0),FcInicioPrecioComp+0),"")</f>
        <v/>
      </c>
      <c r="C48" s="93" t="str">
        <f>IFERROR(INDEX(PrecioCompetencia!FcDetalle,MATCH(CONCATENATE($A$7,"1575"),PrecioCompetencia!FcClave,0),FcInicioPrecioComp+1),"")</f>
        <v/>
      </c>
      <c r="D48" s="93" t="str">
        <f>IFERROR(INDEX(PrecioCompetencia!FcDetalle,MATCH(CONCATENATE($A$7,"1575"),PrecioCompetencia!FcClave,0),FcInicioPrecioComp+2),"")</f>
        <v/>
      </c>
      <c r="E48" s="93" t="str">
        <f>IFERROR(INDEX(PrecioCompetencia!FcDetalle,MATCH(CONCATENATE($A$7,"1575"),PrecioCompetencia!FcClave,0),FcInicioPrecioComp+3),"")</f>
        <v/>
      </c>
      <c r="F48" s="93" t="str">
        <f>IFERROR(INDEX(PrecioCompetencia!FcDetalle,MATCH(CONCATENATE($A$7,"1575"),PrecioCompetencia!FcClave,0),FcInicioPrecioComp+4),"")</f>
        <v/>
      </c>
      <c r="G48" s="93" t="str">
        <f>IFERROR(INDEX(PrecioCompetencia!FcDetalle,MATCH(CONCATENATE($A$7,"1575"),PrecioCompetencia!FcClave,0),FcInicioPrecioComp+5),"")</f>
        <v/>
      </c>
      <c r="H48" s="93" t="str">
        <f>IFERROR(INDEX(PrecioCompetencia!FcDetalle,MATCH(CONCATENATE($A$7,"1575"),PrecioCompetencia!FcClave,0),FcInicioPrecioComp+6),"")</f>
        <v/>
      </c>
      <c r="I48" s="93" t="str">
        <f>IFERROR(INDEX(PrecioCompetencia!FcDetalle,MATCH(CONCATENATE($A$7,"1575"),PrecioCompetencia!FcClave,0),FcInicioPrecioComp+7),"")</f>
        <v/>
      </c>
      <c r="J48" s="93" t="str">
        <f>IFERROR(INDEX(PrecioCompetencia!FcDetalle,MATCH(CONCATENATE($A$7,"1575"),PrecioCompetencia!FcClave,0),FcInicioPrecioComp+8),"")</f>
        <v/>
      </c>
      <c r="K48" s="93" t="str">
        <f>IFERROR(INDEX(PrecioCompetencia!FcDetalle,MATCH(CONCATENATE($A$7,"1575"),PrecioCompetencia!FcClave,0),FcInicioPrecioComp+9),"")</f>
        <v/>
      </c>
      <c r="L48" s="93" t="str">
        <f>IFERROR(INDEX(PrecioCompetencia!FcDetalle,MATCH(CONCATENATE($A$7,"1575"),PrecioCompetencia!FcClave,0),FcInicioPrecioComp+10),"")</f>
        <v/>
      </c>
      <c r="M48" s="93" t="str">
        <f>IFERROR(INDEX(PrecioCompetencia!FcDetalle,MATCH(CONCATENATE($A$7,"1575"),PrecioCompetencia!FcClave,0),FcInicioPrecioComp+11),"")</f>
        <v/>
      </c>
      <c r="N48" s="94" t="str">
        <f>IFERROR(INDEX(PrecioCompetencia!FcDetalle,MATCH(CONCATENATE($A$7,"1575"),PrecioCompetencia!FcClave,0),FcInicioPrecioComp+12),"")</f>
        <v/>
      </c>
      <c r="O48" s="12"/>
      <c r="P48" s="1"/>
      <c r="Q48" s="1"/>
      <c r="R48" s="1"/>
      <c r="S48" s="1"/>
      <c r="T48" s="1"/>
      <c r="U48" s="1"/>
      <c r="V48" s="1"/>
    </row>
    <row r="49" spans="1:22" ht="15" customHeight="1" x14ac:dyDescent="0.2">
      <c r="A49" s="92" t="s">
        <v>16</v>
      </c>
      <c r="B49" s="93" t="str">
        <f>IFERROR(INDEX(PrecioCompetencia!FcDetalle,MATCH(CONCATENATE($A$7,"FILW"),PrecioCompetencia!FcClave,0),FcInicioPrecioComp+0),"")</f>
        <v/>
      </c>
      <c r="C49" s="93" t="str">
        <f>IFERROR(INDEX(PrecioCompetencia!FcDetalle,MATCH(CONCATENATE($A$7,"FILW"),PrecioCompetencia!FcClave,0),FcInicioPrecioComp+1),"")</f>
        <v/>
      </c>
      <c r="D49" s="93" t="str">
        <f>IFERROR(INDEX(PrecioCompetencia!FcDetalle,MATCH(CONCATENATE($A$7,"FILW"),PrecioCompetencia!FcClave,0),FcInicioPrecioComp+2),"")</f>
        <v/>
      </c>
      <c r="E49" s="93" t="str">
        <f>IFERROR(INDEX(PrecioCompetencia!FcDetalle,MATCH(CONCATENATE($A$7,"FILW"),PrecioCompetencia!FcClave,0),FcInicioPrecioComp+3),"")</f>
        <v/>
      </c>
      <c r="F49" s="93" t="str">
        <f>IFERROR(INDEX(PrecioCompetencia!FcDetalle,MATCH(CONCATENATE($A$7,"FILW"),PrecioCompetencia!FcClave,0),FcInicioPrecioComp+4),"")</f>
        <v/>
      </c>
      <c r="G49" s="93" t="str">
        <f>IFERROR(INDEX(PrecioCompetencia!FcDetalle,MATCH(CONCATENATE($A$7,"FILW"),PrecioCompetencia!FcClave,0),FcInicioPrecioComp+5),"")</f>
        <v/>
      </c>
      <c r="H49" s="93" t="str">
        <f>IFERROR(INDEX(PrecioCompetencia!FcDetalle,MATCH(CONCATENATE($A$7,"FILW"),PrecioCompetencia!FcClave,0),FcInicioPrecioComp+6),"")</f>
        <v/>
      </c>
      <c r="I49" s="93" t="str">
        <f>IFERROR(INDEX(PrecioCompetencia!FcDetalle,MATCH(CONCATENATE($A$7,"FILW"),PrecioCompetencia!FcClave,0),FcInicioPrecioComp+7),"")</f>
        <v/>
      </c>
      <c r="J49" s="93" t="str">
        <f>IFERROR(INDEX(PrecioCompetencia!FcDetalle,MATCH(CONCATENATE($A$7,"FILW"),PrecioCompetencia!FcClave,0),FcInicioPrecioComp+8),"")</f>
        <v/>
      </c>
      <c r="K49" s="93" t="str">
        <f>IFERROR(INDEX(PrecioCompetencia!FcDetalle,MATCH(CONCATENATE($A$7,"FILW"),PrecioCompetencia!FcClave,0),FcInicioPrecioComp+9),"")</f>
        <v/>
      </c>
      <c r="L49" s="93" t="str">
        <f>IFERROR(INDEX(PrecioCompetencia!FcDetalle,MATCH(CONCATENATE($A$7,"FILW"),PrecioCompetencia!FcClave,0),FcInicioPrecioComp+10),"")</f>
        <v/>
      </c>
      <c r="M49" s="93" t="str">
        <f>IFERROR(INDEX(PrecioCompetencia!FcDetalle,MATCH(CONCATENATE($A$7,"FILW"),PrecioCompetencia!FcClave,0),FcInicioPrecioComp+11),"")</f>
        <v/>
      </c>
      <c r="N49" s="94" t="str">
        <f>IFERROR(INDEX(PrecioCompetencia!FcDetalle,MATCH(CONCATENATE($A$7,"FILW"),PrecioCompetencia!FcClave,0),FcInicioPrecioComp+12),"")</f>
        <v/>
      </c>
      <c r="O49" s="12"/>
      <c r="P49" s="1"/>
      <c r="Q49" s="1"/>
      <c r="R49" s="1"/>
      <c r="S49" s="1"/>
      <c r="T49" s="1"/>
      <c r="U49" s="1"/>
      <c r="V49" s="1"/>
    </row>
    <row r="50" spans="1:22" ht="15" customHeight="1" x14ac:dyDescent="0.2">
      <c r="A50" s="95" t="s">
        <v>23</v>
      </c>
      <c r="B50" s="93" t="str">
        <f>IFERROR(INDEX(PrecioCompetencia!FcDetalle,MATCH(CONCATENATE($A$7,"MNHB"),PrecioCompetencia!FcClave,0),FcInicioPrecioComp+0),"")</f>
        <v/>
      </c>
      <c r="C50" s="93" t="str">
        <f>IFERROR(INDEX(PrecioCompetencia!FcDetalle,MATCH(CONCATENATE($A$7,"MNHB"),PrecioCompetencia!FcClave,0),FcInicioPrecioComp+1),"")</f>
        <v/>
      </c>
      <c r="D50" s="93" t="str">
        <f>IFERROR(INDEX(PrecioCompetencia!FcDetalle,MATCH(CONCATENATE($A$7,"MNHB"),PrecioCompetencia!FcClave,0),FcInicioPrecioComp+2),"")</f>
        <v/>
      </c>
      <c r="E50" s="93" t="str">
        <f>IFERROR(INDEX(PrecioCompetencia!FcDetalle,MATCH(CONCATENATE($A$7,"MNHB"),PrecioCompetencia!FcClave,0),FcInicioPrecioComp+3),"")</f>
        <v/>
      </c>
      <c r="F50" s="93" t="str">
        <f>IFERROR(INDEX(PrecioCompetencia!FcDetalle,MATCH(CONCATENATE($A$7,"MNHB"),PrecioCompetencia!FcClave,0),FcInicioPrecioComp+4),"")</f>
        <v/>
      </c>
      <c r="G50" s="93" t="str">
        <f>IFERROR(INDEX(PrecioCompetencia!FcDetalle,MATCH(CONCATENATE($A$7,"MNHB"),PrecioCompetencia!FcClave,0),FcInicioPrecioComp+5),"")</f>
        <v/>
      </c>
      <c r="H50" s="93" t="str">
        <f>IFERROR(INDEX(PrecioCompetencia!FcDetalle,MATCH(CONCATENATE($A$7,"MNHB"),PrecioCompetencia!FcClave,0),FcInicioPrecioComp+6),"")</f>
        <v/>
      </c>
      <c r="I50" s="93" t="str">
        <f>IFERROR(INDEX(PrecioCompetencia!FcDetalle,MATCH(CONCATENATE($A$7,"MNHB"),PrecioCompetencia!FcClave,0),FcInicioPrecioComp+7),"")</f>
        <v/>
      </c>
      <c r="J50" s="93" t="str">
        <f>IFERROR(INDEX(PrecioCompetencia!FcDetalle,MATCH(CONCATENATE($A$7,"MNHB"),PrecioCompetencia!FcClave,0),FcInicioPrecioComp+8),"")</f>
        <v/>
      </c>
      <c r="K50" s="93" t="str">
        <f>IFERROR(INDEX(PrecioCompetencia!FcDetalle,MATCH(CONCATENATE($A$7,"MNHB"),PrecioCompetencia!FcClave,0),FcInicioPrecioComp+9),"")</f>
        <v/>
      </c>
      <c r="L50" s="93" t="str">
        <f>IFERROR(INDEX(PrecioCompetencia!FcDetalle,MATCH(CONCATENATE($A$7,"MNHB"),PrecioCompetencia!FcClave,0),FcInicioPrecioComp+10),"")</f>
        <v/>
      </c>
      <c r="M50" s="93" t="str">
        <f>IFERROR(INDEX(PrecioCompetencia!FcDetalle,MATCH(CONCATENATE($A$7,"MNHB"),PrecioCompetencia!FcClave,0),FcInicioPrecioComp+11),"")</f>
        <v/>
      </c>
      <c r="N50" s="94" t="str">
        <f>IFERROR(INDEX(PrecioCompetencia!FcDetalle,MATCH(CONCATENATE($A$7,"MNHB"),PrecioCompetencia!FcClave,0),FcInicioPrecioComp+12),"")</f>
        <v/>
      </c>
      <c r="O50" s="12"/>
      <c r="P50" s="1"/>
      <c r="Q50" s="1"/>
      <c r="R50" s="1"/>
      <c r="S50" s="1"/>
      <c r="T50" s="1"/>
      <c r="U50" s="1"/>
      <c r="V50" s="1"/>
    </row>
    <row r="51" spans="1:22" ht="15" customHeight="1" x14ac:dyDescent="0.2">
      <c r="A51" s="95" t="s">
        <v>64</v>
      </c>
      <c r="B51" s="93" t="str">
        <f>IFERROR(INDEX(PrecioCompetencia!FcDetalle,MATCH(CONCATENATE($A$7,"BDW"),PrecioCompetencia!FcClave,0),FcInicioPrecioComp+0),"")</f>
        <v/>
      </c>
      <c r="C51" s="93" t="str">
        <f>IFERROR(INDEX(PrecioCompetencia!FcDetalle,MATCH(CONCATENATE($A$7,"BDW"),PrecioCompetencia!FcClave,0),FcInicioPrecioComp+1),"")</f>
        <v/>
      </c>
      <c r="D51" s="93" t="str">
        <f>IFERROR(INDEX(PrecioCompetencia!FcDetalle,MATCH(CONCATENATE($A$7,"BDW"),PrecioCompetencia!FcClave,0),FcInicioPrecioComp+2),"")</f>
        <v/>
      </c>
      <c r="E51" s="93" t="str">
        <f>IFERROR(INDEX(PrecioCompetencia!FcDetalle,MATCH(CONCATENATE($A$7,"BDW"),PrecioCompetencia!FcClave,0),FcInicioPrecioComp+3),"")</f>
        <v/>
      </c>
      <c r="F51" s="93" t="str">
        <f>IFERROR(INDEX(PrecioCompetencia!FcDetalle,MATCH(CONCATENATE($A$7,"BDW"),PrecioCompetencia!FcClave,0),FcInicioPrecioComp+4),"")</f>
        <v/>
      </c>
      <c r="G51" s="93" t="str">
        <f>IFERROR(INDEX(PrecioCompetencia!FcDetalle,MATCH(CONCATENATE($A$7,"BDW"),PrecioCompetencia!FcClave,0),FcInicioPrecioComp+5),"")</f>
        <v/>
      </c>
      <c r="H51" s="93" t="str">
        <f>IFERROR(INDEX(PrecioCompetencia!FcDetalle,MATCH(CONCATENATE($A$7,"BDW"),PrecioCompetencia!FcClave,0),FcInicioPrecioComp+6),"")</f>
        <v/>
      </c>
      <c r="I51" s="93" t="str">
        <f>IFERROR(INDEX(PrecioCompetencia!FcDetalle,MATCH(CONCATENATE($A$7,"BDW"),PrecioCompetencia!FcClave,0),FcInicioPrecioComp+7),"")</f>
        <v/>
      </c>
      <c r="J51" s="93" t="str">
        <f>IFERROR(INDEX(PrecioCompetencia!FcDetalle,MATCH(CONCATENATE($A$7,"BDW"),PrecioCompetencia!FcClave,0),FcInicioPrecioComp+8),"")</f>
        <v/>
      </c>
      <c r="K51" s="93" t="str">
        <f>IFERROR(INDEX(PrecioCompetencia!FcDetalle,MATCH(CONCATENATE($A$7,"BDW"),PrecioCompetencia!FcClave,0),FcInicioPrecioComp+9),"")</f>
        <v/>
      </c>
      <c r="L51" s="93" t="str">
        <f>IFERROR(INDEX(PrecioCompetencia!FcDetalle,MATCH(CONCATENATE($A$7,"BDW"),PrecioCompetencia!FcClave,0),FcInicioPrecioComp+10),"")</f>
        <v/>
      </c>
      <c r="M51" s="93" t="str">
        <f>IFERROR(INDEX(PrecioCompetencia!FcDetalle,MATCH(CONCATENATE($A$7,"BDW"),PrecioCompetencia!FcClave,0),FcInicioPrecioComp+11),"")</f>
        <v/>
      </c>
      <c r="N51" s="94" t="str">
        <f>IFERROR(INDEX(PrecioCompetencia!FcDetalle,MATCH(CONCATENATE($A$7,"BDW"),PrecioCompetencia!FcClave,0),FcInicioPrecioComp+12),"")</f>
        <v/>
      </c>
      <c r="O51" s="12"/>
      <c r="P51" s="1"/>
      <c r="Q51" s="1"/>
      <c r="R51" s="1"/>
      <c r="S51" s="1"/>
      <c r="T51" s="1"/>
      <c r="U51" s="1"/>
      <c r="V51" s="1"/>
    </row>
    <row r="52" spans="1:22" ht="15" customHeight="1" x14ac:dyDescent="0.2">
      <c r="A52" s="92" t="s">
        <v>50</v>
      </c>
      <c r="B52" s="93" t="str">
        <f>IFERROR(INDEX(PrecioCompetencia!FcDetalle,MATCH(CONCATENATE($A$7,"LUF"),PrecioCompetencia!FcClave,0),FcInicioPrecioComp+0),"")</f>
        <v/>
      </c>
      <c r="C52" s="93" t="str">
        <f>IFERROR(INDEX(PrecioCompetencia!FcDetalle,MATCH(CONCATENATE($A$7,"LUF"),PrecioCompetencia!FcClave,0),FcInicioPrecioComp+1),"")</f>
        <v/>
      </c>
      <c r="D52" s="93" t="str">
        <f>IFERROR(INDEX(PrecioCompetencia!FcDetalle,MATCH(CONCATENATE($A$7,"LUF"),PrecioCompetencia!FcClave,0),FcInicioPrecioComp+2),"")</f>
        <v/>
      </c>
      <c r="E52" s="93" t="str">
        <f>IFERROR(INDEX(PrecioCompetencia!FcDetalle,MATCH(CONCATENATE($A$7,"LUF"),PrecioCompetencia!FcClave,0),FcInicioPrecioComp+3),"")</f>
        <v/>
      </c>
      <c r="F52" s="93" t="str">
        <f>IFERROR(INDEX(PrecioCompetencia!FcDetalle,MATCH(CONCATENATE($A$7,"LUF"),PrecioCompetencia!FcClave,0),FcInicioPrecioComp+4),"")</f>
        <v/>
      </c>
      <c r="G52" s="93" t="str">
        <f>IFERROR(INDEX(PrecioCompetencia!FcDetalle,MATCH(CONCATENATE($A$7,"LUF"),PrecioCompetencia!FcClave,0),FcInicioPrecioComp+5),"")</f>
        <v/>
      </c>
      <c r="H52" s="93" t="str">
        <f>IFERROR(INDEX(PrecioCompetencia!FcDetalle,MATCH(CONCATENATE($A$7,"LUF"),PrecioCompetencia!FcClave,0),FcInicioPrecioComp+6),"")</f>
        <v/>
      </c>
      <c r="I52" s="93" t="str">
        <f>IFERROR(INDEX(PrecioCompetencia!FcDetalle,MATCH(CONCATENATE($A$7,"LUF"),PrecioCompetencia!FcClave,0),FcInicioPrecioComp+7),"")</f>
        <v/>
      </c>
      <c r="J52" s="93" t="str">
        <f>IFERROR(INDEX(PrecioCompetencia!FcDetalle,MATCH(CONCATENATE($A$7,"LUF"),PrecioCompetencia!FcClave,0),FcInicioPrecioComp+8),"")</f>
        <v/>
      </c>
      <c r="K52" s="93" t="str">
        <f>IFERROR(INDEX(PrecioCompetencia!FcDetalle,MATCH(CONCATENATE($A$7,"LUF"),PrecioCompetencia!FcClave,0),FcInicioPrecioComp+9),"")</f>
        <v/>
      </c>
      <c r="L52" s="93" t="str">
        <f>IFERROR(INDEX(PrecioCompetencia!FcDetalle,MATCH(CONCATENATE($A$7,"LUF"),PrecioCompetencia!FcClave,0),FcInicioPrecioComp+10),"")</f>
        <v/>
      </c>
      <c r="M52" s="93" t="str">
        <f>IFERROR(INDEX(PrecioCompetencia!FcDetalle,MATCH(CONCATENATE($A$7,"LUF"),PrecioCompetencia!FcClave,0),FcInicioPrecioComp+11),"")</f>
        <v/>
      </c>
      <c r="N52" s="94" t="str">
        <f>IFERROR(INDEX(PrecioCompetencia!FcDetalle,MATCH(CONCATENATE($A$7,"LUF"),PrecioCompetencia!FcClave,0),FcInicioPrecioComp+12),"")</f>
        <v/>
      </c>
      <c r="O52" s="12"/>
      <c r="P52" s="1"/>
      <c r="Q52" s="1"/>
      <c r="R52" s="1"/>
      <c r="S52" s="1"/>
      <c r="T52" s="1"/>
      <c r="U52" s="1"/>
      <c r="V52" s="1"/>
    </row>
    <row r="53" spans="1:22" ht="15" customHeight="1" x14ac:dyDescent="0.2">
      <c r="A53" s="92" t="s">
        <v>70</v>
      </c>
      <c r="B53" s="93" t="str">
        <f>IFERROR(INDEX(PrecioCompetencia!FcDetalle,MATCH(CONCATENATE($A$7,"DARM"),PrecioCompetencia!FcClave,0),FcInicioPrecioComp+0),"")</f>
        <v/>
      </c>
      <c r="C53" s="93" t="str">
        <f>IFERROR(INDEX(PrecioCompetencia!FcDetalle,MATCH(CONCATENATE($A$7,"DARM"),PrecioCompetencia!FcClave,0),FcInicioPrecioComp+1),"")</f>
        <v/>
      </c>
      <c r="D53" s="93" t="str">
        <f>IFERROR(INDEX(PrecioCompetencia!FcDetalle,MATCH(CONCATENATE($A$7,"DARM"),PrecioCompetencia!FcClave,0),FcInicioPrecioComp+2),"")</f>
        <v/>
      </c>
      <c r="E53" s="93" t="str">
        <f>IFERROR(INDEX(PrecioCompetencia!FcDetalle,MATCH(CONCATENATE($A$7,"DARM"),PrecioCompetencia!FcClave,0),FcInicioPrecioComp+3),"")</f>
        <v/>
      </c>
      <c r="F53" s="93" t="str">
        <f>IFERROR(INDEX(PrecioCompetencia!FcDetalle,MATCH(CONCATENATE($A$7,"DARM"),PrecioCompetencia!FcClave,0),FcInicioPrecioComp+4),"")</f>
        <v/>
      </c>
      <c r="G53" s="93" t="str">
        <f>IFERROR(INDEX(PrecioCompetencia!FcDetalle,MATCH(CONCATENATE($A$7,"DARM"),PrecioCompetencia!FcClave,0),FcInicioPrecioComp+5),"")</f>
        <v/>
      </c>
      <c r="H53" s="93" t="str">
        <f>IFERROR(INDEX(PrecioCompetencia!FcDetalle,MATCH(CONCATENATE($A$7,"DARM"),PrecioCompetencia!FcClave,0),FcInicioPrecioComp+6),"")</f>
        <v/>
      </c>
      <c r="I53" s="93" t="str">
        <f>IFERROR(INDEX(PrecioCompetencia!FcDetalle,MATCH(CONCATENATE($A$7,"DARM"),PrecioCompetencia!FcClave,0),FcInicioPrecioComp+7),"")</f>
        <v/>
      </c>
      <c r="J53" s="93" t="str">
        <f>IFERROR(INDEX(PrecioCompetencia!FcDetalle,MATCH(CONCATENATE($A$7,"DARM"),PrecioCompetencia!FcClave,0),FcInicioPrecioComp+8),"")</f>
        <v/>
      </c>
      <c r="K53" s="93" t="str">
        <f>IFERROR(INDEX(PrecioCompetencia!FcDetalle,MATCH(CONCATENATE($A$7,"DARM"),PrecioCompetencia!FcClave,0),FcInicioPrecioComp+9),"")</f>
        <v/>
      </c>
      <c r="L53" s="93" t="str">
        <f>IFERROR(INDEX(PrecioCompetencia!FcDetalle,MATCH(CONCATENATE($A$7,"DARM"),PrecioCompetencia!FcClave,0),FcInicioPrecioComp+10),"")</f>
        <v/>
      </c>
      <c r="M53" s="93" t="str">
        <f>IFERROR(INDEX(PrecioCompetencia!FcDetalle,MATCH(CONCATENATE($A$7,"DARM"),PrecioCompetencia!FcClave,0),FcInicioPrecioComp+11),"")</f>
        <v/>
      </c>
      <c r="N53" s="94" t="str">
        <f>IFERROR(INDEX(PrecioCompetencia!FcDetalle,MATCH(CONCATENATE($A$7,"DARM"),PrecioCompetencia!FcClave,0),FcInicioPrecioComp+12),"")</f>
        <v/>
      </c>
      <c r="O53" s="12"/>
      <c r="P53" s="1"/>
      <c r="Q53" s="1"/>
      <c r="R53" s="1"/>
      <c r="S53" s="1"/>
      <c r="T53" s="1"/>
      <c r="U53" s="1"/>
      <c r="V53" s="1"/>
    </row>
    <row r="54" spans="1:22" ht="15" customHeight="1" x14ac:dyDescent="0.2">
      <c r="A54" s="95" t="s">
        <v>78</v>
      </c>
      <c r="B54" s="93" t="str">
        <f>IFERROR(INDEX(PrecioCompetencia!FcDetalle,MATCH(CONCATENATE($A$7,"FICH"),PrecioCompetencia!FcClave,0),FcInicioPrecioComp+0),"")</f>
        <v/>
      </c>
      <c r="C54" s="93" t="str">
        <f>IFERROR(INDEX(PrecioCompetencia!FcDetalle,MATCH(CONCATENATE($A$7,"FICH"),PrecioCompetencia!FcClave,0),FcInicioPrecioComp+1),"")</f>
        <v/>
      </c>
      <c r="D54" s="93" t="str">
        <f>IFERROR(INDEX(PrecioCompetencia!FcDetalle,MATCH(CONCATENATE($A$7,"FICH"),PrecioCompetencia!FcClave,0),FcInicioPrecioComp+2),"")</f>
        <v/>
      </c>
      <c r="E54" s="93" t="str">
        <f>IFERROR(INDEX(PrecioCompetencia!FcDetalle,MATCH(CONCATENATE($A$7,"FICH"),PrecioCompetencia!FcClave,0),FcInicioPrecioComp+3),"")</f>
        <v/>
      </c>
      <c r="F54" s="93" t="str">
        <f>IFERROR(INDEX(PrecioCompetencia!FcDetalle,MATCH(CONCATENATE($A$7,"FICH"),PrecioCompetencia!FcClave,0),FcInicioPrecioComp+4),"")</f>
        <v/>
      </c>
      <c r="G54" s="93" t="str">
        <f>IFERROR(INDEX(PrecioCompetencia!FcDetalle,MATCH(CONCATENATE($A$7,"FICH"),PrecioCompetencia!FcClave,0),FcInicioPrecioComp+5),"")</f>
        <v/>
      </c>
      <c r="H54" s="93" t="str">
        <f>IFERROR(INDEX(PrecioCompetencia!FcDetalle,MATCH(CONCATENATE($A$7,"FICH"),PrecioCompetencia!FcClave,0),FcInicioPrecioComp+6),"")</f>
        <v/>
      </c>
      <c r="I54" s="93" t="str">
        <f>IFERROR(INDEX(PrecioCompetencia!FcDetalle,MATCH(CONCATENATE($A$7,"FICH"),PrecioCompetencia!FcClave,0),FcInicioPrecioComp+7),"")</f>
        <v/>
      </c>
      <c r="J54" s="93" t="str">
        <f>IFERROR(INDEX(PrecioCompetencia!FcDetalle,MATCH(CONCATENATE($A$7,"FICH"),PrecioCompetencia!FcClave,0),FcInicioPrecioComp+8),"")</f>
        <v/>
      </c>
      <c r="K54" s="93" t="str">
        <f>IFERROR(INDEX(PrecioCompetencia!FcDetalle,MATCH(CONCATENATE($A$7,"FICH"),PrecioCompetencia!FcClave,0),FcInicioPrecioComp+9),"")</f>
        <v/>
      </c>
      <c r="L54" s="93" t="str">
        <f>IFERROR(INDEX(PrecioCompetencia!FcDetalle,MATCH(CONCATENATE($A$7,"FICH"),PrecioCompetencia!FcClave,0),FcInicioPrecioComp+10),"")</f>
        <v/>
      </c>
      <c r="M54" s="93" t="str">
        <f>IFERROR(INDEX(PrecioCompetencia!FcDetalle,MATCH(CONCATENATE($A$7,"FICH"),PrecioCompetencia!FcClave,0),FcInicioPrecioComp+11),"")</f>
        <v/>
      </c>
      <c r="N54" s="94" t="str">
        <f>IFERROR(INDEX(PrecioCompetencia!FcDetalle,MATCH(CONCATENATE($A$7,"FICH"),PrecioCompetencia!FcClave,0),FcInicioPrecioComp+12),"")</f>
        <v/>
      </c>
      <c r="O54" s="12"/>
      <c r="P54" s="1"/>
      <c r="Q54" s="1"/>
      <c r="R54" s="1"/>
      <c r="S54" s="1"/>
      <c r="T54" s="1"/>
      <c r="U54" s="1"/>
      <c r="V54" s="1"/>
    </row>
    <row r="55" spans="1:22" ht="15" customHeight="1" x14ac:dyDescent="0.2">
      <c r="A55" s="95" t="s">
        <v>73</v>
      </c>
      <c r="B55" s="93" t="str">
        <f>IFERROR(INDEX(PrecioCompetencia!FcDetalle,MATCH(CONCATENATE($A$7,"DON"),PrecioCompetencia!FcClave,0),FcInicioPrecioComp+0),"")</f>
        <v/>
      </c>
      <c r="C55" s="93" t="str">
        <f>IFERROR(INDEX(PrecioCompetencia!FcDetalle,MATCH(CONCATENATE($A$7,"DON"),PrecioCompetencia!FcClave,0),FcInicioPrecioComp+1),"")</f>
        <v/>
      </c>
      <c r="D55" s="93" t="str">
        <f>IFERROR(INDEX(PrecioCompetencia!FcDetalle,MATCH(CONCATENATE($A$7,"DON"),PrecioCompetencia!FcClave,0),FcInicioPrecioComp+2),"")</f>
        <v/>
      </c>
      <c r="E55" s="93" t="str">
        <f>IFERROR(INDEX(PrecioCompetencia!FcDetalle,MATCH(CONCATENATE($A$7,"DON"),PrecioCompetencia!FcClave,0),FcInicioPrecioComp+3),"")</f>
        <v/>
      </c>
      <c r="F55" s="93" t="str">
        <f>IFERROR(INDEX(PrecioCompetencia!FcDetalle,MATCH(CONCATENATE($A$7,"DON"),PrecioCompetencia!FcClave,0),FcInicioPrecioComp+4),"")</f>
        <v/>
      </c>
      <c r="G55" s="93" t="str">
        <f>IFERROR(INDEX(PrecioCompetencia!FcDetalle,MATCH(CONCATENATE($A$7,"DON"),PrecioCompetencia!FcClave,0),FcInicioPrecioComp+5),"")</f>
        <v/>
      </c>
      <c r="H55" s="93" t="str">
        <f>IFERROR(INDEX(PrecioCompetencia!FcDetalle,MATCH(CONCATENATE($A$7,"DON"),PrecioCompetencia!FcClave,0),FcInicioPrecioComp+6),"")</f>
        <v/>
      </c>
      <c r="I55" s="93" t="str">
        <f>IFERROR(INDEX(PrecioCompetencia!FcDetalle,MATCH(CONCATENATE($A$7,"DON"),PrecioCompetencia!FcClave,0),FcInicioPrecioComp+7),"")</f>
        <v/>
      </c>
      <c r="J55" s="93" t="str">
        <f>IFERROR(INDEX(PrecioCompetencia!FcDetalle,MATCH(CONCATENATE($A$7,"DON"),PrecioCompetencia!FcClave,0),FcInicioPrecioComp+8),"")</f>
        <v/>
      </c>
      <c r="K55" s="93" t="str">
        <f>IFERROR(INDEX(PrecioCompetencia!FcDetalle,MATCH(CONCATENATE($A$7,"DON"),PrecioCompetencia!FcClave,0),FcInicioPrecioComp+9),"")</f>
        <v/>
      </c>
      <c r="L55" s="93" t="str">
        <f>IFERROR(INDEX(PrecioCompetencia!FcDetalle,MATCH(CONCATENATE($A$7,"DON"),PrecioCompetencia!FcClave,0),FcInicioPrecioComp+10),"")</f>
        <v/>
      </c>
      <c r="M55" s="93" t="str">
        <f>IFERROR(INDEX(PrecioCompetencia!FcDetalle,MATCH(CONCATENATE($A$7,"DON"),PrecioCompetencia!FcClave,0),FcInicioPrecioComp+11),"")</f>
        <v/>
      </c>
      <c r="N55" s="94" t="str">
        <f>IFERROR(INDEX(PrecioCompetencia!FcDetalle,MATCH(CONCATENATE($A$7,"DON"),PrecioCompetencia!FcClave,0),FcInicioPrecioComp+12),"")</f>
        <v/>
      </c>
      <c r="O55" s="12"/>
      <c r="P55" s="1"/>
      <c r="Q55" s="1"/>
      <c r="R55" s="1"/>
      <c r="S55" s="1"/>
      <c r="T55" s="1"/>
      <c r="U55" s="1"/>
      <c r="V55" s="1"/>
    </row>
    <row r="56" spans="1:22" ht="15" customHeight="1" x14ac:dyDescent="0.2">
      <c r="A56" s="95" t="s">
        <v>63</v>
      </c>
      <c r="B56" s="93" t="str">
        <f>IFERROR(INDEX(PrecioCompetencia!FcDetalle,MATCH(CONCATENATE($A$7,"1637"),PrecioCompetencia!FcClave,0),FcInicioPrecioComp+0),"")</f>
        <v/>
      </c>
      <c r="C56" s="93" t="str">
        <f>IFERROR(INDEX(PrecioCompetencia!FcDetalle,MATCH(CONCATENATE($A$7,"1637"),PrecioCompetencia!FcClave,0),FcInicioPrecioComp+1),"")</f>
        <v/>
      </c>
      <c r="D56" s="93" t="str">
        <f>IFERROR(INDEX(PrecioCompetencia!FcDetalle,MATCH(CONCATENATE($A$7,"1637"),PrecioCompetencia!FcClave,0),FcInicioPrecioComp+2),"")</f>
        <v/>
      </c>
      <c r="E56" s="93" t="str">
        <f>IFERROR(INDEX(PrecioCompetencia!FcDetalle,MATCH(CONCATENATE($A$7,"1637"),PrecioCompetencia!FcClave,0),FcInicioPrecioComp+3),"")</f>
        <v/>
      </c>
      <c r="F56" s="93" t="str">
        <f>IFERROR(INDEX(PrecioCompetencia!FcDetalle,MATCH(CONCATENATE($A$7,"1637"),PrecioCompetencia!FcClave,0),FcInicioPrecioComp+4),"")</f>
        <v/>
      </c>
      <c r="G56" s="93" t="str">
        <f>IFERROR(INDEX(PrecioCompetencia!FcDetalle,MATCH(CONCATENATE($A$7,"1637"),PrecioCompetencia!FcClave,0),FcInicioPrecioComp+5),"")</f>
        <v/>
      </c>
      <c r="H56" s="93" t="str">
        <f>IFERROR(INDEX(PrecioCompetencia!FcDetalle,MATCH(CONCATENATE($A$7,"1637"),PrecioCompetencia!FcClave,0),FcInicioPrecioComp+6),"")</f>
        <v/>
      </c>
      <c r="I56" s="93" t="str">
        <f>IFERROR(INDEX(PrecioCompetencia!FcDetalle,MATCH(CONCATENATE($A$7,"1637"),PrecioCompetencia!FcClave,0),FcInicioPrecioComp+7),"")</f>
        <v/>
      </c>
      <c r="J56" s="93" t="str">
        <f>IFERROR(INDEX(PrecioCompetencia!FcDetalle,MATCH(CONCATENATE($A$7,"1637"),PrecioCompetencia!FcClave,0),FcInicioPrecioComp+8),"")</f>
        <v/>
      </c>
      <c r="K56" s="93" t="str">
        <f>IFERROR(INDEX(PrecioCompetencia!FcDetalle,MATCH(CONCATENATE($A$7,"1637"),PrecioCompetencia!FcClave,0),FcInicioPrecioComp+9),"")</f>
        <v/>
      </c>
      <c r="L56" s="93" t="str">
        <f>IFERROR(INDEX(PrecioCompetencia!FcDetalle,MATCH(CONCATENATE($A$7,"1637"),PrecioCompetencia!FcClave,0),FcInicioPrecioComp+10),"")</f>
        <v/>
      </c>
      <c r="M56" s="93" t="str">
        <f>IFERROR(INDEX(PrecioCompetencia!FcDetalle,MATCH(CONCATENATE($A$7,"1637"),PrecioCompetencia!FcClave,0),FcInicioPrecioComp+11),"")</f>
        <v/>
      </c>
      <c r="N56" s="94" t="str">
        <f>IFERROR(INDEX(PrecioCompetencia!FcDetalle,MATCH(CONCATENATE($A$7,"1637"),PrecioCompetencia!FcClave,0),FcInicioPrecioComp+12),"")</f>
        <v/>
      </c>
      <c r="O56" s="12"/>
      <c r="P56" s="1"/>
      <c r="Q56" s="1"/>
      <c r="R56" s="1"/>
      <c r="S56" s="1"/>
      <c r="T56" s="1"/>
      <c r="U56" s="1"/>
      <c r="V56" s="1"/>
    </row>
    <row r="57" spans="1:22" ht="15" customHeight="1" thickBot="1" x14ac:dyDescent="0.25">
      <c r="A57" s="96" t="s">
        <v>25</v>
      </c>
      <c r="B57" s="97" t="str">
        <f>IFERROR(INDEX(PrecioCompetencia!FcDetalle,MATCH(CONCATENATE($A$7,"BOG"),PrecioCompetencia!FcClave,0),FcInicioPrecioComp+0),"")</f>
        <v/>
      </c>
      <c r="C57" s="97" t="str">
        <f>IFERROR(INDEX(PrecioCompetencia!FcDetalle,MATCH(CONCATENATE($A$7,"BOG"),PrecioCompetencia!FcClave,0),FcInicioPrecioComp+1),"")</f>
        <v/>
      </c>
      <c r="D57" s="97" t="str">
        <f>IFERROR(INDEX(PrecioCompetencia!FcDetalle,MATCH(CONCATENATE($A$7,"BOG"),PrecioCompetencia!FcClave,0),FcInicioPrecioComp+2),"")</f>
        <v/>
      </c>
      <c r="E57" s="97" t="str">
        <f>IFERROR(INDEX(PrecioCompetencia!FcDetalle,MATCH(CONCATENATE($A$7,"BOG"),PrecioCompetencia!FcClave,0),FcInicioPrecioComp+3),"")</f>
        <v/>
      </c>
      <c r="F57" s="97" t="str">
        <f>IFERROR(INDEX(PrecioCompetencia!FcDetalle,MATCH(CONCATENATE($A$7,"BOG"),PrecioCompetencia!FcClave,0),FcInicioPrecioComp+4),"")</f>
        <v/>
      </c>
      <c r="G57" s="97" t="str">
        <f>IFERROR(INDEX(PrecioCompetencia!FcDetalle,MATCH(CONCATENATE($A$7,"BOG"),PrecioCompetencia!FcClave,0),FcInicioPrecioComp+5),"")</f>
        <v/>
      </c>
      <c r="H57" s="97" t="str">
        <f>IFERROR(INDEX(PrecioCompetencia!FcDetalle,MATCH(CONCATENATE($A$7,"BOG"),PrecioCompetencia!FcClave,0),FcInicioPrecioComp+6),"")</f>
        <v/>
      </c>
      <c r="I57" s="97" t="str">
        <f>IFERROR(INDEX(PrecioCompetencia!FcDetalle,MATCH(CONCATENATE($A$7,"BOG"),PrecioCompetencia!FcClave,0),FcInicioPrecioComp+7),"")</f>
        <v/>
      </c>
      <c r="J57" s="97" t="str">
        <f>IFERROR(INDEX(PrecioCompetencia!FcDetalle,MATCH(CONCATENATE($A$7,"BOG"),PrecioCompetencia!FcClave,0),FcInicioPrecioComp+8),"")</f>
        <v/>
      </c>
      <c r="K57" s="97" t="str">
        <f>IFERROR(INDEX(PrecioCompetencia!FcDetalle,MATCH(CONCATENATE($A$7,"BOG"),PrecioCompetencia!FcClave,0),FcInicioPrecioComp+9),"")</f>
        <v/>
      </c>
      <c r="L57" s="97" t="str">
        <f>IFERROR(INDEX(PrecioCompetencia!FcDetalle,MATCH(CONCATENATE($A$7,"BOG"),PrecioCompetencia!FcClave,0),FcInicioPrecioComp+10),"")</f>
        <v/>
      </c>
      <c r="M57" s="97" t="str">
        <f>IFERROR(INDEX(PrecioCompetencia!FcDetalle,MATCH(CONCATENATE($A$7,"BOG"),PrecioCompetencia!FcClave,0),FcInicioPrecioComp+11),"")</f>
        <v/>
      </c>
      <c r="N57" s="98" t="str">
        <f>IFERROR(INDEX(PrecioCompetencia!FcDetalle,MATCH(CONCATENATE($A$7,"BOG"),PrecioCompetencia!FcClave,0),FcInicioPrecioComp+12),"")</f>
        <v/>
      </c>
      <c r="O57" s="12"/>
      <c r="P57" s="1"/>
      <c r="Q57" s="1"/>
      <c r="R57" s="1"/>
      <c r="S57" s="1"/>
      <c r="T57" s="1"/>
      <c r="U57" s="1"/>
      <c r="V57" s="1"/>
    </row>
    <row r="58" spans="1:22" ht="13.5" thickBot="1" x14ac:dyDescent="0.25"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1"/>
      <c r="P58" s="1"/>
      <c r="Q58" s="1"/>
      <c r="R58" s="1"/>
      <c r="S58" s="1"/>
      <c r="T58" s="1"/>
      <c r="U58" s="1"/>
      <c r="V58" s="1"/>
    </row>
    <row r="59" spans="1:22" ht="15.75" thickBot="1" x14ac:dyDescent="0.25">
      <c r="A59" s="79" t="s">
        <v>51</v>
      </c>
      <c r="B59" s="80">
        <f>B9</f>
        <v>41548</v>
      </c>
      <c r="C59" s="80">
        <f t="shared" ref="C59:N59" si="8">C9</f>
        <v>41579</v>
      </c>
      <c r="D59" s="80">
        <f t="shared" si="8"/>
        <v>41609</v>
      </c>
      <c r="E59" s="80">
        <f t="shared" si="8"/>
        <v>41640</v>
      </c>
      <c r="F59" s="80">
        <f t="shared" si="8"/>
        <v>41671</v>
      </c>
      <c r="G59" s="80">
        <f t="shared" si="8"/>
        <v>41699</v>
      </c>
      <c r="H59" s="80">
        <f t="shared" si="8"/>
        <v>41730</v>
      </c>
      <c r="I59" s="80">
        <f t="shared" si="8"/>
        <v>41760</v>
      </c>
      <c r="J59" s="80">
        <f t="shared" si="8"/>
        <v>41791</v>
      </c>
      <c r="K59" s="80">
        <f t="shared" si="8"/>
        <v>41821</v>
      </c>
      <c r="L59" s="80">
        <f t="shared" si="8"/>
        <v>41852</v>
      </c>
      <c r="M59" s="80">
        <f t="shared" si="8"/>
        <v>41883</v>
      </c>
      <c r="N59" s="81">
        <f t="shared" si="8"/>
        <v>41913</v>
      </c>
      <c r="O59" s="1"/>
      <c r="P59"/>
      <c r="Q59" s="1"/>
      <c r="R59" s="1"/>
      <c r="S59" s="1"/>
      <c r="T59" s="1"/>
      <c r="U59" s="1"/>
      <c r="V59" s="1"/>
    </row>
    <row r="60" spans="1:22" ht="14.25" x14ac:dyDescent="0.2">
      <c r="A60" s="66" t="s">
        <v>32</v>
      </c>
      <c r="B60" s="67" t="str">
        <f>IFERROR(INDEX(Venta!FcDetalle,MATCH(CONCATENATE("B-",$B$4,"REP"),Venta!FcClave,0),FcInicioVtaMes+0),"")</f>
        <v/>
      </c>
      <c r="C60" s="67" t="str">
        <f>IFERROR(INDEX(Venta!FcDetalle,MATCH(CONCATENATE("B-",$B$4,"REP"),Venta!FcClave,0),FcInicioVtaMes+1),"")</f>
        <v/>
      </c>
      <c r="D60" s="67" t="str">
        <f>IFERROR(INDEX(Venta!FcDetalle,MATCH(CONCATENATE("B-",$B$4,"REP"),Venta!FcClave,0),FcInicioVtaMes+2),"")</f>
        <v/>
      </c>
      <c r="E60" s="67" t="str">
        <f>IFERROR(INDEX(Venta!FcDetalle,MATCH(CONCATENATE("B-",$B$4,"REP"),Venta!FcClave,0),FcInicioVtaMes+3),"")</f>
        <v/>
      </c>
      <c r="F60" s="67" t="str">
        <f>IFERROR(INDEX(Venta!FcDetalle,MATCH(CONCATENATE("B-",$B$4,"REP"),Venta!FcClave,0),FcInicioVtaMes+4),"")</f>
        <v/>
      </c>
      <c r="G60" s="67" t="str">
        <f>IFERROR(INDEX(Venta!FcDetalle,MATCH(CONCATENATE("B-",$B$4,"REP"),Venta!FcClave,0),FcInicioVtaMes+5),"")</f>
        <v/>
      </c>
      <c r="H60" s="67" t="str">
        <f>IFERROR(INDEX(Venta!FcDetalle,MATCH(CONCATENATE("B-",$B$4,"REP"),Venta!FcClave,0),FcInicioVtaMes+6),"")</f>
        <v/>
      </c>
      <c r="I60" s="67" t="str">
        <f>IFERROR(INDEX(Venta!FcDetalle,MATCH(CONCATENATE("B-",$B$4,"REP"),Venta!FcClave,0),FcInicioVtaMes+7),"")</f>
        <v/>
      </c>
      <c r="J60" s="67" t="str">
        <f>IFERROR(INDEX(Venta!FcDetalle,MATCH(CONCATENATE("B-",$B$4,"REP"),Venta!FcClave,0),FcInicioVtaMes+8),"")</f>
        <v/>
      </c>
      <c r="K60" s="67" t="str">
        <f>IFERROR(INDEX(Venta!FcDetalle,MATCH(CONCATENATE("B-",$B$4,"REP"),Venta!FcClave,0),FcInicioVtaMes+9),"")</f>
        <v/>
      </c>
      <c r="L60" s="67" t="str">
        <f>IFERROR(INDEX(Venta!FcDetalle,MATCH(CONCATENATE("B-",$B$4,"REP"),Venta!FcClave,0),FcInicioVtaMes+10),"")</f>
        <v/>
      </c>
      <c r="M60" s="67" t="str">
        <f>IFERROR(INDEX(Venta!FcDetalle,MATCH(CONCATENATE("B-",$B$4,"REP"),Venta!FcClave,0),FcInicioVtaMes+11),"")</f>
        <v/>
      </c>
      <c r="N60" s="68" t="str">
        <f>IFERROR(INDEX(Venta!FcDetalle,MATCH(CONCATENATE("B-",$B$4,"REP"),Venta!FcClave,0),FcInicioVtaMes+12),"")</f>
        <v/>
      </c>
      <c r="O60" s="1"/>
      <c r="P60" s="1"/>
      <c r="Q60" s="1"/>
      <c r="R60" s="1"/>
      <c r="S60" s="1"/>
      <c r="T60" s="1"/>
      <c r="U60" s="1"/>
      <c r="V60" s="1"/>
    </row>
    <row r="61" spans="1:22" ht="14.25" x14ac:dyDescent="0.2">
      <c r="A61" s="69" t="s">
        <v>33</v>
      </c>
      <c r="B61" s="70" t="str">
        <f>IFERROR(INDEX(Venta!FcDetalle,MATCH(CONCATENATE("B-",$B$4,"ESP"),Venta!FcClave,0),FcInicioVtaMes+0),"")</f>
        <v/>
      </c>
      <c r="C61" s="70" t="str">
        <f>IFERROR(INDEX(Venta!FcDetalle,MATCH(CONCATENATE("B-",$B$4,"ESP"),Venta!FcClave,0),FcInicioVtaMes+1),"")</f>
        <v/>
      </c>
      <c r="D61" s="70" t="str">
        <f>IFERROR(INDEX(Venta!FcDetalle,MATCH(CONCATENATE("B-",$B$4,"ESP"),Venta!FcClave,0),FcInicioVtaMes+2),"")</f>
        <v/>
      </c>
      <c r="E61" s="70" t="str">
        <f>IFERROR(INDEX(Venta!FcDetalle,MATCH(CONCATENATE("B-",$B$4,"ESP"),Venta!FcClave,0),FcInicioVtaMes+3),"")</f>
        <v/>
      </c>
      <c r="F61" s="70" t="str">
        <f>IFERROR(INDEX(Venta!FcDetalle,MATCH(CONCATENATE("B-",$B$4,"ESP"),Venta!FcClave,0),FcInicioVtaMes+4),"")</f>
        <v/>
      </c>
      <c r="G61" s="70" t="str">
        <f>IFERROR(INDEX(Venta!FcDetalle,MATCH(CONCATENATE("B-",$B$4,"ESP"),Venta!FcClave,0),FcInicioVtaMes+5),"")</f>
        <v/>
      </c>
      <c r="H61" s="70" t="str">
        <f>IFERROR(INDEX(Venta!FcDetalle,MATCH(CONCATENATE("B-",$B$4,"ESP"),Venta!FcClave,0),FcInicioVtaMes+6),"")</f>
        <v/>
      </c>
      <c r="I61" s="70" t="str">
        <f>IFERROR(INDEX(Venta!FcDetalle,MATCH(CONCATENATE("B-",$B$4,"ESP"),Venta!FcClave,0),FcInicioVtaMes+7),"")</f>
        <v/>
      </c>
      <c r="J61" s="70" t="str">
        <f>IFERROR(INDEX(Venta!FcDetalle,MATCH(CONCATENATE("B-",$B$4,"ESP"),Venta!FcClave,0),FcInicioVtaMes+8),"")</f>
        <v/>
      </c>
      <c r="K61" s="70" t="str">
        <f>IFERROR(INDEX(Venta!FcDetalle,MATCH(CONCATENATE("B-",$B$4,"ESP"),Venta!FcClave,0),FcInicioVtaMes+9),"")</f>
        <v/>
      </c>
      <c r="L61" s="70" t="str">
        <f>IFERROR(INDEX(Venta!FcDetalle,MATCH(CONCATENATE("B-",$B$4,"ESP"),Venta!FcClave,0),FcInicioVtaMes+10),"")</f>
        <v/>
      </c>
      <c r="M61" s="70" t="str">
        <f>IFERROR(INDEX(Venta!FcDetalle,MATCH(CONCATENATE("B-",$B$4,"ESP"),Venta!FcClave,0),FcInicioVtaMes+11),"")</f>
        <v/>
      </c>
      <c r="N61" s="71" t="str">
        <f>IFERROR(INDEX(Venta!FcDetalle,MATCH(CONCATENATE("B-",$B$4,"ESP"),Venta!FcClave,0),FcInicioVtaMes+12),"")</f>
        <v/>
      </c>
      <c r="O61" s="1"/>
      <c r="P61" s="1"/>
      <c r="Q61" s="1"/>
      <c r="R61" s="1"/>
      <c r="S61" s="1"/>
      <c r="T61" s="1"/>
      <c r="U61" s="1"/>
      <c r="V61" s="1"/>
    </row>
    <row r="62" spans="1:22" ht="15" thickBot="1" x14ac:dyDescent="0.25">
      <c r="A62" s="72" t="s">
        <v>34</v>
      </c>
      <c r="B62" s="73" t="str">
        <f>IFERROR(INDEX(Venta!FcDetalle,MATCH(CONCATENATE("B-",$B$4,"EXP"),Venta!FcClave,0),FcInicioVtaMes+0),"")</f>
        <v/>
      </c>
      <c r="C62" s="73" t="str">
        <f>IFERROR(INDEX(Venta!FcDetalle,MATCH(CONCATENATE("B-",$B$4,"EXP"),Venta!FcClave,0),FcInicioVtaMes+1),"")</f>
        <v/>
      </c>
      <c r="D62" s="73" t="str">
        <f>IFERROR(INDEX(Venta!FcDetalle,MATCH(CONCATENATE("B-",$B$4,"EXP"),Venta!FcClave,0),FcInicioVtaMes+2),"")</f>
        <v/>
      </c>
      <c r="E62" s="73" t="str">
        <f>IFERROR(INDEX(Venta!FcDetalle,MATCH(CONCATENATE("B-",$B$4,"EXP"),Venta!FcClave,0),FcInicioVtaMes+3),"")</f>
        <v/>
      </c>
      <c r="F62" s="73" t="str">
        <f>IFERROR(INDEX(Venta!FcDetalle,MATCH(CONCATENATE("B-",$B$4,"EXP"),Venta!FcClave,0),FcInicioVtaMes+4),"")</f>
        <v/>
      </c>
      <c r="G62" s="73" t="str">
        <f>IFERROR(INDEX(Venta!FcDetalle,MATCH(CONCATENATE("B-",$B$4,"EXP"),Venta!FcClave,0),FcInicioVtaMes+5),"")</f>
        <v/>
      </c>
      <c r="H62" s="73" t="str">
        <f>IFERROR(INDEX(Venta!FcDetalle,MATCH(CONCATENATE("B-",$B$4,"EXP"),Venta!FcClave,0),FcInicioVtaMes+6),"")</f>
        <v/>
      </c>
      <c r="I62" s="73" t="str">
        <f>IFERROR(INDEX(Venta!FcDetalle,MATCH(CONCATENATE("B-",$B$4,"EXP"),Venta!FcClave,0),FcInicioVtaMes+7),"")</f>
        <v/>
      </c>
      <c r="J62" s="73" t="str">
        <f>IFERROR(INDEX(Venta!FcDetalle,MATCH(CONCATENATE("B-",$B$4,"EXP"),Venta!FcClave,0),FcInicioVtaMes+8),"")</f>
        <v/>
      </c>
      <c r="K62" s="73" t="str">
        <f>IFERROR(INDEX(Venta!FcDetalle,MATCH(CONCATENATE("B-",$B$4,"EXP"),Venta!FcClave,0),FcInicioVtaMes+9),"")</f>
        <v/>
      </c>
      <c r="L62" s="73" t="str">
        <f>IFERROR(INDEX(Venta!FcDetalle,MATCH(CONCATENATE("B-",$B$4,"EXP"),Venta!FcClave,0),FcInicioVtaMes+10),"")</f>
        <v/>
      </c>
      <c r="M62" s="73" t="str">
        <f>IFERROR(INDEX(Venta!FcDetalle,MATCH(CONCATENATE("B-",$B$4,"EXP"),Venta!FcClave,0),FcInicioVtaMes+11),"")</f>
        <v/>
      </c>
      <c r="N62" s="74" t="str">
        <f>IFERROR(INDEX(Venta!FcDetalle,MATCH(CONCATENATE("B-",$B$4,"EXP"),Venta!FcClave,0),FcInicioVtaMes+12),"")</f>
        <v/>
      </c>
      <c r="O62" s="1"/>
      <c r="P62" s="1"/>
      <c r="Q62" s="1"/>
      <c r="R62" s="1"/>
      <c r="S62" s="1"/>
      <c r="T62" s="1"/>
      <c r="U62" s="1"/>
      <c r="V62" s="1"/>
    </row>
    <row r="63" spans="1:22" ht="15.75" thickBot="1" x14ac:dyDescent="0.25">
      <c r="A63" s="75" t="str">
        <f>UPPER($B$4)</f>
        <v>LF1A</v>
      </c>
      <c r="B63" s="76" t="str">
        <f t="shared" ref="B63:N63" si="9">IF(COUNTIF(B60:B62,"")=3,"",SUM(B60:B62))</f>
        <v/>
      </c>
      <c r="C63" s="76" t="str">
        <f t="shared" si="9"/>
        <v/>
      </c>
      <c r="D63" s="76" t="str">
        <f t="shared" si="9"/>
        <v/>
      </c>
      <c r="E63" s="76" t="str">
        <f t="shared" si="9"/>
        <v/>
      </c>
      <c r="F63" s="76" t="str">
        <f t="shared" si="9"/>
        <v/>
      </c>
      <c r="G63" s="76" t="str">
        <f t="shared" si="9"/>
        <v/>
      </c>
      <c r="H63" s="76" t="str">
        <f t="shared" si="9"/>
        <v/>
      </c>
      <c r="I63" s="76" t="str">
        <f t="shared" si="9"/>
        <v/>
      </c>
      <c r="J63" s="76" t="str">
        <f t="shared" si="9"/>
        <v/>
      </c>
      <c r="K63" s="76" t="str">
        <f t="shared" si="9"/>
        <v/>
      </c>
      <c r="L63" s="76" t="str">
        <f t="shared" si="9"/>
        <v/>
      </c>
      <c r="M63" s="76" t="str">
        <f t="shared" si="9"/>
        <v/>
      </c>
      <c r="N63" s="77" t="str">
        <f t="shared" si="9"/>
        <v/>
      </c>
      <c r="O63" s="1"/>
      <c r="P63" s="1"/>
      <c r="Q63" s="1"/>
      <c r="R63" s="1"/>
      <c r="S63" s="1"/>
      <c r="T63" s="1"/>
      <c r="U63" s="1"/>
      <c r="V63" s="1"/>
    </row>
    <row r="64" spans="1:22" ht="14.25" x14ac:dyDescent="0.2">
      <c r="A64" s="32" t="s">
        <v>52</v>
      </c>
      <c r="B64" s="54" t="str">
        <f t="shared" ref="B64:N64" si="10">IFERROR(B60/B10,"")</f>
        <v/>
      </c>
      <c r="C64" s="54" t="str">
        <f t="shared" si="10"/>
        <v/>
      </c>
      <c r="D64" s="54" t="str">
        <f t="shared" si="10"/>
        <v/>
      </c>
      <c r="E64" s="54" t="str">
        <f t="shared" si="10"/>
        <v/>
      </c>
      <c r="F64" s="54" t="str">
        <f t="shared" si="10"/>
        <v/>
      </c>
      <c r="G64" s="54" t="str">
        <f t="shared" si="10"/>
        <v/>
      </c>
      <c r="H64" s="54" t="str">
        <f t="shared" si="10"/>
        <v/>
      </c>
      <c r="I64" s="54" t="str">
        <f t="shared" si="10"/>
        <v/>
      </c>
      <c r="J64" s="54" t="str">
        <f t="shared" si="10"/>
        <v/>
      </c>
      <c r="K64" s="54" t="str">
        <f t="shared" si="10"/>
        <v/>
      </c>
      <c r="L64" s="54" t="str">
        <f t="shared" si="10"/>
        <v/>
      </c>
      <c r="M64" s="54" t="str">
        <f t="shared" si="10"/>
        <v/>
      </c>
      <c r="N64" s="55" t="str">
        <f t="shared" si="10"/>
        <v/>
      </c>
      <c r="O64" s="1"/>
      <c r="P64" s="1"/>
      <c r="Q64" s="1"/>
      <c r="R64" s="1"/>
      <c r="S64" s="1"/>
      <c r="T64" s="1"/>
      <c r="U64" s="1"/>
      <c r="V64" s="1"/>
    </row>
    <row r="65" spans="1:22" ht="14.25" x14ac:dyDescent="0.2">
      <c r="A65" s="48" t="s">
        <v>53</v>
      </c>
      <c r="B65" s="56" t="str">
        <f t="shared" ref="B65:N65" si="11">IFERROR(B61/B11,"")</f>
        <v/>
      </c>
      <c r="C65" s="56" t="str">
        <f t="shared" si="11"/>
        <v/>
      </c>
      <c r="D65" s="56" t="str">
        <f t="shared" si="11"/>
        <v/>
      </c>
      <c r="E65" s="56" t="str">
        <f t="shared" si="11"/>
        <v/>
      </c>
      <c r="F65" s="56" t="str">
        <f t="shared" si="11"/>
        <v/>
      </c>
      <c r="G65" s="56" t="str">
        <f t="shared" si="11"/>
        <v/>
      </c>
      <c r="H65" s="56" t="str">
        <f t="shared" si="11"/>
        <v/>
      </c>
      <c r="I65" s="56" t="str">
        <f t="shared" si="11"/>
        <v/>
      </c>
      <c r="J65" s="56" t="str">
        <f t="shared" si="11"/>
        <v/>
      </c>
      <c r="K65" s="56" t="str">
        <f t="shared" si="11"/>
        <v/>
      </c>
      <c r="L65" s="56" t="str">
        <f t="shared" si="11"/>
        <v/>
      </c>
      <c r="M65" s="56" t="str">
        <f t="shared" si="11"/>
        <v/>
      </c>
      <c r="N65" s="57" t="str">
        <f t="shared" si="11"/>
        <v/>
      </c>
      <c r="O65" s="1"/>
      <c r="P65" s="1"/>
      <c r="Q65" s="1"/>
      <c r="R65" s="1"/>
      <c r="S65" s="1"/>
      <c r="T65" s="1"/>
      <c r="U65" s="1"/>
      <c r="V65" s="1"/>
    </row>
    <row r="66" spans="1:22" ht="15" thickBot="1" x14ac:dyDescent="0.25">
      <c r="A66" s="31" t="s">
        <v>54</v>
      </c>
      <c r="B66" s="58" t="str">
        <f t="shared" ref="B66:M66" si="12">IFERROR(B62/B12,"")</f>
        <v/>
      </c>
      <c r="C66" s="58" t="str">
        <f t="shared" si="12"/>
        <v/>
      </c>
      <c r="D66" s="58" t="str">
        <f t="shared" si="12"/>
        <v/>
      </c>
      <c r="E66" s="58" t="str">
        <f t="shared" si="12"/>
        <v/>
      </c>
      <c r="F66" s="58" t="str">
        <f t="shared" si="12"/>
        <v/>
      </c>
      <c r="G66" s="58" t="str">
        <f t="shared" si="12"/>
        <v/>
      </c>
      <c r="H66" s="58" t="str">
        <f t="shared" si="12"/>
        <v/>
      </c>
      <c r="I66" s="58" t="str">
        <f t="shared" si="12"/>
        <v/>
      </c>
      <c r="J66" s="58" t="str">
        <f t="shared" si="12"/>
        <v/>
      </c>
      <c r="K66" s="58" t="str">
        <f t="shared" si="12"/>
        <v/>
      </c>
      <c r="L66" s="58" t="str">
        <f t="shared" si="12"/>
        <v/>
      </c>
      <c r="M66" s="58" t="str">
        <f t="shared" si="12"/>
        <v/>
      </c>
      <c r="N66" s="59" t="str">
        <f t="shared" ref="N66" si="13">IF(ISERROR(N62/N12),"",N62/N12)</f>
        <v/>
      </c>
      <c r="O66" s="1"/>
      <c r="P66" s="1"/>
      <c r="Q66" s="1"/>
      <c r="R66" s="1"/>
      <c r="S66" s="1"/>
      <c r="T66" s="1"/>
      <c r="U66" s="1"/>
      <c r="V66" s="1"/>
    </row>
    <row r="67" spans="1:22" ht="15" hidden="1" customHeight="1" x14ac:dyDescent="0.2">
      <c r="A67" s="46" t="s">
        <v>55</v>
      </c>
      <c r="B67" s="38" t="str">
        <f>IF(ISERROR(VLOOKUP($A$7,#REF!,MATCH(B$9,#REF!,0),FALSE)),"",VLOOKUP($A$7,#REF!,MATCH(B$9,#REF!,0),FALSE))</f>
        <v/>
      </c>
      <c r="C67" s="38" t="str">
        <f>IF(ISERROR(VLOOKUP($A$7,#REF!,MATCH(C$9,#REF!,0),FALSE)),"",VLOOKUP($A$7,#REF!,MATCH(C$9,#REF!,0),FALSE))</f>
        <v/>
      </c>
      <c r="D67" s="38" t="str">
        <f>IF(ISERROR(VLOOKUP($A$7,#REF!,MATCH(D$9,#REF!,0),FALSE)),"",VLOOKUP($A$7,#REF!,MATCH(D$9,#REF!,0),FALSE))</f>
        <v/>
      </c>
      <c r="E67" s="38" t="str">
        <f>IF(ISERROR(VLOOKUP($A$7,#REF!,MATCH(E$9,#REF!,0),FALSE)),"",VLOOKUP($A$7,#REF!,MATCH(E$9,#REF!,0),FALSE))</f>
        <v/>
      </c>
      <c r="F67" s="38" t="str">
        <f>IF(ISERROR(VLOOKUP($A$7,#REF!,MATCH(F$9,#REF!,0),FALSE)),"",VLOOKUP($A$7,#REF!,MATCH(F$9,#REF!,0),FALSE))</f>
        <v/>
      </c>
      <c r="G67" s="38" t="str">
        <f>IF(ISERROR(VLOOKUP($A$7,#REF!,MATCH(G$9,#REF!,0),FALSE)),"",VLOOKUP($A$7,#REF!,MATCH(G$9,#REF!,0),FALSE))</f>
        <v/>
      </c>
      <c r="H67" s="38" t="str">
        <f>IF(ISERROR(VLOOKUP($A$7,#REF!,MATCH(H$9,#REF!,0),FALSE)),"",VLOOKUP($A$7,#REF!,MATCH(H$9,#REF!,0),FALSE))</f>
        <v/>
      </c>
      <c r="I67" s="38" t="str">
        <f>IF(ISERROR(VLOOKUP($A$7,#REF!,MATCH(I$9,#REF!,0),FALSE)),"",VLOOKUP($A$7,#REF!,MATCH(I$9,#REF!,0),FALSE))</f>
        <v/>
      </c>
      <c r="J67" s="38" t="str">
        <f>IF(ISERROR(VLOOKUP($A$7,#REF!,MATCH(J$9,#REF!,0),FALSE)),"",VLOOKUP($A$7,#REF!,MATCH(J$9,#REF!,0),FALSE))</f>
        <v/>
      </c>
      <c r="K67" s="38" t="str">
        <f>IF(ISERROR(VLOOKUP($A$7,#REF!,MATCH(K$9,#REF!,0),FALSE)),"",VLOOKUP($A$7,#REF!,MATCH(K$9,#REF!,0),FALSE))</f>
        <v/>
      </c>
      <c r="L67" s="38" t="str">
        <f>IF(ISERROR(VLOOKUP($A$7,#REF!,MATCH(L$9,#REF!,0),FALSE)),"",VLOOKUP($A$7,#REF!,MATCH(L$9,#REF!,0),FALSE))</f>
        <v/>
      </c>
      <c r="M67" s="38" t="str">
        <f>IF(ISERROR(VLOOKUP($A$7,#REF!,MATCH(M$9,#REF!,0),FALSE)),"",VLOOKUP($A$7,#REF!,MATCH(M$9,#REF!,0),FALSE))</f>
        <v/>
      </c>
      <c r="N67" s="34" t="str">
        <f>IF(ISERROR(VLOOKUP($A$7,#REF!,MATCH(N$9,#REF!,0),FALSE)),"",VLOOKUP($A$7,#REF!,MATCH(N$9,#REF!,0),FALSE))</f>
        <v/>
      </c>
      <c r="O67" s="1"/>
      <c r="P67" s="1"/>
      <c r="Q67" s="1"/>
      <c r="R67" s="1"/>
      <c r="S67" s="1"/>
      <c r="T67" s="1"/>
      <c r="U67" s="1"/>
      <c r="V67" s="1"/>
    </row>
    <row r="68" spans="1:22" ht="15" hidden="1" customHeight="1" x14ac:dyDescent="0.2">
      <c r="A68" s="49" t="s">
        <v>56</v>
      </c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1"/>
      <c r="O68" s="1"/>
      <c r="P68" s="1"/>
      <c r="Q68" s="1"/>
      <c r="R68" s="1"/>
      <c r="S68" s="1"/>
      <c r="T68" s="1"/>
      <c r="U68" s="1"/>
      <c r="V68" s="1"/>
    </row>
    <row r="69" spans="1:22" ht="15" hidden="1" customHeight="1" thickBot="1" x14ac:dyDescent="0.25">
      <c r="A69" s="47" t="s">
        <v>57</v>
      </c>
      <c r="B69" s="39" t="str">
        <f>IF(ISERROR(VLOOKUP($B$7,#REF!,MATCH(B$9,#REF!,0),FALSE)),"",VLOOKUP($B$7,#REF!,MATCH(B$9,#REF!,0),FALSE))</f>
        <v/>
      </c>
      <c r="C69" s="39" t="str">
        <f>IF(ISERROR(VLOOKUP($B$7,#REF!,MATCH(C$9,#REF!,0),FALSE)),"",VLOOKUP($B$7,#REF!,MATCH(C$9,#REF!,0),FALSE))</f>
        <v/>
      </c>
      <c r="D69" s="39" t="str">
        <f>IF(ISERROR(VLOOKUP($B$7,#REF!,MATCH(D$9,#REF!,0),FALSE)),"",VLOOKUP($B$7,#REF!,MATCH(D$9,#REF!,0),FALSE))</f>
        <v/>
      </c>
      <c r="E69" s="39" t="str">
        <f>IF(ISERROR(VLOOKUP($B$7,#REF!,MATCH(E$9,#REF!,0),FALSE)),"",VLOOKUP($B$7,#REF!,MATCH(E$9,#REF!,0),FALSE))</f>
        <v/>
      </c>
      <c r="F69" s="39" t="str">
        <f>IF(ISERROR(VLOOKUP($B$7,#REF!,MATCH(F$9,#REF!,0),FALSE)),"",VLOOKUP($B$7,#REF!,MATCH(F$9,#REF!,0),FALSE))</f>
        <v/>
      </c>
      <c r="G69" s="39" t="str">
        <f>IF(ISERROR(VLOOKUP($B$7,#REF!,MATCH(G$9,#REF!,0),FALSE)),"",VLOOKUP($B$7,#REF!,MATCH(G$9,#REF!,0),FALSE))</f>
        <v/>
      </c>
      <c r="H69" s="39" t="str">
        <f>IF(ISERROR(VLOOKUP($B$7,#REF!,MATCH(H$9,#REF!,0),FALSE)),"",VLOOKUP($B$7,#REF!,MATCH(H$9,#REF!,0),FALSE))</f>
        <v/>
      </c>
      <c r="I69" s="39" t="str">
        <f>IF(ISERROR(VLOOKUP($B$7,#REF!,MATCH(I$9,#REF!,0),FALSE)),"",VLOOKUP($B$7,#REF!,MATCH(I$9,#REF!,0),FALSE))</f>
        <v/>
      </c>
      <c r="J69" s="39" t="str">
        <f>IF(ISERROR(VLOOKUP($B$7,#REF!,MATCH(J$9,#REF!,0),FALSE)),"",VLOOKUP($B$7,#REF!,MATCH(J$9,#REF!,0),FALSE))</f>
        <v/>
      </c>
      <c r="K69" s="39" t="str">
        <f>IF(ISERROR(VLOOKUP($B$7,#REF!,MATCH(K$9,#REF!,0),FALSE)),"",VLOOKUP($B$7,#REF!,MATCH(K$9,#REF!,0),FALSE))</f>
        <v/>
      </c>
      <c r="L69" s="39" t="str">
        <f>IF(ISERROR(VLOOKUP($B$7,#REF!,MATCH(L$9,#REF!,0),FALSE)),"",VLOOKUP($B$7,#REF!,MATCH(L$9,#REF!,0),FALSE))</f>
        <v/>
      </c>
      <c r="M69" s="39" t="str">
        <f>IF(ISERROR(VLOOKUP($B$7,#REF!,MATCH(M$9,#REF!,0),FALSE)),"",VLOOKUP($B$7,#REF!,MATCH(M$9,#REF!,0),FALSE))</f>
        <v/>
      </c>
      <c r="N69" s="35" t="str">
        <f>IF(ISERROR(VLOOKUP($B$7,#REF!,MATCH(N$9,#REF!,0),FALSE)),"",VLOOKUP($B$7,#REF!,MATCH(N$9,#REF!,0),FALSE))</f>
        <v/>
      </c>
      <c r="O69" s="1"/>
      <c r="P69" s="1"/>
      <c r="Q69" s="1"/>
      <c r="R69" s="1"/>
      <c r="S69" s="1"/>
      <c r="T69" s="1"/>
      <c r="U69" s="1"/>
      <c r="V69" s="1"/>
    </row>
    <row r="70" spans="1:22" ht="14.25" x14ac:dyDescent="0.2">
      <c r="A70" s="52" t="str">
        <f>CONCATENATE("PPU Rep ",$A$7)</f>
        <v xml:space="preserve">PPU Rep </v>
      </c>
      <c r="B70" s="60" t="str">
        <f>IFERROR(INDEX(Venta!FcDetalle,MATCH(CONCATENATE("B-",$A$7,"REP"),Venta!FcClave,0),FcInicioVtaMes+0)/$B$21,"")</f>
        <v/>
      </c>
      <c r="C70" s="60" t="str">
        <f>IFERROR(INDEX(Venta!FcDetalle,MATCH(CONCATENATE("B-",$A$7,"REP"),Venta!FcClave,0),FcInicioVtaMes+1)/$C$21,"")</f>
        <v/>
      </c>
      <c r="D70" s="60" t="str">
        <f>IFERROR(INDEX(Venta!FcDetalle,MATCH(CONCATENATE("B-",$A$7,"REP"),Venta!FcClave,0),FcInicioVtaMes+2)/$D$21,"")</f>
        <v/>
      </c>
      <c r="E70" s="60" t="str">
        <f>IFERROR(INDEX(Venta!FcDetalle,MATCH(CONCATENATE("B-",$A$7,"REP"),Venta!FcClave,0),FcInicioVtaMes+3)/$E$21,"")</f>
        <v/>
      </c>
      <c r="F70" s="60" t="str">
        <f>IFERROR(INDEX(Venta!FcDetalle,MATCH(CONCATENATE("B-",$A$7,"REP"),Venta!FcClave,0),FcInicioVtaMes+4)/$F$21,"")</f>
        <v/>
      </c>
      <c r="G70" s="60" t="str">
        <f>IFERROR(INDEX(Venta!FcDetalle,MATCH(CONCATENATE("B-",$A$7,"REP"),Venta!FcClave,0),FcInicioVtaMes+5)/$G$21,"")</f>
        <v/>
      </c>
      <c r="H70" s="60" t="str">
        <f>IFERROR(INDEX(Venta!FcDetalle,MATCH(CONCATENATE("B-",$A$7,"REP"),Venta!FcClave,0),FcInicioVtaMes+6)/$H$21,"")</f>
        <v/>
      </c>
      <c r="I70" s="60" t="str">
        <f>IFERROR(INDEX(Venta!FcDetalle,MATCH(CONCATENATE("B-",$A$7,"REP"),Venta!FcClave,0),FcInicioVtaMes+7)/$I$21,"")</f>
        <v/>
      </c>
      <c r="J70" s="60" t="str">
        <f>IFERROR(INDEX(Venta!FcDetalle,MATCH(CONCATENATE("B-",$A$7,"REP"),Venta!FcClave,0),FcInicioVtaMes+8)/$J$21,"")</f>
        <v/>
      </c>
      <c r="K70" s="60" t="str">
        <f>IFERROR(INDEX(Venta!FcDetalle,MATCH(CONCATENATE("B-",$A$7,"REP"),Venta!FcClave,0),FcInicioVtaMes+9)/$K$21,"")</f>
        <v/>
      </c>
      <c r="L70" s="60" t="str">
        <f>IFERROR(INDEX(Venta!FcDetalle,MATCH(CONCATENATE("B-",$A$7,"REP"),Venta!FcClave,0),FcInicioVtaMes+10)/$L$21,"")</f>
        <v/>
      </c>
      <c r="M70" s="60" t="str">
        <f>IFERROR(INDEX(Venta!FcDetalle,MATCH(CONCATENATE("B-",$A$7,"REP"),Venta!FcClave,0),FcInicioVtaMes+11)/$M$21,"")</f>
        <v/>
      </c>
      <c r="N70" s="62" t="str">
        <f>IFERROR(INDEX(Venta!FcDetalle,MATCH(CONCATENATE("B-",$A$7,"REP"),Venta!FcClave,0),FcInicioVtaMes+12)/$N21,"")</f>
        <v/>
      </c>
      <c r="O70" s="1"/>
      <c r="P70" s="1"/>
      <c r="Q70" s="1"/>
      <c r="R70" s="1"/>
      <c r="S70" s="1"/>
      <c r="T70" s="1"/>
      <c r="U70" s="1"/>
      <c r="V70" s="1"/>
    </row>
    <row r="71" spans="1:22" ht="15" thickBot="1" x14ac:dyDescent="0.25">
      <c r="A71" s="53" t="str">
        <f>CONCATENATE("PPU Rep ",$B$7)</f>
        <v xml:space="preserve">PPU Rep </v>
      </c>
      <c r="B71" s="61" t="str">
        <f>IFERROR(INDEX(Venta!FcDetalle,MATCH(CONCATENATE("B-",$B$7,"REP"),Venta!FcClave,0),FcInicioVtaMes+0)/$B$22,"")</f>
        <v/>
      </c>
      <c r="C71" s="61" t="str">
        <f>IFERROR(INDEX(Venta!FcDetalle,MATCH(CONCATENATE("B-",$B$7,"REP"),Venta!FcClave,0),FcInicioVtaMes+1)/$C$22,"")</f>
        <v/>
      </c>
      <c r="D71" s="61" t="str">
        <f>IFERROR(INDEX(Venta!FcDetalle,MATCH(CONCATENATE("B-",$B$7,"REP"),Venta!FcClave,0),FcInicioVtaMes+2)/$D$22,"")</f>
        <v/>
      </c>
      <c r="E71" s="61" t="str">
        <f>IFERROR(INDEX(Venta!FcDetalle,MATCH(CONCATENATE("B-",$B$7,"REP"),Venta!FcClave,0),FcInicioVtaMes+3)/$E$22,"")</f>
        <v/>
      </c>
      <c r="F71" s="61" t="str">
        <f>IFERROR(INDEX(Venta!FcDetalle,MATCH(CONCATENATE("B-",$B$7,"REP"),Venta!FcClave,0),FcInicioVtaMes+4)/$F$22,"")</f>
        <v/>
      </c>
      <c r="G71" s="61" t="str">
        <f>IFERROR(INDEX(Venta!FcDetalle,MATCH(CONCATENATE("B-",$B$7,"REP"),Venta!FcClave,0),FcInicioVtaMes+5)/$G$22,"")</f>
        <v/>
      </c>
      <c r="H71" s="61" t="str">
        <f>IFERROR(INDEX(Venta!FcDetalle,MATCH(CONCATENATE("B-",$B$7,"REP"),Venta!FcClave,0),FcInicioVtaMes+6)/$H$22,"")</f>
        <v/>
      </c>
      <c r="I71" s="61" t="str">
        <f>IFERROR(INDEX(Venta!FcDetalle,MATCH(CONCATENATE("B-",$B$7,"REP"),Venta!FcClave,0),FcInicioVtaMes+7)/$I$22,"")</f>
        <v/>
      </c>
      <c r="J71" s="61" t="str">
        <f>IFERROR(INDEX(Venta!FcDetalle,MATCH(CONCATENATE("B-",$B$7,"REP"),Venta!FcClave,0),FcInicioVtaMes+8)/$J$22,"")</f>
        <v/>
      </c>
      <c r="K71" s="61" t="str">
        <f>IFERROR(INDEX(Venta!FcDetalle,MATCH(CONCATENATE("B-",$B$7,"REP"),Venta!FcClave,0),FcInicioVtaMes+9)/$K$22,"")</f>
        <v/>
      </c>
      <c r="L71" s="61" t="str">
        <f>IFERROR(INDEX(Venta!FcDetalle,MATCH(CONCATENATE("B-",$B$7,"REP"),Venta!FcClave,0),FcInicioVtaMes+10)/$L$22,"")</f>
        <v/>
      </c>
      <c r="M71" s="61" t="str">
        <f>IFERROR(INDEX(Venta!FcDetalle,MATCH(CONCATENATE("B-",$B$7,"REP"),Venta!FcClave,0),FcInicioVtaMes+11)/$M$22,"")</f>
        <v/>
      </c>
      <c r="N71" s="63" t="str">
        <f>IFERROR(INDEX(Venta!FcDetalle,MATCH(CONCATENATE("B-",$B$7,"REP"),Venta!FcClave,0),FcInicioVtaMes+12)/$N$22,"")</f>
        <v/>
      </c>
      <c r="O71" s="1"/>
      <c r="P71" s="1"/>
      <c r="Q71" s="1"/>
      <c r="R71" s="1"/>
      <c r="S71" s="1"/>
      <c r="T71" s="1"/>
      <c r="U71" s="1"/>
      <c r="V71" s="1"/>
    </row>
    <row r="72" spans="1:22" ht="14.25" x14ac:dyDescent="0.2">
      <c r="A72" s="110" t="str">
        <f>CONCATENATE("Promo ",$A$7)</f>
        <v xml:space="preserve">Promo </v>
      </c>
      <c r="B72" s="111" t="str">
        <f>IFERROR(INDEX(TipoProm!FcDetalle,MATCH($A$7,TipoProm!FcClave,0),3),"")</f>
        <v/>
      </c>
      <c r="C72" s="111" t="str">
        <f>IFERROR(INDEX(TipoProm!FcDetalle,MATCH($A$7,TipoProm!FcClave,0),4),"")</f>
        <v/>
      </c>
      <c r="D72" s="111" t="str">
        <f>IFERROR(INDEX(TipoProm!FcDetalle,MATCH($A$7,TipoProm!FcClave,0),5),"")</f>
        <v/>
      </c>
      <c r="E72" s="111" t="str">
        <f>IFERROR(INDEX(TipoProm!FcDetalle,MATCH($A$7,TipoProm!FcClave,0),6),"")</f>
        <v/>
      </c>
      <c r="F72" s="111" t="str">
        <f>IFERROR(INDEX(TipoProm!FcDetalle,MATCH($A$7,TipoProm!FcClave,0),7),"")</f>
        <v/>
      </c>
      <c r="G72" s="111" t="str">
        <f>IFERROR(INDEX(TipoProm!FcDetalle,MATCH($A$7,TipoProm!FcClave,0),8),"")</f>
        <v/>
      </c>
      <c r="H72" s="111" t="str">
        <f>IFERROR(INDEX(TipoProm!FcDetalle,MATCH($A$7,TipoProm!FcClave,0),9),"")</f>
        <v/>
      </c>
      <c r="I72" s="111" t="str">
        <f>IFERROR(INDEX(TipoProm!FcDetalle,MATCH($A$7,TipoProm!FcClave,0),10),"")</f>
        <v/>
      </c>
      <c r="J72" s="111" t="str">
        <f>IFERROR(INDEX(TipoProm!FcDetalle,MATCH($A$7,TipoProm!FcClave,0),11),"")</f>
        <v/>
      </c>
      <c r="K72" s="111" t="str">
        <f>IFERROR(INDEX(TipoProm!FcDetalle,MATCH($A$7,TipoProm!FcClave,0),12),"")</f>
        <v/>
      </c>
      <c r="L72" s="111" t="str">
        <f>IFERROR(INDEX(TipoProm!FcDetalle,MATCH($A$7,TipoProm!FcClave,0),13),"")</f>
        <v/>
      </c>
      <c r="M72" s="111" t="str">
        <f>IFERROR(INDEX(TipoProm!FcDetalle,MATCH($A$7,TipoProm!FcClave,0),14),"")</f>
        <v/>
      </c>
      <c r="N72" s="112" t="str">
        <f>IFERROR(INDEX(TipoProm!FcDetalle,MATCH($A$7,TipoProm!FcClave,0),15),"")</f>
        <v/>
      </c>
      <c r="O72" s="1"/>
      <c r="P72" s="1"/>
      <c r="Q72" s="1"/>
      <c r="R72" s="1"/>
      <c r="S72" s="1"/>
      <c r="T72" s="1"/>
      <c r="U72" s="1"/>
      <c r="V72" s="1"/>
    </row>
    <row r="73" spans="1:22" ht="14.25" x14ac:dyDescent="0.2">
      <c r="A73" s="128" t="str">
        <f>CONCATENATE("Promo ",$B$7)</f>
        <v xml:space="preserve">Promo </v>
      </c>
      <c r="B73" s="127" t="str">
        <f>IFERROR(INDEX(TipoProm!FcDetalle,MATCH($B$7,TipoProm!FcClave,0),3),"")</f>
        <v/>
      </c>
      <c r="C73" s="127" t="str">
        <f>IFERROR(INDEX(TipoProm!FcDetalle,MATCH($B$7,TipoProm!FcClave,0),4),"")</f>
        <v/>
      </c>
      <c r="D73" s="127" t="str">
        <f>IFERROR(INDEX(TipoProm!FcDetalle,MATCH($B$7,TipoProm!FcClave,0),5),"")</f>
        <v/>
      </c>
      <c r="E73" s="127" t="str">
        <f>IFERROR(INDEX(TipoProm!FcDetalle,MATCH($B$7,TipoProm!FcClave,0),6),"")</f>
        <v/>
      </c>
      <c r="F73" s="127" t="str">
        <f>IFERROR(INDEX(TipoProm!FcDetalle,MATCH($B$7,TipoProm!FcClave,0),7),"")</f>
        <v/>
      </c>
      <c r="G73" s="127" t="str">
        <f>IFERROR(INDEX(TipoProm!FcDetalle,MATCH($B$7,TipoProm!FcClave,0),8),"")</f>
        <v/>
      </c>
      <c r="H73" s="127" t="str">
        <f>IFERROR(INDEX(TipoProm!FcDetalle,MATCH($B$7,TipoProm!FcClave,0),9),"")</f>
        <v/>
      </c>
      <c r="I73" s="127" t="str">
        <f>IFERROR(INDEX(TipoProm!FcDetalle,MATCH($B$7,TipoProm!FcClave,0),10),"")</f>
        <v/>
      </c>
      <c r="J73" s="127" t="str">
        <f>IFERROR(INDEX(TipoProm!FcDetalle,MATCH($B$7,TipoProm!FcClave,0),11),"")</f>
        <v/>
      </c>
      <c r="K73" s="127" t="str">
        <f>IFERROR(INDEX(TipoProm!FcDetalle,MATCH($B$7,TipoProm!FcClave,0),12),"")</f>
        <v/>
      </c>
      <c r="L73" s="127" t="str">
        <f>IFERROR(INDEX(TipoProm!FcDetalle,MATCH($B$7,TipoProm!FcClave,0),13),"")</f>
        <v/>
      </c>
      <c r="M73" s="127" t="str">
        <f>IFERROR(INDEX(TipoProm!FcDetalle,MATCH($B$7,TipoProm!FcClave,0),14),"")</f>
        <v/>
      </c>
      <c r="N73" s="129" t="str">
        <f>IFERROR(INDEX(TipoProm!FcDetalle,MATCH($B$7,TipoProm!FcClave,0),15),"")</f>
        <v/>
      </c>
      <c r="O73" s="1"/>
      <c r="P73" s="1"/>
      <c r="Q73" s="1"/>
      <c r="R73" s="1"/>
      <c r="S73" s="1"/>
      <c r="T73" s="1"/>
      <c r="U73" s="1"/>
      <c r="V73" s="1"/>
    </row>
    <row r="74" spans="1:22" ht="15" hidden="1" customHeight="1" x14ac:dyDescent="0.2">
      <c r="A74" s="130"/>
      <c r="B74" s="120"/>
      <c r="C74" s="120" t="e">
        <f>(ABS(C10-B10)/(B10+C10))/(ABS(C41-B41)/(B41+C41))</f>
        <v>#VALUE!</v>
      </c>
      <c r="D74" s="120" t="e">
        <f t="shared" ref="D74:N74" si="14">(ABS(D10-C10)/(C10+D10))/(ABS(D41-C41)/(C41+D41))</f>
        <v>#VALUE!</v>
      </c>
      <c r="E74" s="120" t="e">
        <f t="shared" si="14"/>
        <v>#VALUE!</v>
      </c>
      <c r="F74" s="120" t="e">
        <f t="shared" si="14"/>
        <v>#VALUE!</v>
      </c>
      <c r="G74" s="120" t="e">
        <f t="shared" si="14"/>
        <v>#VALUE!</v>
      </c>
      <c r="H74" s="120" t="e">
        <f t="shared" si="14"/>
        <v>#VALUE!</v>
      </c>
      <c r="I74" s="120" t="e">
        <f t="shared" si="14"/>
        <v>#VALUE!</v>
      </c>
      <c r="J74" s="120" t="e">
        <f t="shared" si="14"/>
        <v>#VALUE!</v>
      </c>
      <c r="K74" s="120" t="e">
        <f t="shared" si="14"/>
        <v>#VALUE!</v>
      </c>
      <c r="L74" s="120" t="e">
        <f t="shared" si="14"/>
        <v>#VALUE!</v>
      </c>
      <c r="M74" s="120" t="e">
        <f t="shared" si="14"/>
        <v>#VALUE!</v>
      </c>
      <c r="N74" s="131" t="e">
        <f t="shared" si="14"/>
        <v>#VALUE!</v>
      </c>
      <c r="O74" s="1"/>
      <c r="P74" s="1"/>
      <c r="Q74" s="1"/>
      <c r="R74" s="1"/>
      <c r="S74" s="1"/>
      <c r="T74" s="1"/>
      <c r="U74" s="1"/>
      <c r="V74" s="1"/>
    </row>
    <row r="75" spans="1:22" ht="15" customHeight="1" thickBot="1" x14ac:dyDescent="0.25">
      <c r="A75" s="113" t="s">
        <v>13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5"/>
      <c r="O75" s="1"/>
      <c r="P75" s="1"/>
      <c r="Q75" s="1"/>
      <c r="R75" s="1"/>
      <c r="S75" s="1"/>
      <c r="T75" s="1"/>
      <c r="U75" s="1"/>
      <c r="V75" s="1"/>
    </row>
    <row r="76" spans="1:22" ht="12" customHeight="1" x14ac:dyDescent="0.2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1"/>
      <c r="P76" s="1"/>
      <c r="Q76" s="1"/>
      <c r="R76" s="1"/>
      <c r="S76" s="1"/>
      <c r="T76" s="1"/>
      <c r="U76" s="1"/>
      <c r="V76" s="1"/>
    </row>
    <row r="77" spans="1:22" ht="15.75" customHeight="1" x14ac:dyDescent="0.2">
      <c r="A77" s="256" t="s">
        <v>24</v>
      </c>
      <c r="B77" s="256"/>
      <c r="C77" s="256"/>
      <c r="D77" s="256"/>
      <c r="E77" s="256"/>
      <c r="F77" s="256"/>
      <c r="G77" s="256"/>
      <c r="H77" s="256"/>
      <c r="I77" s="256"/>
      <c r="J77" s="256"/>
      <c r="K77" s="256"/>
      <c r="L77" s="256"/>
      <c r="M77" s="256"/>
      <c r="N77" s="256"/>
      <c r="O77" s="256"/>
      <c r="P77" s="256"/>
      <c r="Q77" s="256"/>
      <c r="R77" s="256"/>
      <c r="S77" s="256"/>
      <c r="T77" s="256"/>
      <c r="U77" s="256"/>
      <c r="V77" s="256"/>
    </row>
    <row r="78" spans="1:22" ht="27" customHeight="1" x14ac:dyDescent="0.2">
      <c r="B78" s="22"/>
      <c r="C78" s="22"/>
      <c r="D78" s="22"/>
      <c r="E78" s="257" t="s">
        <v>79</v>
      </c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9"/>
      <c r="R78" s="1"/>
      <c r="S78" s="1"/>
      <c r="T78" s="1"/>
      <c r="U78" s="1"/>
      <c r="V78" s="1"/>
    </row>
    <row r="79" spans="1:22" ht="15" customHeight="1" x14ac:dyDescent="0.2"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1"/>
      <c r="P79" s="1"/>
      <c r="Q79" s="1"/>
      <c r="R79" s="1"/>
      <c r="S79" s="1"/>
      <c r="T79" s="1"/>
      <c r="U79" s="1"/>
      <c r="V79" s="1"/>
    </row>
    <row r="80" spans="1:22" ht="15" customHeight="1" x14ac:dyDescent="0.2"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1"/>
      <c r="P80" s="1"/>
      <c r="Q80" s="1"/>
      <c r="R80" s="1"/>
      <c r="S80" s="1"/>
      <c r="T80" s="1"/>
      <c r="U80" s="1"/>
      <c r="V80" s="1"/>
    </row>
    <row r="81" spans="2:22" ht="15" customHeight="1" x14ac:dyDescent="0.2"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1"/>
      <c r="P81" s="1"/>
      <c r="Q81" s="1"/>
      <c r="R81" s="1"/>
      <c r="S81" s="1"/>
      <c r="T81" s="1"/>
      <c r="U81" s="1"/>
      <c r="V81" s="1"/>
    </row>
    <row r="82" spans="2:22" ht="15" customHeight="1" x14ac:dyDescent="0.2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1"/>
      <c r="P82" s="1"/>
      <c r="Q82" s="1"/>
      <c r="R82" s="1"/>
      <c r="S82" s="1"/>
      <c r="T82" s="1"/>
      <c r="U82" s="1"/>
      <c r="V82" s="1"/>
    </row>
    <row r="83" spans="2:22" ht="15" customHeight="1" x14ac:dyDescent="0.2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1"/>
      <c r="P83" s="1"/>
      <c r="Q83" s="1"/>
      <c r="R83" s="1"/>
      <c r="S83" s="1"/>
      <c r="T83" s="1"/>
      <c r="U83" s="1"/>
      <c r="V83" s="1"/>
    </row>
    <row r="84" spans="2:22" ht="15" customHeight="1" x14ac:dyDescent="0.2"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1"/>
      <c r="P84" s="1"/>
      <c r="Q84" s="1"/>
      <c r="R84" s="1"/>
      <c r="S84" s="1"/>
      <c r="T84" s="1"/>
      <c r="U84" s="1"/>
      <c r="V84" s="1"/>
    </row>
    <row r="85" spans="2:22" x14ac:dyDescent="0.2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1"/>
      <c r="P85" s="1"/>
      <c r="Q85" s="1"/>
      <c r="R85" s="1"/>
      <c r="S85" s="1"/>
      <c r="T85" s="1"/>
      <c r="U85" s="1"/>
      <c r="V85" s="1"/>
    </row>
    <row r="86" spans="2:22" x14ac:dyDescent="0.2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1"/>
      <c r="P86" s="1"/>
      <c r="Q86" s="1"/>
      <c r="R86" s="1"/>
      <c r="S86" s="1"/>
      <c r="T86" s="1"/>
      <c r="U86" s="1"/>
      <c r="V86" s="1"/>
    </row>
    <row r="87" spans="2:22" x14ac:dyDescent="0.2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1"/>
      <c r="P87" s="1"/>
      <c r="Q87" s="1"/>
      <c r="R87" s="1"/>
      <c r="S87" s="1"/>
      <c r="T87" s="1"/>
      <c r="U87" s="1"/>
      <c r="V87" s="1"/>
    </row>
    <row r="88" spans="2:22" x14ac:dyDescent="0.2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1"/>
      <c r="P88" s="1"/>
      <c r="Q88" s="1"/>
      <c r="R88" s="1"/>
      <c r="S88" s="1"/>
      <c r="T88" s="1"/>
      <c r="U88" s="1"/>
      <c r="V88" s="1"/>
    </row>
    <row r="89" spans="2:22" x14ac:dyDescent="0.2"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1"/>
      <c r="P89" s="1"/>
      <c r="Q89" s="1"/>
      <c r="R89" s="1"/>
      <c r="S89" s="1"/>
      <c r="T89" s="1"/>
      <c r="U89" s="1"/>
      <c r="V89" s="1"/>
    </row>
    <row r="90" spans="2:22" x14ac:dyDescent="0.2"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1"/>
      <c r="P90" s="1"/>
      <c r="Q90" s="1"/>
      <c r="R90" s="1"/>
      <c r="S90" s="1"/>
      <c r="T90" s="1"/>
      <c r="U90" s="1"/>
      <c r="V90" s="1"/>
    </row>
    <row r="91" spans="2:22" x14ac:dyDescent="0.2"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1"/>
      <c r="P91" s="1"/>
      <c r="Q91" s="1"/>
      <c r="R91" s="1"/>
      <c r="S91" s="1"/>
      <c r="T91" s="1"/>
      <c r="U91" s="1"/>
      <c r="V91" s="1"/>
    </row>
    <row r="92" spans="2:22" x14ac:dyDescent="0.2"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1"/>
      <c r="P92" s="1"/>
      <c r="Q92" s="1"/>
      <c r="R92" s="1"/>
      <c r="S92" s="1"/>
      <c r="T92" s="1"/>
      <c r="U92" s="1"/>
      <c r="V92" s="1"/>
    </row>
    <row r="93" spans="2:22" x14ac:dyDescent="0.2"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1"/>
      <c r="P93" s="1"/>
      <c r="Q93" s="1"/>
      <c r="R93" s="1"/>
      <c r="S93" s="1"/>
      <c r="T93" s="1"/>
      <c r="U93" s="1"/>
      <c r="V93" s="1"/>
    </row>
    <row r="94" spans="2:22" x14ac:dyDescent="0.2"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1"/>
      <c r="P94" s="1"/>
      <c r="Q94" s="1"/>
      <c r="R94" s="1"/>
      <c r="S94" s="1"/>
      <c r="T94" s="1"/>
      <c r="U94" s="1"/>
      <c r="V94" s="1"/>
    </row>
    <row r="95" spans="2:22" x14ac:dyDescent="0.2"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1"/>
      <c r="P95" s="1"/>
      <c r="Q95" s="1"/>
      <c r="R95" s="1"/>
      <c r="S95" s="1"/>
      <c r="T95" s="1"/>
      <c r="U95" s="1"/>
      <c r="V95" s="1"/>
    </row>
    <row r="96" spans="2:22" x14ac:dyDescent="0.2"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1"/>
      <c r="P96" s="1"/>
      <c r="Q96" s="1"/>
      <c r="R96" s="1"/>
      <c r="S96" s="1"/>
      <c r="T96" s="1"/>
      <c r="U96" s="1"/>
      <c r="V96" s="1"/>
    </row>
  </sheetData>
  <dataConsolidate/>
  <mergeCells count="16">
    <mergeCell ref="A77:V77"/>
    <mergeCell ref="E78:Q78"/>
    <mergeCell ref="A28:F38"/>
    <mergeCell ref="B7:C7"/>
    <mergeCell ref="G1:K1"/>
    <mergeCell ref="B3:C3"/>
    <mergeCell ref="B4:C4"/>
    <mergeCell ref="B6:C6"/>
    <mergeCell ref="D6:H6"/>
    <mergeCell ref="I6:K6"/>
    <mergeCell ref="L6:N6"/>
    <mergeCell ref="L7:N7"/>
    <mergeCell ref="I7:K7"/>
    <mergeCell ref="Q23:V23"/>
    <mergeCell ref="A27:F27"/>
    <mergeCell ref="D7:H7"/>
  </mergeCells>
  <conditionalFormatting sqref="J3">
    <cfRule type="expression" dxfId="52" priority="31" stopIfTrue="1">
      <formula>AND($J$4&lt;&gt;0,$J$4&lt;&gt;"")</formula>
    </cfRule>
  </conditionalFormatting>
  <conditionalFormatting sqref="B20:N20">
    <cfRule type="cellIs" dxfId="51" priority="34" stopIfTrue="1" operator="greaterThanOrEqual">
      <formula>0</formula>
    </cfRule>
    <cfRule type="cellIs" dxfId="50" priority="35" stopIfTrue="1" operator="lessThan">
      <formula>0</formula>
    </cfRule>
  </conditionalFormatting>
  <conditionalFormatting sqref="J4">
    <cfRule type="expression" dxfId="49" priority="36" stopIfTrue="1">
      <formula>AND($J$4&lt;&gt;0,$J$4&lt;&gt;"")</formula>
    </cfRule>
  </conditionalFormatting>
  <conditionalFormatting sqref="B23:N23">
    <cfRule type="cellIs" dxfId="48" priority="37" stopIfTrue="1" operator="equal">
      <formula>"Alerta"</formula>
    </cfRule>
  </conditionalFormatting>
  <conditionalFormatting sqref="B24:N24">
    <cfRule type="cellIs" dxfId="47" priority="27" stopIfTrue="1" operator="greaterThan">
      <formula>1</formula>
    </cfRule>
    <cfRule type="cellIs" dxfId="46" priority="28" stopIfTrue="1" operator="equal">
      <formula>1</formula>
    </cfRule>
    <cfRule type="cellIs" dxfId="45" priority="29" stopIfTrue="1" operator="equal">
      <formula>0</formula>
    </cfRule>
    <cfRule type="cellIs" dxfId="44" priority="30" stopIfTrue="1" operator="equal">
      <formula>"Alerta"</formula>
    </cfRule>
  </conditionalFormatting>
  <conditionalFormatting sqref="B21">
    <cfRule type="expression" dxfId="43" priority="25" stopIfTrue="1">
      <formula>B72&lt;&gt;""</formula>
    </cfRule>
  </conditionalFormatting>
  <conditionalFormatting sqref="C21:N21">
    <cfRule type="expression" dxfId="42" priority="24" stopIfTrue="1">
      <formula>C72&lt;&gt;""</formula>
    </cfRule>
  </conditionalFormatting>
  <conditionalFormatting sqref="B22">
    <cfRule type="expression" dxfId="41" priority="23" stopIfTrue="1">
      <formula>B73&lt;&gt;""</formula>
    </cfRule>
  </conditionalFormatting>
  <conditionalFormatting sqref="C22:N22">
    <cfRule type="expression" dxfId="40" priority="22" stopIfTrue="1">
      <formula>C73&lt;&gt;""</formula>
    </cfRule>
  </conditionalFormatting>
  <conditionalFormatting sqref="B26">
    <cfRule type="expression" dxfId="39" priority="17" stopIfTrue="1">
      <formula>B26&gt;0</formula>
    </cfRule>
  </conditionalFormatting>
  <conditionalFormatting sqref="F26">
    <cfRule type="expression" dxfId="38" priority="16" stopIfTrue="1">
      <formula>F26&gt;0</formula>
    </cfRule>
  </conditionalFormatting>
  <conditionalFormatting sqref="C26:E26">
    <cfRule type="expression" dxfId="37" priority="15" stopIfTrue="1">
      <formula>C26&gt;0</formula>
    </cfRule>
  </conditionalFormatting>
  <conditionalFormatting sqref="G26:N26">
    <cfRule type="expression" dxfId="36" priority="14" stopIfTrue="1">
      <formula>G26&gt;0</formula>
    </cfRule>
  </conditionalFormatting>
  <conditionalFormatting sqref="B25">
    <cfRule type="expression" dxfId="35" priority="13" stopIfTrue="1">
      <formula>B25&lt;0</formula>
    </cfRule>
  </conditionalFormatting>
  <conditionalFormatting sqref="C25:N25">
    <cfRule type="expression" dxfId="34" priority="11" stopIfTrue="1">
      <formula>C25&lt;0</formula>
    </cfRule>
  </conditionalFormatting>
  <conditionalFormatting sqref="S10">
    <cfRule type="expression" dxfId="33" priority="41" stopIfTrue="1">
      <formula>$S$10="-"</formula>
    </cfRule>
  </conditionalFormatting>
  <dataValidations xWindow="45" yWindow="136" count="1">
    <dataValidation operator="lessThan" showInputMessage="1" showErrorMessage="1" errorTitle="Error" error="Debe ingresar como máximo una fecha menor o igual a la actual." sqref="A4"/>
  </dataValidations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54" orientation="landscape" blackAndWhite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749495" r:id="rId4" name="cmdverHojas">
          <controlPr defaultSize="0" autoLine="0" r:id="rId5">
            <anchor moveWithCells="1">
              <from>
                <xdr:col>15</xdr:col>
                <xdr:colOff>28575</xdr:colOff>
                <xdr:row>5</xdr:row>
                <xdr:rowOff>57150</xdr:rowOff>
              </from>
              <to>
                <xdr:col>16</xdr:col>
                <xdr:colOff>485775</xdr:colOff>
                <xdr:row>7</xdr:row>
                <xdr:rowOff>28575</xdr:rowOff>
              </to>
            </anchor>
          </controlPr>
        </control>
      </mc:Choice>
      <mc:Fallback>
        <control shapeId="28749495" r:id="rId4" name="cmdverHojas"/>
      </mc:Fallback>
    </mc:AlternateContent>
    <mc:AlternateContent xmlns:mc="http://schemas.openxmlformats.org/markup-compatibility/2006">
      <mc:Choice Requires="x14">
        <control shapeId="2520" r:id="rId6" name="Group Box 472">
          <controlPr defaultSize="0" autoFill="0" autoPict="0">
            <anchor moveWithCells="1">
              <from>
                <xdr:col>20</xdr:col>
                <xdr:colOff>66675</xdr:colOff>
                <xdr:row>0</xdr:row>
                <xdr:rowOff>123825</xdr:rowOff>
              </from>
              <to>
                <xdr:col>22</xdr:col>
                <xdr:colOff>9525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23" r:id="rId7" name="Option Button 475">
          <controlPr defaultSize="0" autoFill="0" autoLine="0" autoPict="0">
            <anchor moveWithCells="1">
              <from>
                <xdr:col>20</xdr:col>
                <xdr:colOff>114300</xdr:colOff>
                <xdr:row>1</xdr:row>
                <xdr:rowOff>28575</xdr:rowOff>
              </from>
              <to>
                <xdr:col>21</xdr:col>
                <xdr:colOff>762000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24" r:id="rId8" name="Option Button 476">
          <controlPr defaultSize="0" autoFill="0" autoLine="0" autoPict="0">
            <anchor moveWithCells="1">
              <from>
                <xdr:col>20</xdr:col>
                <xdr:colOff>114300</xdr:colOff>
                <xdr:row>2</xdr:row>
                <xdr:rowOff>180975</xdr:rowOff>
              </from>
              <to>
                <xdr:col>21</xdr:col>
                <xdr:colOff>942975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26" r:id="rId9" name="Check Box 478">
          <controlPr defaultSize="0" autoFill="0" autoLine="0" autoPict="0">
            <anchor moveWithCells="1">
              <from>
                <xdr:col>20</xdr:col>
                <xdr:colOff>85725</xdr:colOff>
                <xdr:row>8</xdr:row>
                <xdr:rowOff>28575</xdr:rowOff>
              </from>
              <to>
                <xdr:col>21</xdr:col>
                <xdr:colOff>838200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234" r:id="rId10" name="Check Box 1146">
          <controlPr defaultSize="0" autoFill="0" autoLine="0" autoPict="0" altText="PROYECTADO">
            <anchor moveWithCells="1">
              <from>
                <xdr:col>20</xdr:col>
                <xdr:colOff>85725</xdr:colOff>
                <xdr:row>77</xdr:row>
                <xdr:rowOff>28575</xdr:rowOff>
              </from>
              <to>
                <xdr:col>21</xdr:col>
                <xdr:colOff>838200</xdr:colOff>
                <xdr:row>78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199758" r:id="rId11" name="Group Box 16462">
          <controlPr defaultSize="0" autoFill="0" autoPict="0">
            <anchor moveWithCells="1">
              <from>
                <xdr:col>13</xdr:col>
                <xdr:colOff>66675</xdr:colOff>
                <xdr:row>28</xdr:row>
                <xdr:rowOff>47625</xdr:rowOff>
              </from>
              <to>
                <xdr:col>14</xdr:col>
                <xdr:colOff>47625</xdr:colOff>
                <xdr:row>35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199759" r:id="rId12" name="Option Button 16463">
          <controlPr defaultSize="0" autoFill="0" autoLine="0" autoPict="0">
            <anchor moveWithCells="1">
              <from>
                <xdr:col>13</xdr:col>
                <xdr:colOff>123825</xdr:colOff>
                <xdr:row>29</xdr:row>
                <xdr:rowOff>38100</xdr:rowOff>
              </from>
              <to>
                <xdr:col>13</xdr:col>
                <xdr:colOff>609600</xdr:colOff>
                <xdr:row>30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199760" r:id="rId13" name="Option Button 16464">
          <controlPr defaultSize="0" autoFill="0" autoLine="0" autoPict="0">
            <anchor moveWithCells="1">
              <from>
                <xdr:col>13</xdr:col>
                <xdr:colOff>123825</xdr:colOff>
                <xdr:row>30</xdr:row>
                <xdr:rowOff>152400</xdr:rowOff>
              </from>
              <to>
                <xdr:col>13</xdr:col>
                <xdr:colOff>600075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199761" r:id="rId14" name="Option Button 16465">
          <controlPr defaultSize="0" autoFill="0" autoLine="0" autoPict="0">
            <anchor moveWithCells="1">
              <from>
                <xdr:col>13</xdr:col>
                <xdr:colOff>123825</xdr:colOff>
                <xdr:row>32</xdr:row>
                <xdr:rowOff>133350</xdr:rowOff>
              </from>
              <to>
                <xdr:col>13</xdr:col>
                <xdr:colOff>581025</xdr:colOff>
                <xdr:row>33</xdr:row>
                <xdr:rowOff>161925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stopIfTrue="1" id="{128E3F99-D952-435D-820F-59B949C60188}">
            <xm:f>GraficoPart!$C$3&lt;0.05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3" stopIfTrue="1" id="{91C2B544-9DF0-420F-B78C-0135527A2402}">
            <xm:f>GraficoPart!$C$3&lt;0.1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14:cfRule type="expression" priority="44" stopIfTrue="1" id="{284FF469-29C6-427A-AD6D-DF5FFAFF533E}">
            <xm:f>GraficoPart!$C$3&gt;=0.1</xm:f>
            <x14:dxf>
              <font>
                <b/>
                <i val="0"/>
              </font>
              <fill>
                <patternFill>
                  <fgColor rgb="FF00FF00"/>
                  <bgColor rgb="FF00FF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38" stopIfTrue="1" id="{E7339C6D-8A0D-4B7E-9280-CC87CBA684D8}">
            <xm:f>GraficoPart!$C$3&lt;0.15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39" stopIfTrue="1" id="{54D52ED0-3FCA-4340-9E8C-F156469B6E2D}">
            <xm:f>GraficoPart!$C$3&lt;0.3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14:cfRule type="expression" priority="40" stopIfTrue="1" id="{23AD12E4-B44D-42B9-88FD-AE9AFBAFA85C}">
            <xm:f>GraficoPart!$C$3&gt;=0.3</xm:f>
            <x14:dxf>
              <font>
                <b/>
                <i val="0"/>
              </font>
              <fill>
                <patternFill>
                  <fgColor rgb="FF00FF00"/>
                  <bgColor rgb="FF00FF00"/>
                </patternFill>
              </fill>
            </x14:dxf>
          </x14:cfRule>
          <xm:sqref>S9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_visorrk">
    <pageSetUpPr fitToPage="1"/>
  </sheetPr>
  <dimension ref="A1:AK98"/>
  <sheetViews>
    <sheetView showGridLines="0" zoomScale="70" zoomScaleNormal="70" workbookViewId="0">
      <pane ySplit="8" topLeftCell="A9" activePane="bottomLeft" state="frozen"/>
      <selection pane="bottomLeft" activeCell="P12" sqref="P12"/>
    </sheetView>
  </sheetViews>
  <sheetFormatPr baseColWidth="10" defaultRowHeight="12.75" outlineLevelRow="1" x14ac:dyDescent="0.2"/>
  <cols>
    <col min="1" max="1" width="15.7109375" style="120" customWidth="1"/>
    <col min="2" max="8" width="9.28515625" style="120" customWidth="1"/>
    <col min="9" max="9" width="10.140625" style="120" customWidth="1"/>
    <col min="10" max="14" width="9.28515625" style="120" customWidth="1"/>
    <col min="15" max="15" width="1.28515625" style="3" customWidth="1"/>
    <col min="16" max="16" width="10.140625" style="3" customWidth="1"/>
    <col min="17" max="17" width="13.28515625" style="3" customWidth="1"/>
    <col min="18" max="19" width="11.42578125" style="3" customWidth="1"/>
    <col min="20" max="20" width="0.85546875" style="3" customWidth="1"/>
    <col min="21" max="21" width="11.42578125" style="3" customWidth="1"/>
    <col min="22" max="22" width="12.85546875" style="3" customWidth="1"/>
    <col min="23" max="23" width="15.140625" style="3" customWidth="1"/>
    <col min="24" max="24" width="15.140625" style="3" hidden="1" customWidth="1"/>
    <col min="25" max="39" width="11.42578125" style="3" customWidth="1"/>
    <col min="40" max="16384" width="11.42578125" style="3"/>
  </cols>
  <sheetData>
    <row r="1" spans="1:24" s="1" customFormat="1" ht="15" customHeight="1" x14ac:dyDescent="0.2">
      <c r="A1" s="20" t="s">
        <v>35</v>
      </c>
      <c r="B1" s="19"/>
      <c r="C1" s="19"/>
      <c r="D1" s="23"/>
      <c r="E1" s="19"/>
      <c r="F1" s="19"/>
      <c r="G1" s="271" t="str">
        <f>IFERROR(INDEX(maestro!FcDetalle,MATCH(FcItem,maestro!FcClave,0),2),"")</f>
        <v/>
      </c>
      <c r="H1" s="272"/>
      <c r="I1" s="272"/>
      <c r="J1" s="272"/>
      <c r="K1" s="273"/>
      <c r="L1" s="19"/>
      <c r="M1" s="19"/>
      <c r="N1" s="19"/>
      <c r="O1" s="6"/>
      <c r="X1" s="177"/>
    </row>
    <row r="2" spans="1:24" s="1" customFormat="1" ht="15" customHeight="1" thickBot="1" x14ac:dyDescent="0.25">
      <c r="A2" s="19"/>
      <c r="B2" s="19"/>
      <c r="C2" s="19"/>
      <c r="D2" s="19"/>
      <c r="E2" s="19"/>
      <c r="F2" s="19"/>
      <c r="G2" s="19"/>
      <c r="H2" s="24"/>
      <c r="I2" s="19"/>
      <c r="J2" s="19"/>
      <c r="K2" s="19"/>
      <c r="L2" s="19"/>
      <c r="M2" s="19"/>
      <c r="N2" s="19"/>
      <c r="O2" s="6"/>
      <c r="X2" s="178">
        <v>1</v>
      </c>
    </row>
    <row r="3" spans="1:24" s="1" customFormat="1" ht="15.75" customHeight="1" thickBot="1" x14ac:dyDescent="0.25">
      <c r="A3" s="29" t="s">
        <v>31</v>
      </c>
      <c r="B3" s="274" t="s">
        <v>29</v>
      </c>
      <c r="C3" s="275"/>
      <c r="D3" s="22"/>
      <c r="E3" s="64" t="s">
        <v>60</v>
      </c>
      <c r="F3" s="15" t="s">
        <v>62</v>
      </c>
      <c r="G3" s="16" t="s">
        <v>69</v>
      </c>
      <c r="H3" s="16" t="s">
        <v>27</v>
      </c>
      <c r="I3" s="15" t="s">
        <v>68</v>
      </c>
      <c r="J3" s="16" t="s">
        <v>61</v>
      </c>
      <c r="K3" s="16" t="s">
        <v>65</v>
      </c>
      <c r="L3" s="99" t="s">
        <v>32</v>
      </c>
      <c r="M3" s="17" t="s">
        <v>33</v>
      </c>
      <c r="N3" s="17" t="s">
        <v>34</v>
      </c>
      <c r="O3" s="17"/>
      <c r="P3" s="99" t="s">
        <v>20</v>
      </c>
      <c r="Q3" s="17" t="s">
        <v>21</v>
      </c>
      <c r="R3" s="17" t="s">
        <v>22</v>
      </c>
      <c r="S3" s="21" t="s">
        <v>26</v>
      </c>
      <c r="X3" s="178" t="b">
        <v>0</v>
      </c>
    </row>
    <row r="4" spans="1:24" s="1" customFormat="1" ht="13.5" customHeight="1" thickBot="1" x14ac:dyDescent="0.25">
      <c r="A4" s="109">
        <v>41913</v>
      </c>
      <c r="B4" s="296">
        <f>IFERROR(IF(COUNTA('rk-Personalizado'!$B$2:$B$101)&lt;&gt;0,VLOOKUP($E$4,'rk-Personalizado'!$A$2:$B$101,2,0),INDEX(maestro!FcDetalle,MATCH($E$4,maestro!FcRankinRK,0),1)),"")</f>
        <v>0</v>
      </c>
      <c r="C4" s="297"/>
      <c r="E4" s="100">
        <v>1</v>
      </c>
      <c r="F4" s="101" t="str">
        <f>IFERROR(INDEX(maestro!FcDetalle,MATCH(FcItem,maestro!FcClave,0),7),"")</f>
        <v/>
      </c>
      <c r="G4" s="102" t="str">
        <f>IFERROR(INDEX(maestro!FcDetalle,MATCH(FcItem,maestro!FcClave,0),8),"")</f>
        <v/>
      </c>
      <c r="H4" s="102" t="str">
        <f>IFERROR(INDEX(maestro!FcDetalle,MATCH(FcItem,maestro!FcClave,0),9),"")</f>
        <v/>
      </c>
      <c r="I4" s="137" t="str">
        <f>CONCATENATE("R","-",IFERROR(INDEX(maestro!FcDetalle,MATCH(FcItem,maestro!FcClave,0),11),""),"   ","I","-",IFERROR(INDEX(maestro!FcDetalle,MATCH(FcItem,maestro!FcClave,0),12),""))</f>
        <v>R-   I-</v>
      </c>
      <c r="J4" s="103" t="str">
        <f>IFERROR(INDEX(maestro!FcDetalle,MATCH(FcItem,maestro!FcClave,0),(IF(FcIGVMon="VLN",13,IF(FcIGVMon="VEN",14,IF(FcIGVMon="VLI",15,16))))),"")</f>
        <v/>
      </c>
      <c r="K4" s="104">
        <f>COUNTIF(C13:N13,"&gt;0")/12</f>
        <v>0</v>
      </c>
      <c r="L4" s="105" t="str">
        <f>IFERROR(AVERAGE(C10:N10),"-")</f>
        <v>-</v>
      </c>
      <c r="M4" s="106" t="str">
        <f>IFERROR(AVERAGE(C11:N11),"-")</f>
        <v>-</v>
      </c>
      <c r="N4" s="106" t="str">
        <f>IFERROR(AVERAGE(C12:N12),"-")</f>
        <v>-</v>
      </c>
      <c r="O4" s="107"/>
      <c r="P4" s="105" t="str">
        <f>IFERROR(INDEX(maestro!FcDetalle,MATCH(FcItem,maestro!FcClave,0),17),"")</f>
        <v/>
      </c>
      <c r="Q4" s="106" t="str">
        <f>IFERROR(INDEX(maestro!FcDetalle,MATCH(FcItem,maestro!FcClave,0),18),"")</f>
        <v/>
      </c>
      <c r="R4" s="106" t="str">
        <f>IFERROR(INDEX(maestro!FcDetalle,MATCH(FcItem,maestro!FcClave,0),19),"")</f>
        <v/>
      </c>
      <c r="S4" s="108" t="str">
        <f>IFERROR(INDEX(maestro!FcDetalle,MATCH(FcItem,maestro!FcClave,0),20),"")</f>
        <v/>
      </c>
      <c r="X4" s="178" t="str">
        <f>IF(FcIgv=FALSE,IF(FcMoneda=1,"VLN","VEN"),IF(FcMoneda=1,"VLI","VEI"))</f>
        <v>VLN</v>
      </c>
    </row>
    <row r="5" spans="1:24" s="1" customFormat="1" ht="12" customHeight="1" outlineLevel="1" thickBo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6"/>
      <c r="X5" s="178">
        <f>IF(FcIGVMon="VLN",21,IF(FcIGVMon="VEN",49,IF(FcIGVMon="VLI",36,62)))</f>
        <v>21</v>
      </c>
    </row>
    <row r="6" spans="1:24" s="1" customFormat="1" ht="15" customHeight="1" outlineLevel="1" x14ac:dyDescent="0.2">
      <c r="A6" s="40" t="s">
        <v>38</v>
      </c>
      <c r="B6" s="278" t="s">
        <v>45</v>
      </c>
      <c r="C6" s="279"/>
      <c r="D6" s="280" t="s">
        <v>72</v>
      </c>
      <c r="E6" s="278"/>
      <c r="F6" s="278"/>
      <c r="G6" s="278"/>
      <c r="H6" s="279"/>
      <c r="I6" s="281" t="s">
        <v>39</v>
      </c>
      <c r="J6" s="282"/>
      <c r="K6" s="283"/>
      <c r="L6" s="282" t="s">
        <v>44</v>
      </c>
      <c r="M6" s="282"/>
      <c r="N6" s="284"/>
      <c r="O6" s="6"/>
      <c r="X6" s="178">
        <f>IF(FcIGVMon="VLN",82,IF(FcIGVMon="VEN",96,IF(FcIGVMon="VLI",89,103)))</f>
        <v>82</v>
      </c>
    </row>
    <row r="7" spans="1:24" s="1" customFormat="1" ht="10.5" customHeight="1" outlineLevel="1" thickBot="1" x14ac:dyDescent="0.25">
      <c r="A7" s="41" t="str">
        <f>IFERROR(INDEX(maestro!FcDetalle,MATCH(FcItem,maestro!FcClave,0),21),"")</f>
        <v/>
      </c>
      <c r="B7" s="285" t="str">
        <f>IFERROR(INDEX(maestro!FcDetalle,MATCH(FcItem,maestro!FcClave,0),22),"")</f>
        <v/>
      </c>
      <c r="C7" s="270"/>
      <c r="D7" s="269" t="str">
        <f>CONCATENATE(IFERROR(INDEX(maestro!FcDetalle,MATCH(FcItem,maestro!FcClave,0),23),""),"  ",IFERROR(INDEX(maestro!FcDetalle,MATCH(FcItem,maestro!FcClave,0),24),""),"  ",IFERROR(INDEX(maestro!FcDetalle,MATCH(FcItem,maestro!FcClave,0),25),""),"  ",IFERROR(INDEX(maestro!FcDetalle,MATCH(FcItem,maestro!FcClave,0),26),""))</f>
        <v xml:space="preserve">      </v>
      </c>
      <c r="E7" s="285"/>
      <c r="F7" s="285"/>
      <c r="G7" s="285"/>
      <c r="H7" s="270"/>
      <c r="I7" s="269" t="str">
        <f>CONCATENATE(IFERROR(INDEX(maestro!FcDetalle,MATCH(FcItem,maestro!FcClave,0),28),""),"  ",IFERROR(INDEX(maestro!FcDetalle,MATCH(FcItem,maestro!FcClave,0),29),""))</f>
        <v xml:space="preserve">  </v>
      </c>
      <c r="J7" s="285"/>
      <c r="K7" s="270"/>
      <c r="L7" s="285" t="str">
        <f>CONCATENATE(IFERROR(INDEX(maestro!FcDetalle,MATCH(FcItem,maestro!FcClave,0),33),""),"  ",IFERROR(INDEX(maestro!FcDetalle,MATCH(FcItem,maestro!FcClave,0),34),""),"  ",IFERROR(INDEX(maestro!FcDetalle,MATCH(FcItem,maestro!FcClave,0),35),""))</f>
        <v xml:space="preserve">    </v>
      </c>
      <c r="M7" s="285"/>
      <c r="N7" s="286"/>
      <c r="O7" s="6"/>
      <c r="X7" s="178">
        <v>7</v>
      </c>
    </row>
    <row r="8" spans="1:24" s="1" customFormat="1" ht="12.75" customHeight="1" thickBot="1" x14ac:dyDescent="0.25">
      <c r="A8" s="25"/>
      <c r="B8" s="26"/>
      <c r="C8" s="26"/>
      <c r="D8" s="26"/>
      <c r="E8" s="19"/>
      <c r="F8" s="19"/>
      <c r="G8" s="19"/>
      <c r="H8" s="27"/>
      <c r="I8" s="27"/>
      <c r="J8" s="27"/>
      <c r="K8" s="27"/>
      <c r="L8" s="27"/>
      <c r="M8" s="27"/>
      <c r="N8" s="27"/>
      <c r="O8" s="6"/>
      <c r="X8" s="178">
        <v>75</v>
      </c>
    </row>
    <row r="9" spans="1:24" s="1" customFormat="1" ht="15" customHeight="1" thickBot="1" x14ac:dyDescent="0.25">
      <c r="A9" s="79" t="s">
        <v>43</v>
      </c>
      <c r="B9" s="80">
        <f t="shared" ref="B9:M9" si="0">+DATE(IF(MONTH(C9)=1,YEAR(C9)-1,YEAR(C9)),IF(MONTH(C9)=1,12,MONTH(C9)-1),1)</f>
        <v>41548</v>
      </c>
      <c r="C9" s="80">
        <f t="shared" si="0"/>
        <v>41579</v>
      </c>
      <c r="D9" s="80">
        <f t="shared" si="0"/>
        <v>41609</v>
      </c>
      <c r="E9" s="80">
        <f t="shared" si="0"/>
        <v>41640</v>
      </c>
      <c r="F9" s="80">
        <f t="shared" si="0"/>
        <v>41671</v>
      </c>
      <c r="G9" s="80">
        <f t="shared" si="0"/>
        <v>41699</v>
      </c>
      <c r="H9" s="80">
        <f t="shared" si="0"/>
        <v>41730</v>
      </c>
      <c r="I9" s="80">
        <f t="shared" si="0"/>
        <v>41760</v>
      </c>
      <c r="J9" s="80">
        <f t="shared" si="0"/>
        <v>41791</v>
      </c>
      <c r="K9" s="80">
        <f t="shared" si="0"/>
        <v>41821</v>
      </c>
      <c r="L9" s="80">
        <f t="shared" si="0"/>
        <v>41852</v>
      </c>
      <c r="M9" s="80">
        <f t="shared" si="0"/>
        <v>41883</v>
      </c>
      <c r="N9" s="81">
        <f>+DATE(YEAR(A4),MONTH(A4),1)</f>
        <v>41913</v>
      </c>
      <c r="O9" s="6"/>
      <c r="S9" s="136" t="s">
        <v>11</v>
      </c>
      <c r="X9" s="178">
        <v>5</v>
      </c>
    </row>
    <row r="10" spans="1:24" s="1" customFormat="1" ht="15" customHeight="1" thickBot="1" x14ac:dyDescent="0.25">
      <c r="A10" s="66" t="s">
        <v>32</v>
      </c>
      <c r="B10" s="67" t="str">
        <f>IFERROR(INDEX(Venta!FcDetalle,MATCH(CONCATENATE("B-",$B$4,"REP"),Venta!FcClave,0),FcInicioCantMes+0),"")</f>
        <v/>
      </c>
      <c r="C10" s="67" t="str">
        <f>IFERROR(INDEX(Venta!FcDetalle,MATCH(CONCATENATE("B-",$B$4,"REP"),Venta!FcClave,0),FcInicioCantMes+1),"")</f>
        <v/>
      </c>
      <c r="D10" s="67" t="str">
        <f>IFERROR(INDEX(Venta!FcDetalle,MATCH(CONCATENATE("B-",$B$4,"REP"),Venta!FcClave,0),FcInicioCantMes+2),"")</f>
        <v/>
      </c>
      <c r="E10" s="67" t="str">
        <f>IFERROR(INDEX(Venta!FcDetalle,MATCH(CONCATENATE("B-",$B$4,"REP"),Venta!FcClave,0),FcInicioCantMes+3),"")</f>
        <v/>
      </c>
      <c r="F10" s="67" t="str">
        <f>IFERROR(INDEX(Venta!FcDetalle,MATCH(CONCATENATE("B-",$B$4,"REP"),Venta!FcClave,0),FcInicioCantMes+4),"")</f>
        <v/>
      </c>
      <c r="G10" s="67" t="str">
        <f>IFERROR(INDEX(Venta!FcDetalle,MATCH(CONCATENATE("B-",$B$4,"REP"),Venta!FcClave,0),FcInicioCantMes+5),"")</f>
        <v/>
      </c>
      <c r="H10" s="67" t="str">
        <f>IFERROR(INDEX(Venta!FcDetalle,MATCH(CONCATENATE("B-",$B$4,"REP"),Venta!FcClave,0),FcInicioCantMes+6),"")</f>
        <v/>
      </c>
      <c r="I10" s="67" t="str">
        <f>IFERROR(INDEX(Venta!FcDetalle,MATCH(CONCATENATE("B-",$B$4,"REP"),Venta!FcClave,0),FcInicioCantMes+7),"")</f>
        <v/>
      </c>
      <c r="J10" s="67" t="str">
        <f>IFERROR(INDEX(Venta!FcDetalle,MATCH(CONCATENATE("B-",$B$4,"REP"),Venta!FcClave,0),FcInicioCantMes+8),"")</f>
        <v/>
      </c>
      <c r="K10" s="67" t="str">
        <f>IFERROR(INDEX(Venta!FcDetalle,MATCH(CONCATENATE("B-",$B$4,"REP"),Venta!FcClave,0),FcInicioCantMes+9),"")</f>
        <v/>
      </c>
      <c r="L10" s="67" t="str">
        <f>IFERROR(INDEX(Venta!FcDetalle,MATCH(CONCATENATE("B-",$B$4,"REP"),Venta!FcClave,0),FcInicioCantMes+10),"")</f>
        <v/>
      </c>
      <c r="M10" s="67" t="str">
        <f>IFERROR(INDEX(Venta!FcDetalle,MATCH(CONCATENATE("B-",$B$4,"REP"),Venta!FcClave,0),FcInicioCantMes+11),"")</f>
        <v/>
      </c>
      <c r="N10" s="68" t="str">
        <f>IFERROR(INDEX(Venta!FcDetalle,MATCH(CONCATENATE("B-",$B$4,"REP"),Venta!FcClave,0),FcInicioCantMes+12),"")</f>
        <v/>
      </c>
      <c r="O10" s="8"/>
      <c r="S10" s="135" t="str">
        <f>IF(GraficoPart!$C$4&gt;0,"PART.HP",IF(IFERROR(LEN(INDEX(maestro!FcDetalle,MATCH(FcItem,maestro!FcClave,0),22)),0)&gt;0,"PART.HP","-"))</f>
        <v>-</v>
      </c>
      <c r="X10" s="178">
        <f>IF(FcIGVMon="VLN",5,IF(FcIGVMon="VEN",31,IF(FcIGVMon="VLI",18,44)))</f>
        <v>5</v>
      </c>
    </row>
    <row r="11" spans="1:24" s="1" customFormat="1" ht="15" customHeight="1" x14ac:dyDescent="0.2">
      <c r="A11" s="69" t="s">
        <v>33</v>
      </c>
      <c r="B11" s="70" t="str">
        <f>IFERROR(INDEX(Venta!FcDetalle,MATCH(CONCATENATE("B-",$B$4,"ESP"),Venta!FcClave,0),FcInicioCantMes+0),"")</f>
        <v/>
      </c>
      <c r="C11" s="70" t="str">
        <f>IFERROR(INDEX(Venta!FcDetalle,MATCH(CONCATENATE("B-",$B$4,"ESP"),Venta!FcClave,0),FcInicioCantMes+1),"")</f>
        <v/>
      </c>
      <c r="D11" s="70" t="str">
        <f>IFERROR(INDEX(Venta!FcDetalle,MATCH(CONCATENATE("B-",$B$4,"ESP"),Venta!FcClave,0),FcInicioCantMes+2),"")</f>
        <v/>
      </c>
      <c r="E11" s="70" t="str">
        <f>IFERROR(INDEX(Venta!FcDetalle,MATCH(CONCATENATE("B-",$B$4,"ESP"),Venta!FcClave,0),FcInicioCantMes+3),"")</f>
        <v/>
      </c>
      <c r="F11" s="70" t="str">
        <f>IFERROR(INDEX(Venta!FcDetalle,MATCH(CONCATENATE("B-",$B$4,"ESP"),Venta!FcClave,0),FcInicioCantMes+4),"")</f>
        <v/>
      </c>
      <c r="G11" s="70" t="str">
        <f>IFERROR(INDEX(Venta!FcDetalle,MATCH(CONCATENATE("B-",$B$4,"ESP"),Venta!FcClave,0),FcInicioCantMes+5),"")</f>
        <v/>
      </c>
      <c r="H11" s="70" t="str">
        <f>IFERROR(INDEX(Venta!FcDetalle,MATCH(CONCATENATE("B-",$B$4,"ESP"),Venta!FcClave,0),FcInicioCantMes+6),"")</f>
        <v/>
      </c>
      <c r="I11" s="70" t="str">
        <f>IFERROR(INDEX(Venta!FcDetalle,MATCH(CONCATENATE("B-",$B$4,"ESP"),Venta!FcClave,0),FcInicioCantMes+7),"")</f>
        <v/>
      </c>
      <c r="J11" s="70" t="str">
        <f>IFERROR(INDEX(Venta!FcDetalle,MATCH(CONCATENATE("B-",$B$4,"ESP"),Venta!FcClave,0),FcInicioCantMes+8),"")</f>
        <v/>
      </c>
      <c r="K11" s="70" t="str">
        <f>IFERROR(INDEX(Venta!FcDetalle,MATCH(CONCATENATE("B-",$B$4,"ESP"),Venta!FcClave,0),FcInicioCantMes+9),"")</f>
        <v/>
      </c>
      <c r="L11" s="70" t="str">
        <f>IFERROR(INDEX(Venta!FcDetalle,MATCH(CONCATENATE("B-",$B$4,"ESP"),Venta!FcClave,0),FcInicioCantMes+10),"")</f>
        <v/>
      </c>
      <c r="M11" s="70" t="str">
        <f>IFERROR(INDEX(Venta!FcDetalle,MATCH(CONCATENATE("B-",$B$4,"ESP"),Venta!FcClave,0),FcInicioCantMes+11),"")</f>
        <v/>
      </c>
      <c r="N11" s="71" t="str">
        <f>IFERROR(INDEX(Venta!FcDetalle,MATCH(CONCATENATE("B-",$B$4,"ESP"),Venta!FcClave,0),FcInicioCantMes+12),"")</f>
        <v/>
      </c>
      <c r="O11" s="8"/>
      <c r="X11" s="178">
        <v>1</v>
      </c>
    </row>
    <row r="12" spans="1:24" s="1" customFormat="1" ht="15" customHeight="1" thickBot="1" x14ac:dyDescent="0.25">
      <c r="A12" s="72" t="s">
        <v>34</v>
      </c>
      <c r="B12" s="73" t="str">
        <f>IFERROR(INDEX(Venta!FcDetalle,MATCH(CONCATENATE("B-",$B$4,"EXP"),Venta!FcClave,0),FcInicioCantMes+0),"")</f>
        <v/>
      </c>
      <c r="C12" s="73" t="str">
        <f>IFERROR(INDEX(Venta!FcDetalle,MATCH(CONCATENATE("B-",$B$4,"EXP"),Venta!FcClave,0),FcInicioCantMes+1),"")</f>
        <v/>
      </c>
      <c r="D12" s="73" t="str">
        <f>IFERROR(INDEX(Venta!FcDetalle,MATCH(CONCATENATE("B-",$B$4,"EXP"),Venta!FcClave,0),FcInicioCantMes+2),"")</f>
        <v/>
      </c>
      <c r="E12" s="73" t="str">
        <f>IFERROR(INDEX(Venta!FcDetalle,MATCH(CONCATENATE("B-",$B$4,"EXP"),Venta!FcClave,0),FcInicioCantMes+3),"")</f>
        <v/>
      </c>
      <c r="F12" s="73" t="str">
        <f>IFERROR(INDEX(Venta!FcDetalle,MATCH(CONCATENATE("B-",$B$4,"EXP"),Venta!FcClave,0),FcInicioCantMes+4),"")</f>
        <v/>
      </c>
      <c r="G12" s="73" t="str">
        <f>IFERROR(INDEX(Venta!FcDetalle,MATCH(CONCATENATE("B-",$B$4,"EXP"),Venta!FcClave,0),FcInicioCantMes+5),"")</f>
        <v/>
      </c>
      <c r="H12" s="73" t="str">
        <f>IFERROR(INDEX(Venta!FcDetalle,MATCH(CONCATENATE("B-",$B$4,"EXP"),Venta!FcClave,0),FcInicioCantMes+6),"")</f>
        <v/>
      </c>
      <c r="I12" s="73" t="str">
        <f>IFERROR(INDEX(Venta!FcDetalle,MATCH(CONCATENATE("B-",$B$4,"EXP"),Venta!FcClave,0),FcInicioCantMes+7),"")</f>
        <v/>
      </c>
      <c r="J12" s="73" t="str">
        <f>IFERROR(INDEX(Venta!FcDetalle,MATCH(CONCATENATE("B-",$B$4,"EXP"),Venta!FcClave,0),FcInicioCantMes+8),"")</f>
        <v/>
      </c>
      <c r="K12" s="73" t="str">
        <f>IFERROR(INDEX(Venta!FcDetalle,MATCH(CONCATENATE("B-",$B$4,"EXP"),Venta!FcClave,0),FcInicioCantMes+9),"")</f>
        <v/>
      </c>
      <c r="L12" s="73" t="str">
        <f>IFERROR(INDEX(Venta!FcDetalle,MATCH(CONCATENATE("B-",$B$4,"EXP"),Venta!FcClave,0),FcInicioCantMes+10),"")</f>
        <v/>
      </c>
      <c r="M12" s="73" t="str">
        <f>IFERROR(INDEX(Venta!FcDetalle,MATCH(CONCATENATE("B-",$B$4,"EXP"),Venta!FcClave,0),FcInicioCantMes+11),"")</f>
        <v/>
      </c>
      <c r="N12" s="74" t="str">
        <f>IFERROR(INDEX(Venta!FcDetalle,MATCH(CONCATENATE("B-",$B$4,"EXP"),Venta!FcClave,0),FcInicioCantMes+12),"")</f>
        <v/>
      </c>
      <c r="O12" s="8"/>
      <c r="X12" s="177" t="b">
        <v>0</v>
      </c>
    </row>
    <row r="13" spans="1:24" s="1" customFormat="1" ht="15" customHeight="1" thickBot="1" x14ac:dyDescent="0.25">
      <c r="A13" s="75" t="str">
        <f>UPPER($B$4)</f>
        <v>0</v>
      </c>
      <c r="B13" s="76" t="str">
        <f t="shared" ref="B13:N13" si="1">IF(COUNTIF(B10:B12,"")=3,"",SUM(B10:B12))</f>
        <v/>
      </c>
      <c r="C13" s="76" t="str">
        <f t="shared" si="1"/>
        <v/>
      </c>
      <c r="D13" s="76" t="str">
        <f t="shared" si="1"/>
        <v/>
      </c>
      <c r="E13" s="76" t="str">
        <f t="shared" si="1"/>
        <v/>
      </c>
      <c r="F13" s="76" t="str">
        <f t="shared" si="1"/>
        <v/>
      </c>
      <c r="G13" s="76" t="str">
        <f t="shared" si="1"/>
        <v/>
      </c>
      <c r="H13" s="76" t="str">
        <f t="shared" si="1"/>
        <v/>
      </c>
      <c r="I13" s="76" t="str">
        <f t="shared" si="1"/>
        <v/>
      </c>
      <c r="J13" s="76" t="str">
        <f t="shared" si="1"/>
        <v/>
      </c>
      <c r="K13" s="76" t="str">
        <f t="shared" si="1"/>
        <v/>
      </c>
      <c r="L13" s="76" t="str">
        <f t="shared" si="1"/>
        <v/>
      </c>
      <c r="M13" s="76" t="str">
        <f t="shared" si="1"/>
        <v/>
      </c>
      <c r="N13" s="77" t="str">
        <f t="shared" si="1"/>
        <v/>
      </c>
      <c r="O13" s="7"/>
      <c r="X13" s="177"/>
    </row>
    <row r="14" spans="1:24" s="1" customFormat="1" ht="15" customHeight="1" outlineLevel="1" x14ac:dyDescent="0.2">
      <c r="A14" s="83" t="s">
        <v>48</v>
      </c>
      <c r="B14" s="84" t="str">
        <f>IFERROR(INDEX(Proy!FcDetalle,MATCH(CONCATENATE($B$4,"REP"),Proy!FcClave,0),FcInicioProyMes+0),"")</f>
        <v/>
      </c>
      <c r="C14" s="84" t="str">
        <f>IFERROR(INDEX(Proy!FcDetalle,MATCH(CONCATENATE($B$4,"REP"),Proy!FcClave,0),FcInicioProyMes+1),"")</f>
        <v/>
      </c>
      <c r="D14" s="84" t="str">
        <f>IFERROR(INDEX(Proy!FcDetalle,MATCH(CONCATENATE($B$4,"REP"),Proy!FcClave,0),FcInicioProyMes+2),"")</f>
        <v/>
      </c>
      <c r="E14" s="84" t="str">
        <f>IFERROR(INDEX(Proy!FcDetalle,MATCH(CONCATENATE($B$4,"REP"),Proy!FcClave,0),FcInicioProyMes+3),"")</f>
        <v/>
      </c>
      <c r="F14" s="84" t="str">
        <f>IFERROR(INDEX(Proy!FcDetalle,MATCH(CONCATENATE($B$4,"REP"),Proy!FcClave,0),FcInicioProyMes+4),"")</f>
        <v/>
      </c>
      <c r="G14" s="84" t="str">
        <f>IFERROR(INDEX(Proy!FcDetalle,MATCH(CONCATENATE($B$4,"REP"),Proy!FcClave,0),FcInicioProyMes+5),"")</f>
        <v/>
      </c>
      <c r="H14" s="84" t="str">
        <f>IFERROR(INDEX(Proy!FcDetalle,MATCH(CONCATENATE($B$4,"REP"),Proy!FcClave,0),FcInicioProyMes+6),"")</f>
        <v/>
      </c>
      <c r="I14" s="84" t="str">
        <f>IFERROR(INDEX(Proy!FcDetalle,MATCH(CONCATENATE($B$4,"REP"),Proy!FcClave,0),FcInicioProyMes+7),"")</f>
        <v/>
      </c>
      <c r="J14" s="84" t="str">
        <f>IFERROR(INDEX(Proy!FcDetalle,MATCH(CONCATENATE($B$4,"REP"),Proy!FcClave,0),FcInicioProyMes+8),"")</f>
        <v/>
      </c>
      <c r="K14" s="84" t="str">
        <f>IFERROR(INDEX(Proy!FcDetalle,MATCH(CONCATENATE($B$4,"REP"),Proy!FcClave,0),FcInicioProyMes+9),"")</f>
        <v/>
      </c>
      <c r="L14" s="84" t="str">
        <f>IFERROR(INDEX(Proy!FcDetalle,MATCH(CONCATENATE($B$4,"REP"),Proy!FcClave,0),FcInicioProyMes+10),"")</f>
        <v/>
      </c>
      <c r="M14" s="84" t="str">
        <f>IFERROR(INDEX(Proy!FcDetalle,MATCH(CONCATENATE($B$4,"REP"),Proy!FcClave,0),FcInicioProyMes+11),"")</f>
        <v/>
      </c>
      <c r="N14" s="85" t="str">
        <f>IFERROR(INDEX(Proy!FcDetalle,MATCH(CONCATENATE($B$4,"REP"),Proy!FcClave,0),FcInicioProyMes+12),"")</f>
        <v/>
      </c>
      <c r="O14" s="8"/>
      <c r="X14" s="177"/>
    </row>
    <row r="15" spans="1:24" s="1" customFormat="1" ht="15" customHeight="1" outlineLevel="1" x14ac:dyDescent="0.2">
      <c r="A15" s="86" t="s">
        <v>49</v>
      </c>
      <c r="B15" s="87" t="str">
        <f>IFERROR(INDEX(Proy!FcDetalle,MATCH(CONCATENATE($B$4,"ESP"),Proy!FcClave,0),FcInicioProyMes+0),"")</f>
        <v/>
      </c>
      <c r="C15" s="87" t="str">
        <f>IFERROR(INDEX(Proy!FcDetalle,MATCH(CONCATENATE($B$4,"ESP"),Proy!FcClave,0),FcInicioProyMes+1),"")</f>
        <v/>
      </c>
      <c r="D15" s="87" t="str">
        <f>IFERROR(INDEX(Proy!FcDetalle,MATCH(CONCATENATE($B$4,"ESP"),Proy!FcClave,0),FcInicioProyMes+2),"")</f>
        <v/>
      </c>
      <c r="E15" s="87" t="str">
        <f>IFERROR(INDEX(Proy!FcDetalle,MATCH(CONCATENATE($B$4,"ESP"),Proy!FcClave,0),FcInicioProyMes+3),"")</f>
        <v/>
      </c>
      <c r="F15" s="87" t="str">
        <f>IFERROR(INDEX(Proy!FcDetalle,MATCH(CONCATENATE($B$4,"ESP"),Proy!FcClave,0),FcInicioProyMes+4),"")</f>
        <v/>
      </c>
      <c r="G15" s="87" t="str">
        <f>IFERROR(INDEX(Proy!FcDetalle,MATCH(CONCATENATE($B$4,"ESP"),Proy!FcClave,0),FcInicioProyMes+5),"")</f>
        <v/>
      </c>
      <c r="H15" s="87" t="str">
        <f>IFERROR(INDEX(Proy!FcDetalle,MATCH(CONCATENATE($B$4,"ESP"),Proy!FcClave,0),FcInicioProyMes+6),"")</f>
        <v/>
      </c>
      <c r="I15" s="87" t="str">
        <f>IFERROR(INDEX(Proy!FcDetalle,MATCH(CONCATENATE($B$4,"ESP"),Proy!FcClave,0),FcInicioProyMes+7),"")</f>
        <v/>
      </c>
      <c r="J15" s="87" t="str">
        <f>IFERROR(INDEX(Proy!FcDetalle,MATCH(CONCATENATE($B$4,"ESP"),Proy!FcClave,0),FcInicioProyMes+8),"")</f>
        <v/>
      </c>
      <c r="K15" s="87" t="str">
        <f>IFERROR(INDEX(Proy!FcDetalle,MATCH(CONCATENATE($B$4,"ESP"),Proy!FcClave,0),FcInicioProyMes+9),"")</f>
        <v/>
      </c>
      <c r="L15" s="87" t="str">
        <f>IFERROR(INDEX(Proy!FcDetalle,MATCH(CONCATENATE($B$4,"ESP"),Proy!FcClave,0),FcInicioProyMes+10),"")</f>
        <v/>
      </c>
      <c r="M15" s="87" t="str">
        <f>IFERROR(INDEX(Proy!FcDetalle,MATCH(CONCATENATE($B$4,"ESP"),Proy!FcClave,0),FcInicioProyMes+11),"")</f>
        <v/>
      </c>
      <c r="N15" s="88" t="str">
        <f>IFERROR(INDEX(Proy!FcDetalle,MATCH(CONCATENATE($B$4,"ESP"),Proy!FcClave,0),FcInicioProyMes+12),"")</f>
        <v/>
      </c>
      <c r="O15" s="8"/>
      <c r="X15" s="177"/>
    </row>
    <row r="16" spans="1:24" s="1" customFormat="1" ht="15" customHeight="1" outlineLevel="1" x14ac:dyDescent="0.2">
      <c r="A16" s="86" t="s">
        <v>40</v>
      </c>
      <c r="B16" s="87" t="str">
        <f>IFERROR(INDEX(Proy!FcDetalle,MATCH(CONCATENATE($B$4,"EXP"),Proy!FcClave,0),FcInicioProyMes+0),"")</f>
        <v/>
      </c>
      <c r="C16" s="87" t="str">
        <f>IFERROR(INDEX(Proy!FcDetalle,MATCH(CONCATENATE($B$4,"EXP"),Proy!FcClave,0),FcInicioProyMes+1),"")</f>
        <v/>
      </c>
      <c r="D16" s="87" t="str">
        <f>IFERROR(INDEX(Proy!FcDetalle,MATCH(CONCATENATE($B$4,"EXP"),Proy!FcClave,0),FcInicioProyMes+2),"")</f>
        <v/>
      </c>
      <c r="E16" s="87" t="str">
        <f>IFERROR(INDEX(Proy!FcDetalle,MATCH(CONCATENATE($B$4,"EXP"),Proy!FcClave,0),FcInicioProyMes+3),"")</f>
        <v/>
      </c>
      <c r="F16" s="87" t="str">
        <f>IFERROR(INDEX(Proy!FcDetalle,MATCH(CONCATENATE($B$4,"EXP"),Proy!FcClave,0),FcInicioProyMes+4),"")</f>
        <v/>
      </c>
      <c r="G16" s="87" t="str">
        <f>IFERROR(INDEX(Proy!FcDetalle,MATCH(CONCATENATE($B$4,"EXP"),Proy!FcClave,0),FcInicioProyMes+5),"")</f>
        <v/>
      </c>
      <c r="H16" s="87" t="str">
        <f>IFERROR(INDEX(Proy!FcDetalle,MATCH(CONCATENATE($B$4,"EXP"),Proy!FcClave,0),FcInicioProyMes+6),"")</f>
        <v/>
      </c>
      <c r="I16" s="87" t="str">
        <f>IFERROR(INDEX(Proy!FcDetalle,MATCH(CONCATENATE($B$4,"EXP"),Proy!FcClave,0),FcInicioProyMes+7),"")</f>
        <v/>
      </c>
      <c r="J16" s="87" t="str">
        <f>IFERROR(INDEX(Proy!FcDetalle,MATCH(CONCATENATE($B$4,"EXP"),Proy!FcClave,0),FcInicioProyMes+8),"")</f>
        <v/>
      </c>
      <c r="K16" s="87" t="str">
        <f>IFERROR(INDEX(Proy!FcDetalle,MATCH(CONCATENATE($B$4,"EXP"),Proy!FcClave,0),FcInicioProyMes+9),"")</f>
        <v/>
      </c>
      <c r="L16" s="87" t="str">
        <f>IFERROR(INDEX(Proy!FcDetalle,MATCH(CONCATENATE($B$4,"EXP"),Proy!FcClave,0),FcInicioProyMes+10),"")</f>
        <v/>
      </c>
      <c r="M16" s="87" t="str">
        <f>IFERROR(INDEX(Proy!FcDetalle,MATCH(CONCATENATE($B$4,"EXP"),Proy!FcClave,0),FcInicioProyMes+11),"")</f>
        <v/>
      </c>
      <c r="N16" s="88" t="str">
        <f>IFERROR(INDEX(Proy!FcDetalle,MATCH(CONCATENATE($B$4,"EXP"),Proy!FcClave,0),FcInicioProyMes+12),"")</f>
        <v/>
      </c>
      <c r="O16" s="8"/>
      <c r="X16" s="177"/>
    </row>
    <row r="17" spans="1:37" s="1" customFormat="1" ht="15" customHeight="1" outlineLevel="1" x14ac:dyDescent="0.2">
      <c r="A17" s="86" t="s">
        <v>41</v>
      </c>
      <c r="B17" s="87" t="str">
        <f>IF(ISERROR(VLOOKUP($B$4,#REF!,MATCH(B$9,#REF!,0),FALSE)),"",VLOOKUP($B$4,#REF!,MATCH(B$9,#REF!,0),FALSE))</f>
        <v/>
      </c>
      <c r="C17" s="87" t="str">
        <f>IF(ISERROR(VLOOKUP($B$4,#REF!,MATCH(C$9,#REF!,0),FALSE)),"",VLOOKUP($B$4,#REF!,MATCH(C$9,#REF!,0),FALSE))</f>
        <v/>
      </c>
      <c r="D17" s="87" t="str">
        <f>IF(ISERROR(VLOOKUP($B$4,#REF!,MATCH(D$9,#REF!,0),FALSE)),"",VLOOKUP($B$4,#REF!,MATCH(D$9,#REF!,0),FALSE))</f>
        <v/>
      </c>
      <c r="E17" s="87" t="str">
        <f>IF(ISERROR(VLOOKUP($B$4,#REF!,MATCH(E$9,#REF!,0),FALSE)),"",VLOOKUP($B$4,#REF!,MATCH(E$9,#REF!,0),FALSE))</f>
        <v/>
      </c>
      <c r="F17" s="87" t="str">
        <f>IF(ISERROR(VLOOKUP($B$4,#REF!,MATCH(F$9,#REF!,0),FALSE)),"",VLOOKUP($B$4,#REF!,MATCH(F$9,#REF!,0),FALSE))</f>
        <v/>
      </c>
      <c r="G17" s="87" t="str">
        <f>IF(ISERROR(VLOOKUP($B$4,#REF!,MATCH(G$9,#REF!,0),FALSE)),"",VLOOKUP($B$4,#REF!,MATCH(G$9,#REF!,0),FALSE))</f>
        <v/>
      </c>
      <c r="H17" s="87" t="str">
        <f>IF(ISERROR(VLOOKUP($B$4,#REF!,MATCH(H$9,#REF!,0),FALSE)),"",VLOOKUP($B$4,#REF!,MATCH(H$9,#REF!,0),FALSE))</f>
        <v/>
      </c>
      <c r="I17" s="87" t="str">
        <f>IF(ISERROR(VLOOKUP($B$4,#REF!,MATCH(I$9,#REF!,0),FALSE)),"",VLOOKUP($B$4,#REF!,MATCH(I$9,#REF!,0),FALSE))</f>
        <v/>
      </c>
      <c r="J17" s="87" t="str">
        <f>IF(ISERROR(VLOOKUP($B$4,#REF!,MATCH(J$9,#REF!,0),FALSE)),"",VLOOKUP($B$4,#REF!,MATCH(J$9,#REF!,0),FALSE))</f>
        <v/>
      </c>
      <c r="K17" s="87" t="str">
        <f>IF(ISERROR(VLOOKUP($B$4,#REF!,MATCH(K$9,#REF!,0),FALSE)),"",VLOOKUP($B$4,#REF!,MATCH(K$9,#REF!,0),FALSE))</f>
        <v/>
      </c>
      <c r="L17" s="87" t="str">
        <f>IF(ISERROR(VLOOKUP($B$4,#REF!,MATCH(L$9,#REF!,0),FALSE)),"",VLOOKUP($B$4,#REF!,MATCH(L$9,#REF!,0),FALSE))</f>
        <v/>
      </c>
      <c r="M17" s="87" t="str">
        <f>IF(ISERROR(VLOOKUP($B$4,#REF!,MATCH(M$9,#REF!,0),FALSE)),"",VLOOKUP($B$4,#REF!,MATCH(M$9,#REF!,0),FALSE))</f>
        <v/>
      </c>
      <c r="N17" s="88" t="str">
        <f>IF(ISERROR(VLOOKUP($B$4,#REF!,MATCH(N$9,#REF!,0),FALSE)),"",VLOOKUP($B$4,#REF!,MATCH(N$9,#REF!,0),FALSE))</f>
        <v/>
      </c>
      <c r="O17" s="8"/>
      <c r="X17" s="177"/>
    </row>
    <row r="18" spans="1:37" s="1" customFormat="1" ht="15" customHeight="1" outlineLevel="1" thickBot="1" x14ac:dyDescent="0.25">
      <c r="A18" s="86" t="s">
        <v>42</v>
      </c>
      <c r="B18" s="87" t="str">
        <f>IF(ISERROR(VLOOKUP($B$4,#REF!,MATCH(B$9,#REF!,0),FALSE)),"",VLOOKUP($B$4,#REF!,MATCH(B$9,#REF!,0),FALSE))</f>
        <v/>
      </c>
      <c r="C18" s="87" t="str">
        <f>IF(ISERROR(VLOOKUP($B$4,#REF!,MATCH(C$9,#REF!,0),FALSE)),"",VLOOKUP($B$4,#REF!,MATCH(C$9,#REF!,0),FALSE))</f>
        <v/>
      </c>
      <c r="D18" s="87" t="str">
        <f>IF(ISERROR(VLOOKUP($B$4,#REF!,MATCH(D$9,#REF!,0),FALSE)),"",VLOOKUP($B$4,#REF!,MATCH(D$9,#REF!,0),FALSE))</f>
        <v/>
      </c>
      <c r="E18" s="87" t="str">
        <f>IF(ISERROR(VLOOKUP($B$4,#REF!,MATCH(E$9,#REF!,0),FALSE)),"",VLOOKUP($B$4,#REF!,MATCH(E$9,#REF!,0),FALSE))</f>
        <v/>
      </c>
      <c r="F18" s="87" t="str">
        <f>IF(ISERROR(VLOOKUP($B$4,#REF!,MATCH(F$9,#REF!,0),FALSE)),"",VLOOKUP($B$4,#REF!,MATCH(F$9,#REF!,0),FALSE))</f>
        <v/>
      </c>
      <c r="G18" s="87" t="str">
        <f>IF(ISERROR(VLOOKUP($B$4,#REF!,MATCH(G$9,#REF!,0),FALSE)),"",VLOOKUP($B$4,#REF!,MATCH(G$9,#REF!,0),FALSE))</f>
        <v/>
      </c>
      <c r="H18" s="87" t="str">
        <f>IF(ISERROR(VLOOKUP($B$4,#REF!,MATCH(H$9,#REF!,0),FALSE)),"",VLOOKUP($B$4,#REF!,MATCH(H$9,#REF!,0),FALSE))</f>
        <v/>
      </c>
      <c r="I18" s="87" t="str">
        <f>IF(ISERROR(VLOOKUP($B$4,#REF!,MATCH(I$9,#REF!,0),FALSE)),"",VLOOKUP($B$4,#REF!,MATCH(I$9,#REF!,0),FALSE))</f>
        <v/>
      </c>
      <c r="J18" s="87" t="str">
        <f>IF(ISERROR(VLOOKUP($B$4,#REF!,MATCH(J$9,#REF!,0),FALSE)),"",VLOOKUP($B$4,#REF!,MATCH(J$9,#REF!,0),FALSE))</f>
        <v/>
      </c>
      <c r="K18" s="87" t="str">
        <f>IF(ISERROR(VLOOKUP($B$4,#REF!,MATCH(K$9,#REF!,0),FALSE)),"",VLOOKUP($B$4,#REF!,MATCH(K$9,#REF!,0),FALSE))</f>
        <v/>
      </c>
      <c r="L18" s="87" t="str">
        <f>IF(ISERROR(VLOOKUP($B$4,#REF!,MATCH(L$9,#REF!,0),FALSE)),"",VLOOKUP($B$4,#REF!,MATCH(L$9,#REF!,0),FALSE))</f>
        <v/>
      </c>
      <c r="M18" s="87" t="str">
        <f>IF(ISERROR(VLOOKUP($B$4,#REF!,MATCH(M$9,#REF!,0),FALSE)),"",VLOOKUP($B$4,#REF!,MATCH(M$9,#REF!,0),FALSE))</f>
        <v/>
      </c>
      <c r="N18" s="88" t="str">
        <f>IF(ISERROR(VLOOKUP($B$4,#REF!,MATCH(N$9,#REF!,0),FALSE)),"",VLOOKUP($B$4,#REF!,MATCH(N$9,#REF!,0),FALSE))</f>
        <v/>
      </c>
      <c r="O18" s="8"/>
      <c r="X18" s="177"/>
    </row>
    <row r="19" spans="1:37" s="1" customFormat="1" ht="15" customHeight="1" thickBot="1" x14ac:dyDescent="0.25">
      <c r="A19" s="43" t="s">
        <v>67</v>
      </c>
      <c r="B19" s="44" t="str">
        <f t="shared" ref="B19:N19" si="2">IF(COUNTIF(B14:B18,"")=5,"",SUM(B14:B18))</f>
        <v/>
      </c>
      <c r="C19" s="44" t="str">
        <f t="shared" si="2"/>
        <v/>
      </c>
      <c r="D19" s="44" t="str">
        <f t="shared" si="2"/>
        <v/>
      </c>
      <c r="E19" s="44" t="str">
        <f t="shared" si="2"/>
        <v/>
      </c>
      <c r="F19" s="44" t="str">
        <f t="shared" si="2"/>
        <v/>
      </c>
      <c r="G19" s="44" t="str">
        <f t="shared" si="2"/>
        <v/>
      </c>
      <c r="H19" s="44" t="str">
        <f t="shared" si="2"/>
        <v/>
      </c>
      <c r="I19" s="44" t="str">
        <f t="shared" si="2"/>
        <v/>
      </c>
      <c r="J19" s="44" t="str">
        <f t="shared" si="2"/>
        <v/>
      </c>
      <c r="K19" s="44" t="str">
        <f t="shared" si="2"/>
        <v/>
      </c>
      <c r="L19" s="44" t="str">
        <f t="shared" si="2"/>
        <v/>
      </c>
      <c r="M19" s="44" t="str">
        <f t="shared" si="2"/>
        <v/>
      </c>
      <c r="N19" s="45" t="str">
        <f t="shared" si="2"/>
        <v/>
      </c>
      <c r="O19" s="9"/>
      <c r="X19" s="177"/>
    </row>
    <row r="20" spans="1:37" s="1" customFormat="1" ht="15" customHeight="1" thickBot="1" x14ac:dyDescent="0.25">
      <c r="A20" s="18" t="s">
        <v>37</v>
      </c>
      <c r="B20" s="13" t="str">
        <f t="shared" ref="B20:N20" si="3">IFERROR((B19/B13)-1,"")</f>
        <v/>
      </c>
      <c r="C20" s="13" t="str">
        <f t="shared" si="3"/>
        <v/>
      </c>
      <c r="D20" s="13" t="str">
        <f t="shared" si="3"/>
        <v/>
      </c>
      <c r="E20" s="13" t="str">
        <f t="shared" si="3"/>
        <v/>
      </c>
      <c r="F20" s="13" t="str">
        <f t="shared" si="3"/>
        <v/>
      </c>
      <c r="G20" s="13" t="str">
        <f t="shared" si="3"/>
        <v/>
      </c>
      <c r="H20" s="13" t="str">
        <f t="shared" si="3"/>
        <v/>
      </c>
      <c r="I20" s="13" t="str">
        <f t="shared" si="3"/>
        <v/>
      </c>
      <c r="J20" s="13" t="str">
        <f t="shared" si="3"/>
        <v/>
      </c>
      <c r="K20" s="13" t="str">
        <f t="shared" si="3"/>
        <v/>
      </c>
      <c r="L20" s="13" t="str">
        <f t="shared" si="3"/>
        <v/>
      </c>
      <c r="M20" s="13" t="str">
        <f t="shared" si="3"/>
        <v/>
      </c>
      <c r="N20" s="14" t="str">
        <f t="shared" si="3"/>
        <v/>
      </c>
      <c r="O20" s="10"/>
      <c r="X20" s="177"/>
    </row>
    <row r="21" spans="1:37" s="1" customFormat="1" ht="15" customHeight="1" x14ac:dyDescent="0.2">
      <c r="A21" s="32" t="str">
        <f>CONCATENATE("Rep ",$A$7)</f>
        <v xml:space="preserve">Rep </v>
      </c>
      <c r="B21" s="36" t="str">
        <f>IFERROR(INDEX(Venta!FcDetalle,MATCH(CONCATENATE("B-",$A$7,"REP"),Venta!FcClave,0),FcInicioCantMes+0),"")</f>
        <v/>
      </c>
      <c r="C21" s="36" t="str">
        <f>IFERROR(INDEX(Venta!FcDetalle,MATCH(CONCATENATE("B-",$A$7,"REP"),Venta!FcClave,0),FcInicioCantMes+1),"")</f>
        <v/>
      </c>
      <c r="D21" s="36" t="str">
        <f>IFERROR(INDEX(Venta!FcDetalle,MATCH(CONCATENATE("B-",$A$7,"REP"),Venta!FcClave,0),FcInicioCantMes+2),"")</f>
        <v/>
      </c>
      <c r="E21" s="36" t="str">
        <f>IFERROR(INDEX(Venta!FcDetalle,MATCH(CONCATENATE("B-",$A$7,"REP"),Venta!FcClave,0),FcInicioCantMes+3),"")</f>
        <v/>
      </c>
      <c r="F21" s="36" t="str">
        <f>IFERROR(INDEX(Venta!FcDetalle,MATCH(CONCATENATE("B-",$A$7,"REP"),Venta!FcClave,0),FcInicioCantMes+4),"")</f>
        <v/>
      </c>
      <c r="G21" s="36" t="str">
        <f>IFERROR(INDEX(Venta!FcDetalle,MATCH(CONCATENATE("B-",$A$7,"REP"),Venta!FcClave,0),FcInicioCantMes+5),"")</f>
        <v/>
      </c>
      <c r="H21" s="36" t="str">
        <f>IFERROR(INDEX(Venta!FcDetalle,MATCH(CONCATENATE("B-",$A$7,"REP"),Venta!FcClave,0),FcInicioCantMes+6),"")</f>
        <v/>
      </c>
      <c r="I21" s="36" t="str">
        <f>IFERROR(INDEX(Venta!FcDetalle,MATCH(CONCATENATE("B-",$A$7,"REP"),Venta!FcClave,0),FcInicioCantMes+7),"")</f>
        <v/>
      </c>
      <c r="J21" s="36" t="str">
        <f>IFERROR(INDEX(Venta!FcDetalle,MATCH(CONCATENATE("B-",$A$7,"REP"),Venta!FcClave,0),FcInicioCantMes+8),"")</f>
        <v/>
      </c>
      <c r="K21" s="36" t="str">
        <f>IFERROR(INDEX(Venta!FcDetalle,MATCH(CONCATENATE("B-",$A$7,"REP"),Venta!FcClave,0),FcInicioCantMes+9),"")</f>
        <v/>
      </c>
      <c r="L21" s="36" t="str">
        <f>IFERROR(INDEX(Venta!FcDetalle,MATCH(CONCATENATE("B-",$A$7,"REP"),Venta!FcClave,0),FcInicioCantMes+10),"")</f>
        <v/>
      </c>
      <c r="M21" s="36" t="str">
        <f>IFERROR(INDEX(Venta!FcDetalle,MATCH(CONCATENATE("B-",$A$7,"REP"),Venta!FcClave,0),FcInicioCantMes+11),"")</f>
        <v/>
      </c>
      <c r="N21" s="36" t="str">
        <f>IFERROR(INDEX(Venta!FcDetalle,MATCH(CONCATENATE("B-",$A$7,"REP"),Venta!FcClave,0),FcInicioCantMes+12),"")</f>
        <v/>
      </c>
      <c r="O21" s="9"/>
      <c r="X21" s="177"/>
    </row>
    <row r="22" spans="1:37" s="1" customFormat="1" ht="15" customHeight="1" thickBot="1" x14ac:dyDescent="0.25">
      <c r="A22" s="31" t="str">
        <f>CONCATENATE("Rep ",$B$7)</f>
        <v xml:space="preserve">Rep </v>
      </c>
      <c r="B22" s="37" t="str">
        <f>IFERROR(INDEX(Venta!FcDetalle,MATCH(CONCATENATE("B-",$B$7,"REP"),Venta!FcClave,0),FcInicioCantMes+0),"")</f>
        <v/>
      </c>
      <c r="C22" s="37" t="str">
        <f>IFERROR(INDEX(Venta!FcDetalle,MATCH(CONCATENATE("B-",$B$7,"REP"),Venta!FcClave,0),FcInicioCantMes+1),"")</f>
        <v/>
      </c>
      <c r="D22" s="37" t="str">
        <f>IFERROR(INDEX(Venta!FcDetalle,MATCH(CONCATENATE("B-",$B$7,"REP"),Venta!FcClave,0),FcInicioCantMes+2),"")</f>
        <v/>
      </c>
      <c r="E22" s="37" t="str">
        <f>IFERROR(INDEX(Venta!FcDetalle,MATCH(CONCATENATE("B-",$B$7,"REP"),Venta!FcClave,0),FcInicioCantMes+3),"")</f>
        <v/>
      </c>
      <c r="F22" s="37" t="str">
        <f>IFERROR(INDEX(Venta!FcDetalle,MATCH(CONCATENATE("B-",$B$7,"REP"),Venta!FcClave,0),FcInicioCantMes+4),"")</f>
        <v/>
      </c>
      <c r="G22" s="37" t="str">
        <f>IFERROR(INDEX(Venta!FcDetalle,MATCH(CONCATENATE("B-",$B$7,"REP"),Venta!FcClave,0),FcInicioCantMes+5),"")</f>
        <v/>
      </c>
      <c r="H22" s="37" t="str">
        <f>IFERROR(INDEX(Venta!FcDetalle,MATCH(CONCATENATE("B-",$B$7,"REP"),Venta!FcClave,0),FcInicioCantMes+6),"")</f>
        <v/>
      </c>
      <c r="I22" s="37" t="str">
        <f>IFERROR(INDEX(Venta!FcDetalle,MATCH(CONCATENATE("B-",$B$7,"REP"),Venta!FcClave,0),FcInicioCantMes+7),"")</f>
        <v/>
      </c>
      <c r="J22" s="37" t="str">
        <f>IFERROR(INDEX(Venta!FcDetalle,MATCH(CONCATENATE("B-",$B$7,"REP"),Venta!FcClave,0),FcInicioCantMes+8),"")</f>
        <v/>
      </c>
      <c r="K22" s="37" t="str">
        <f>IFERROR(INDEX(Venta!FcDetalle,MATCH(CONCATENATE("B-",$B$7,"REP"),Venta!FcClave,0),FcInicioCantMes+9),"")</f>
        <v/>
      </c>
      <c r="L22" s="37" t="str">
        <f>IFERROR(INDEX(Venta!FcDetalle,MATCH(CONCATENATE("B-",$B$7,"REP"),Venta!FcClave,0),FcInicioCantMes+10),"")</f>
        <v/>
      </c>
      <c r="M22" s="37" t="str">
        <f>IFERROR(INDEX(Venta!FcDetalle,MATCH(CONCATENATE("B-",$B$7,"REP"),Venta!FcClave,0),FcInicioCantMes+11),"")</f>
        <v/>
      </c>
      <c r="N22" s="37" t="str">
        <f>IFERROR(INDEX(Venta!FcDetalle,MATCH(CONCATENATE("B-",$B$7,"REP"),Venta!FcClave,0),FcInicioCantMes+12),"")</f>
        <v/>
      </c>
      <c r="O22" s="9"/>
    </row>
    <row r="23" spans="1:37" s="1" customFormat="1" ht="15" customHeight="1" thickBot="1" x14ac:dyDescent="0.25">
      <c r="A23" s="18" t="s">
        <v>30</v>
      </c>
      <c r="B23" s="42"/>
      <c r="C23" s="42" t="e">
        <f t="shared" ref="C23:N23" si="4">IF(AND(C21&lt;B21,C22&gt;B22,(C22-B22)&gt;0.25*(B21-C21)),"Alerta","")</f>
        <v>#VALUE!</v>
      </c>
      <c r="D23" s="42" t="e">
        <f t="shared" si="4"/>
        <v>#VALUE!</v>
      </c>
      <c r="E23" s="42" t="e">
        <f t="shared" si="4"/>
        <v>#VALUE!</v>
      </c>
      <c r="F23" s="42" t="e">
        <f t="shared" si="4"/>
        <v>#VALUE!</v>
      </c>
      <c r="G23" s="42" t="e">
        <f t="shared" si="4"/>
        <v>#VALUE!</v>
      </c>
      <c r="H23" s="42" t="e">
        <f t="shared" si="4"/>
        <v>#VALUE!</v>
      </c>
      <c r="I23" s="42" t="e">
        <f t="shared" si="4"/>
        <v>#VALUE!</v>
      </c>
      <c r="J23" s="42" t="e">
        <f t="shared" si="4"/>
        <v>#VALUE!</v>
      </c>
      <c r="K23" s="42" t="e">
        <f t="shared" si="4"/>
        <v>#VALUE!</v>
      </c>
      <c r="L23" s="42" t="e">
        <f t="shared" si="4"/>
        <v>#VALUE!</v>
      </c>
      <c r="M23" s="42" t="e">
        <f t="shared" si="4"/>
        <v>#VALUE!</v>
      </c>
      <c r="N23" s="42" t="e">
        <f t="shared" si="4"/>
        <v>#VALUE!</v>
      </c>
      <c r="O23" s="8"/>
      <c r="P23" s="124"/>
      <c r="Q23" s="290" t="s">
        <v>12</v>
      </c>
      <c r="R23" s="291"/>
      <c r="S23" s="291"/>
      <c r="T23" s="291"/>
      <c r="U23" s="291"/>
      <c r="V23" s="292"/>
    </row>
    <row r="24" spans="1:37" s="1" customFormat="1" ht="15" customHeight="1" x14ac:dyDescent="0.2">
      <c r="A24" s="132" t="s">
        <v>14</v>
      </c>
      <c r="B24" s="119">
        <f>IFERROR(INDEX(RG!FcDetalle,MATCH($B$4,RG!FcClave,0),3),0)</f>
        <v>0</v>
      </c>
      <c r="C24" s="119">
        <f>IFERROR(INDEX(RG!FcDetalle,MATCH($B$4,RG!FcClave,0),4),0)</f>
        <v>0</v>
      </c>
      <c r="D24" s="119">
        <f>IFERROR(INDEX(RG!FcDetalle,MATCH($B$4,RG!FcClave,0),5),0)</f>
        <v>0</v>
      </c>
      <c r="E24" s="119">
        <f>IFERROR(INDEX(RG!FcDetalle,MATCH($B$4,RG!FcClave,0),6),0)</f>
        <v>0</v>
      </c>
      <c r="F24" s="119">
        <f>IFERROR(INDEX(RG!FcDetalle,MATCH($B$4,RG!FcClave,0),7),0)</f>
        <v>0</v>
      </c>
      <c r="G24" s="119">
        <f>IFERROR(INDEX(RG!FcDetalle,MATCH($B$4,RG!FcClave,0),8),0)</f>
        <v>0</v>
      </c>
      <c r="H24" s="119">
        <f>IFERROR(INDEX(RG!FcDetalle,MATCH($B$4,RG!FcClave,0),9),0)</f>
        <v>0</v>
      </c>
      <c r="I24" s="119">
        <f>IFERROR(INDEX(RG!FcDetalle,MATCH($B$4,RG!FcClave,0),10),0)</f>
        <v>0</v>
      </c>
      <c r="J24" s="119">
        <f>IFERROR(INDEX(RG!FcDetalle,MATCH($B$4,RG!FcClave,0),11),0)</f>
        <v>0</v>
      </c>
      <c r="K24" s="119">
        <f>IFERROR(INDEX(RG!FcDetalle,MATCH($B$4,RG!FcClave,0),12),0)</f>
        <v>0</v>
      </c>
      <c r="L24" s="119">
        <f>IFERROR(INDEX(RG!FcDetalle,MATCH($B$4,RG!FcClave,0),13),0)</f>
        <v>0</v>
      </c>
      <c r="M24" s="119">
        <f>IFERROR(INDEX(RG!FcDetalle,MATCH($B$4,RG!FcClave,0),14),0)</f>
        <v>0</v>
      </c>
      <c r="N24" s="119">
        <f>IFERROR(INDEX(RG!FcDetalle,MATCH($B$4,RG!FcClave,0),15),0)</f>
        <v>0</v>
      </c>
      <c r="O24" s="4"/>
      <c r="P24" s="4"/>
      <c r="Q24" s="3"/>
    </row>
    <row r="25" spans="1:37" ht="14.25" customHeight="1" x14ac:dyDescent="0.2">
      <c r="A25" s="132" t="s">
        <v>0</v>
      </c>
      <c r="B25" s="70">
        <f>IFERROR(INDEX(StockBO!FcDetalle,MATCH($B$4,StockBO!FcClave,0),3),0)</f>
        <v>0</v>
      </c>
      <c r="C25" s="70">
        <f>IFERROR(INDEX(StockBO!FcDetalle,MATCH($B$4,StockBO!FcClave,0),4),0)</f>
        <v>0</v>
      </c>
      <c r="D25" s="70">
        <f>IFERROR(INDEX(StockBO!FcDetalle,MATCH($B$4,StockBO!FcClave,0),5),0)</f>
        <v>0</v>
      </c>
      <c r="E25" s="70">
        <f>IFERROR(INDEX(StockBO!FcDetalle,MATCH($B$4,StockBO!FcClave,0),6),0)</f>
        <v>0</v>
      </c>
      <c r="F25" s="70">
        <f>IFERROR(INDEX(StockBO!FcDetalle,MATCH($B$4,StockBO!FcClave,0),7),0)</f>
        <v>0</v>
      </c>
      <c r="G25" s="70">
        <f>IFERROR(INDEX(StockBO!FcDetalle,MATCH($B$4,StockBO!FcClave,0),8),0)</f>
        <v>0</v>
      </c>
      <c r="H25" s="70">
        <f>IFERROR(INDEX(StockBO!FcDetalle,MATCH($B$4,StockBO!FcClave,0),9),0)</f>
        <v>0</v>
      </c>
      <c r="I25" s="70">
        <f>IFERROR(INDEX(StockBO!FcDetalle,MATCH($B$4,StockBO!FcClave,0),10),0)</f>
        <v>0</v>
      </c>
      <c r="J25" s="70">
        <f>IFERROR(INDEX(StockBO!FcDetalle,MATCH($B$4,StockBO!FcClave,0),11),0)</f>
        <v>0</v>
      </c>
      <c r="K25" s="70">
        <f>IFERROR(INDEX(StockBO!FcDetalle,MATCH($B$4,StockBO!FcClave,0),12),0)</f>
        <v>0</v>
      </c>
      <c r="L25" s="70">
        <f>IFERROR(INDEX(StockBO!FcDetalle,MATCH($B$4,StockBO!FcClave,0),13),0)</f>
        <v>0</v>
      </c>
      <c r="M25" s="70">
        <f>IFERROR(INDEX(StockBO!FcDetalle,MATCH($B$4,StockBO!FcClave,0),14),0)</f>
        <v>0</v>
      </c>
      <c r="N25" s="70">
        <f>IFERROR(INDEX(StockBO!FcDetalle,MATCH($B$4,StockBO!FcClave,0),15),0)</f>
        <v>0</v>
      </c>
    </row>
    <row r="26" spans="1:37" ht="14.25" customHeight="1" x14ac:dyDescent="0.2">
      <c r="A26" s="132" t="s">
        <v>2</v>
      </c>
      <c r="B26" s="70">
        <f>IFERROR(INDEX(StockBO!FcDetalle,MATCH($B$4,StockBO!FcClave,0),16),0)</f>
        <v>0</v>
      </c>
      <c r="C26" s="70">
        <f>IFERROR(INDEX(StockBO!FcDetalle,MATCH($B$4,StockBO!FcClave,0),17),0)</f>
        <v>0</v>
      </c>
      <c r="D26" s="70">
        <f>IFERROR(INDEX(StockBO!FcDetalle,MATCH($B$4,StockBO!FcClave,0),18),0)</f>
        <v>0</v>
      </c>
      <c r="E26" s="70">
        <f>IFERROR(INDEX(StockBO!FcDetalle,MATCH($B$4,StockBO!FcClave,0),19),0)</f>
        <v>0</v>
      </c>
      <c r="F26" s="70">
        <f>IFERROR(INDEX(StockBO!FcDetalle,MATCH($B$4,StockBO!FcClave,0),20),0)</f>
        <v>0</v>
      </c>
      <c r="G26" s="70">
        <f>IFERROR(INDEX(StockBO!FcDetalle,MATCH($B$4,StockBO!FcClave,0),21),0)</f>
        <v>0</v>
      </c>
      <c r="H26" s="70">
        <f>IFERROR(INDEX(StockBO!FcDetalle,MATCH($B$4,StockBO!FcClave,0),22),0)</f>
        <v>0</v>
      </c>
      <c r="I26" s="70">
        <f>IFERROR(INDEX(StockBO!FcDetalle,MATCH($B$4,StockBO!FcClave,0),23),0)</f>
        <v>0</v>
      </c>
      <c r="J26" s="70">
        <f>IFERROR(INDEX(StockBO!FcDetalle,MATCH($B$4,StockBO!FcClave,0),24),0)</f>
        <v>0</v>
      </c>
      <c r="K26" s="70">
        <f>IFERROR(INDEX(StockBO!FcDetalle,MATCH($B$4,StockBO!FcClave,0),25),0)</f>
        <v>0</v>
      </c>
      <c r="L26" s="70">
        <f>IFERROR(INDEX(StockBO!FcDetalle,MATCH($B$4,StockBO!FcClave,0),26),0)</f>
        <v>0</v>
      </c>
      <c r="M26" s="70">
        <f>IFERROR(INDEX(StockBO!FcDetalle,MATCH($B$4,StockBO!FcClave,0),27),0)</f>
        <v>0</v>
      </c>
      <c r="N26" s="70">
        <f>IFERROR(INDEX(StockBO!FcDetalle,MATCH($B$4,StockBO!FcClave,0),28),0)</f>
        <v>0</v>
      </c>
    </row>
    <row r="27" spans="1:37" ht="14.25" customHeight="1" x14ac:dyDescent="0.2">
      <c r="A27" s="298" t="s">
        <v>36</v>
      </c>
      <c r="B27" s="299"/>
      <c r="C27" s="299"/>
      <c r="D27" s="299"/>
      <c r="E27" s="299"/>
      <c r="F27" s="300"/>
      <c r="G27" s="30"/>
      <c r="H27" s="3"/>
      <c r="I27" s="3"/>
      <c r="J27" s="3"/>
      <c r="K27" s="3"/>
      <c r="L27" s="3"/>
      <c r="M27" s="3"/>
      <c r="N27" s="3"/>
    </row>
    <row r="28" spans="1:37" ht="14.25" customHeight="1" x14ac:dyDescent="0.2">
      <c r="A28" s="260" t="str">
        <f>IFERROR(INDEX(maestro!FcDetalle,MATCH(FcItem,maestro!FcClave,0),38),"")</f>
        <v/>
      </c>
      <c r="B28" s="261"/>
      <c r="C28" s="261"/>
      <c r="D28" s="261"/>
      <c r="E28" s="261"/>
      <c r="F28" s="262"/>
      <c r="G28" s="30"/>
      <c r="H28" s="3"/>
      <c r="I28" s="3"/>
      <c r="J28" s="3"/>
      <c r="K28" s="3"/>
      <c r="L28" s="3"/>
      <c r="M28" s="3"/>
      <c r="N28" s="3"/>
    </row>
    <row r="29" spans="1:37" ht="14.25" customHeight="1" x14ac:dyDescent="0.2">
      <c r="A29" s="263"/>
      <c r="B29" s="264"/>
      <c r="C29" s="264"/>
      <c r="D29" s="264"/>
      <c r="E29" s="264"/>
      <c r="F29" s="265"/>
      <c r="G29" s="30"/>
      <c r="H29" s="3"/>
      <c r="I29" s="3"/>
      <c r="J29" s="3"/>
      <c r="K29" s="3"/>
      <c r="L29" s="3"/>
      <c r="M29" s="3"/>
      <c r="N29" s="3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179"/>
      <c r="AJ29" s="179"/>
      <c r="AK29" s="179"/>
    </row>
    <row r="30" spans="1:37" ht="14.25" customHeight="1" x14ac:dyDescent="0.2">
      <c r="A30" s="263"/>
      <c r="B30" s="264"/>
      <c r="C30" s="264"/>
      <c r="D30" s="264"/>
      <c r="E30" s="264"/>
      <c r="F30" s="265"/>
      <c r="G30" s="30"/>
      <c r="H30" s="3"/>
      <c r="I30" s="3"/>
      <c r="J30" s="3"/>
      <c r="K30" s="3"/>
      <c r="L30" s="3"/>
      <c r="M30" s="3"/>
      <c r="N30" s="3"/>
    </row>
    <row r="31" spans="1:37" ht="14.25" customHeight="1" x14ac:dyDescent="0.2">
      <c r="A31" s="263"/>
      <c r="B31" s="264"/>
      <c r="C31" s="264"/>
      <c r="D31" s="264"/>
      <c r="E31" s="264"/>
      <c r="F31" s="265"/>
      <c r="G31" s="30"/>
      <c r="H31" s="3"/>
      <c r="I31" s="3"/>
      <c r="J31" s="3"/>
      <c r="K31" s="3"/>
      <c r="L31" s="3"/>
      <c r="M31" s="3"/>
      <c r="N31" s="3"/>
    </row>
    <row r="32" spans="1:37" ht="14.25" customHeight="1" x14ac:dyDescent="0.2">
      <c r="A32" s="263"/>
      <c r="B32" s="264"/>
      <c r="C32" s="264"/>
      <c r="D32" s="264"/>
      <c r="E32" s="264"/>
      <c r="F32" s="265"/>
      <c r="G32" s="30"/>
      <c r="H32" s="3"/>
      <c r="I32" s="3"/>
      <c r="J32" s="3"/>
      <c r="K32" s="3"/>
      <c r="L32" s="3"/>
      <c r="M32" s="3"/>
      <c r="N32" s="3"/>
    </row>
    <row r="33" spans="1:22" ht="14.25" customHeight="1" x14ac:dyDescent="0.2">
      <c r="A33" s="263"/>
      <c r="B33" s="264"/>
      <c r="C33" s="264"/>
      <c r="D33" s="264"/>
      <c r="E33" s="264"/>
      <c r="F33" s="265"/>
      <c r="G33" s="30"/>
      <c r="H33" s="3"/>
      <c r="I33" s="3"/>
      <c r="J33" s="3"/>
      <c r="K33" s="3"/>
      <c r="L33" s="3"/>
      <c r="M33" s="3"/>
      <c r="N33" s="3"/>
    </row>
    <row r="34" spans="1:22" ht="14.25" customHeight="1" x14ac:dyDescent="0.2">
      <c r="A34" s="263"/>
      <c r="B34" s="264"/>
      <c r="C34" s="264"/>
      <c r="D34" s="264"/>
      <c r="E34" s="264"/>
      <c r="F34" s="265"/>
      <c r="G34" s="30"/>
      <c r="H34" s="3"/>
      <c r="I34" s="3"/>
      <c r="J34" s="3"/>
      <c r="K34" s="3"/>
      <c r="L34" s="3"/>
      <c r="M34" s="3"/>
      <c r="N34" s="3"/>
    </row>
    <row r="35" spans="1:22" ht="14.25" customHeight="1" x14ac:dyDescent="0.2">
      <c r="A35" s="263"/>
      <c r="B35" s="264"/>
      <c r="C35" s="264"/>
      <c r="D35" s="264"/>
      <c r="E35" s="264"/>
      <c r="F35" s="265"/>
      <c r="G35" s="30"/>
      <c r="H35" s="3"/>
      <c r="I35" s="3"/>
      <c r="J35" s="3"/>
      <c r="K35" s="3"/>
      <c r="L35" s="3"/>
      <c r="M35" s="3"/>
      <c r="N35" s="3"/>
    </row>
    <row r="36" spans="1:22" ht="14.25" customHeight="1" x14ac:dyDescent="0.2">
      <c r="A36" s="263"/>
      <c r="B36" s="264"/>
      <c r="C36" s="264"/>
      <c r="D36" s="264"/>
      <c r="E36" s="264"/>
      <c r="F36" s="265"/>
      <c r="G36" s="30"/>
      <c r="H36" s="3"/>
      <c r="I36" s="3"/>
      <c r="J36" s="3"/>
      <c r="K36" s="3"/>
      <c r="L36" s="3"/>
      <c r="M36" s="3"/>
      <c r="N36" s="3"/>
    </row>
    <row r="37" spans="1:22" ht="14.25" customHeight="1" x14ac:dyDescent="0.2">
      <c r="A37" s="263"/>
      <c r="B37" s="264"/>
      <c r="C37" s="264"/>
      <c r="D37" s="264"/>
      <c r="E37" s="264"/>
      <c r="F37" s="265"/>
      <c r="G37" s="30"/>
      <c r="H37" s="3"/>
      <c r="I37" s="3"/>
      <c r="J37" s="3"/>
      <c r="K37" s="3"/>
      <c r="L37" s="3"/>
      <c r="M37" s="3"/>
      <c r="N37" s="3"/>
    </row>
    <row r="38" spans="1:22" ht="14.25" customHeight="1" x14ac:dyDescent="0.2">
      <c r="A38" s="266"/>
      <c r="B38" s="267"/>
      <c r="C38" s="267"/>
      <c r="D38" s="267"/>
      <c r="E38" s="267"/>
      <c r="F38" s="268"/>
      <c r="G38" s="30"/>
      <c r="H38" s="3"/>
      <c r="I38" s="3"/>
      <c r="J38" s="3"/>
      <c r="K38" s="3"/>
      <c r="L38" s="3"/>
      <c r="M38" s="3"/>
      <c r="N38" s="3"/>
    </row>
    <row r="39" spans="1:22" s="1" customFormat="1" ht="9.9499999999999993" customHeight="1" thickBot="1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28"/>
      <c r="L39" s="28"/>
      <c r="M39" s="28"/>
      <c r="N39" s="19"/>
      <c r="P39" s="3"/>
      <c r="Q39" s="3"/>
      <c r="R39" s="3"/>
      <c r="S39" s="3"/>
      <c r="T39" s="3"/>
      <c r="U39" s="3"/>
      <c r="V39" s="3"/>
    </row>
    <row r="40" spans="1:22" s="1" customFormat="1" ht="15" customHeight="1" thickBot="1" x14ac:dyDescent="0.25">
      <c r="A40" s="79" t="s">
        <v>66</v>
      </c>
      <c r="B40" s="80">
        <f t="shared" ref="B40:N40" si="5">B9</f>
        <v>41548</v>
      </c>
      <c r="C40" s="80">
        <f t="shared" si="5"/>
        <v>41579</v>
      </c>
      <c r="D40" s="80">
        <f t="shared" si="5"/>
        <v>41609</v>
      </c>
      <c r="E40" s="80">
        <f t="shared" si="5"/>
        <v>41640</v>
      </c>
      <c r="F40" s="80">
        <f t="shared" si="5"/>
        <v>41671</v>
      </c>
      <c r="G40" s="80">
        <f t="shared" si="5"/>
        <v>41699</v>
      </c>
      <c r="H40" s="80">
        <f t="shared" si="5"/>
        <v>41730</v>
      </c>
      <c r="I40" s="80">
        <f t="shared" si="5"/>
        <v>41760</v>
      </c>
      <c r="J40" s="80">
        <f t="shared" si="5"/>
        <v>41791</v>
      </c>
      <c r="K40" s="80">
        <f t="shared" si="5"/>
        <v>41821</v>
      </c>
      <c r="L40" s="80">
        <f t="shared" si="5"/>
        <v>41852</v>
      </c>
      <c r="M40" s="80">
        <f t="shared" si="5"/>
        <v>41883</v>
      </c>
      <c r="N40" s="81">
        <f t="shared" si="5"/>
        <v>41913</v>
      </c>
      <c r="O40" s="5"/>
    </row>
    <row r="41" spans="1:22" s="1" customFormat="1" ht="15" customHeight="1" x14ac:dyDescent="0.2">
      <c r="A41" s="89" t="s">
        <v>58</v>
      </c>
      <c r="B41" s="90" t="str">
        <f>IF(B70=0,"",B70)</f>
        <v/>
      </c>
      <c r="C41" s="90" t="str">
        <f t="shared" ref="C41:M41" si="6">IF(C70=0,"",C70)</f>
        <v/>
      </c>
      <c r="D41" s="90" t="str">
        <f t="shared" si="6"/>
        <v/>
      </c>
      <c r="E41" s="90" t="str">
        <f t="shared" si="6"/>
        <v/>
      </c>
      <c r="F41" s="90" t="str">
        <f t="shared" si="6"/>
        <v/>
      </c>
      <c r="G41" s="90" t="str">
        <f t="shared" si="6"/>
        <v/>
      </c>
      <c r="H41" s="90" t="str">
        <f t="shared" si="6"/>
        <v/>
      </c>
      <c r="I41" s="90" t="str">
        <f t="shared" si="6"/>
        <v/>
      </c>
      <c r="J41" s="90" t="str">
        <f t="shared" si="6"/>
        <v/>
      </c>
      <c r="K41" s="90" t="str">
        <f t="shared" si="6"/>
        <v/>
      </c>
      <c r="L41" s="90" t="str">
        <f t="shared" si="6"/>
        <v/>
      </c>
      <c r="M41" s="90" t="str">
        <f t="shared" si="6"/>
        <v/>
      </c>
      <c r="N41" s="219" t="str">
        <f>IF(N70=0,"",N70)</f>
        <v/>
      </c>
      <c r="O41" s="33"/>
    </row>
    <row r="42" spans="1:22" s="1" customFormat="1" ht="15" customHeight="1" x14ac:dyDescent="0.2">
      <c r="A42" s="92" t="s">
        <v>59</v>
      </c>
      <c r="B42" s="93" t="str">
        <f>IF(B71=0,"",B71)</f>
        <v/>
      </c>
      <c r="C42" s="93" t="str">
        <f t="shared" ref="C42:N42" si="7">C71</f>
        <v/>
      </c>
      <c r="D42" s="93" t="str">
        <f t="shared" si="7"/>
        <v/>
      </c>
      <c r="E42" s="93" t="str">
        <f t="shared" si="7"/>
        <v/>
      </c>
      <c r="F42" s="93" t="str">
        <f t="shared" si="7"/>
        <v/>
      </c>
      <c r="G42" s="93" t="str">
        <f t="shared" si="7"/>
        <v/>
      </c>
      <c r="H42" s="93" t="str">
        <f t="shared" si="7"/>
        <v/>
      </c>
      <c r="I42" s="93" t="str">
        <f t="shared" si="7"/>
        <v/>
      </c>
      <c r="J42" s="93" t="str">
        <f t="shared" si="7"/>
        <v/>
      </c>
      <c r="K42" s="93" t="str">
        <f t="shared" si="7"/>
        <v/>
      </c>
      <c r="L42" s="93" t="str">
        <f t="shared" si="7"/>
        <v/>
      </c>
      <c r="M42" s="93" t="str">
        <f t="shared" si="7"/>
        <v/>
      </c>
      <c r="N42" s="94" t="str">
        <f t="shared" si="7"/>
        <v/>
      </c>
      <c r="O42" s="11"/>
    </row>
    <row r="43" spans="1:22" s="1" customFormat="1" ht="15" customHeight="1" x14ac:dyDescent="0.2">
      <c r="A43" s="92" t="s">
        <v>72</v>
      </c>
      <c r="B43" s="93" t="str">
        <f>IFERROR(INDEX(PrecioCompetencia!FcDetalle,MATCH(CONCATENATE($A$7,"PUR"),PrecioCompetencia!FcClave,0),FcInicioPrecioComp+0),"")</f>
        <v/>
      </c>
      <c r="C43" s="93" t="str">
        <f>IFERROR(INDEX(PrecioCompetencia!FcDetalle,MATCH(CONCATENATE($A$7,"PUR"),PrecioCompetencia!FcClave,0),FcInicioPrecioComp+1),"")</f>
        <v/>
      </c>
      <c r="D43" s="93" t="str">
        <f>IFERROR(INDEX(PrecioCompetencia!FcDetalle,MATCH(CONCATENATE($A$7,"PUR"),PrecioCompetencia!FcClave,0),FcInicioPrecioComp+2),"")</f>
        <v/>
      </c>
      <c r="E43" s="93" t="str">
        <f>IFERROR(INDEX(PrecioCompetencia!FcDetalle,MATCH(CONCATENATE($A$7,"PUR"),PrecioCompetencia!FcClave,0),FcInicioPrecioComp+3),"")</f>
        <v/>
      </c>
      <c r="F43" s="93" t="str">
        <f>IFERROR(INDEX(PrecioCompetencia!FcDetalle,MATCH(CONCATENATE($A$7,"PUR"),PrecioCompetencia!FcClave,0),FcInicioPrecioComp+4),"")</f>
        <v/>
      </c>
      <c r="G43" s="93" t="str">
        <f>IFERROR(INDEX(PrecioCompetencia!FcDetalle,MATCH(CONCATENATE($A$7,"PUR"),PrecioCompetencia!FcClave,0),FcInicioPrecioComp+5),"")</f>
        <v/>
      </c>
      <c r="H43" s="93" t="str">
        <f>IFERROR(INDEX(PrecioCompetencia!FcDetalle,MATCH(CONCATENATE($A$7,"PUR"),PrecioCompetencia!FcClave,0),FcInicioPrecioComp+6),"")</f>
        <v/>
      </c>
      <c r="I43" s="93" t="str">
        <f>IFERROR(INDEX(PrecioCompetencia!FcDetalle,MATCH(CONCATENATE($A$7,"PUR"),PrecioCompetencia!FcClave,0),FcInicioPrecioComp+7),"")</f>
        <v/>
      </c>
      <c r="J43" s="93" t="str">
        <f>IFERROR(INDEX(PrecioCompetencia!FcDetalle,MATCH(CONCATENATE($A$7,"PUR"),PrecioCompetencia!FcClave,0),FcInicioPrecioComp+8),"")</f>
        <v/>
      </c>
      <c r="K43" s="93" t="str">
        <f>IFERROR(INDEX(PrecioCompetencia!FcDetalle,MATCH(CONCATENATE($A$7,"PUR"),PrecioCompetencia!FcClave,0),FcInicioPrecioComp+9),"")</f>
        <v/>
      </c>
      <c r="L43" s="93" t="str">
        <f>IFERROR(INDEX(PrecioCompetencia!FcDetalle,MATCH(CONCATENATE($A$7,"PUR"),PrecioCompetencia!FcClave,0),FcInicioPrecioComp+10),"")</f>
        <v/>
      </c>
      <c r="M43" s="93" t="str">
        <f>IFERROR(INDEX(PrecioCompetencia!FcDetalle,MATCH(CONCATENATE($A$7,"PUR"),PrecioCompetencia!FcClave,0),FcInicioPrecioComp+11),"")</f>
        <v/>
      </c>
      <c r="N43" s="94" t="str">
        <f>IFERROR(INDEX(PrecioCompetencia!FcDetalle,MATCH(CONCATENATE($A$7,"PUR"),PrecioCompetencia!FcClave,0),FcInicioPrecioComp+12),"")</f>
        <v/>
      </c>
      <c r="O43" s="11"/>
    </row>
    <row r="44" spans="1:22" s="1" customFormat="1" ht="15" customHeight="1" x14ac:dyDescent="0.2">
      <c r="A44" s="92" t="s">
        <v>77</v>
      </c>
      <c r="B44" s="93" t="str">
        <f>IFERROR(INDEX(PrecioCompetencia!FcDetalle,MATCH(CONCATENATE($A$7,"FLG"),PrecioCompetencia!FcClave,0),FcInicioPrecioComp+0),"")</f>
        <v/>
      </c>
      <c r="C44" s="93" t="str">
        <f>IFERROR(INDEX(PrecioCompetencia!FcDetalle,MATCH(CONCATENATE($A$7,"FLG"),PrecioCompetencia!FcClave,0),FcInicioPrecioComp+1),"")</f>
        <v/>
      </c>
      <c r="D44" s="93" t="str">
        <f>IFERROR(INDEX(PrecioCompetencia!FcDetalle,MATCH(CONCATENATE($A$7,"FLG"),PrecioCompetencia!FcClave,0),FcInicioPrecioComp+2),"")</f>
        <v/>
      </c>
      <c r="E44" s="93" t="str">
        <f>IFERROR(INDEX(PrecioCompetencia!FcDetalle,MATCH(CONCATENATE($A$7,"FLG"),PrecioCompetencia!FcClave,0),FcInicioPrecioComp+3),"")</f>
        <v/>
      </c>
      <c r="F44" s="93" t="str">
        <f>IFERROR(INDEX(PrecioCompetencia!FcDetalle,MATCH(CONCATENATE($A$7,"FLG"),PrecioCompetencia!FcClave,0),FcInicioPrecioComp+4),"")</f>
        <v/>
      </c>
      <c r="G44" s="93" t="str">
        <f>IFERROR(INDEX(PrecioCompetencia!FcDetalle,MATCH(CONCATENATE($A$7,"FLG"),PrecioCompetencia!FcClave,0),FcInicioPrecioComp+5),"")</f>
        <v/>
      </c>
      <c r="H44" s="93" t="str">
        <f>IFERROR(INDEX(PrecioCompetencia!FcDetalle,MATCH(CONCATENATE($A$7,"FLG"),PrecioCompetencia!FcClave,0),FcInicioPrecioComp+6),"")</f>
        <v/>
      </c>
      <c r="I44" s="93" t="str">
        <f>IFERROR(INDEX(PrecioCompetencia!FcDetalle,MATCH(CONCATENATE($A$7,"FLG"),PrecioCompetencia!FcClave,0),FcInicioPrecioComp+7),"")</f>
        <v/>
      </c>
      <c r="J44" s="93" t="str">
        <f>IFERROR(INDEX(PrecioCompetencia!FcDetalle,MATCH(CONCATENATE($A$7,"FLG"),PrecioCompetencia!FcClave,0),FcInicioPrecioComp+8),"")</f>
        <v/>
      </c>
      <c r="K44" s="93" t="str">
        <f>IFERROR(INDEX(PrecioCompetencia!FcDetalle,MATCH(CONCATENATE($A$7,"FLG"),PrecioCompetencia!FcClave,0),FcInicioPrecioComp+9),"")</f>
        <v/>
      </c>
      <c r="L44" s="93" t="str">
        <f>IFERROR(INDEX(PrecioCompetencia!FcDetalle,MATCH(CONCATENATE($A$7,"FLG"),PrecioCompetencia!FcClave,0),FcInicioPrecioComp+10),"")</f>
        <v/>
      </c>
      <c r="M44" s="93" t="str">
        <f>IFERROR(INDEX(PrecioCompetencia!FcDetalle,MATCH(CONCATENATE($A$7,"FLG"),PrecioCompetencia!FcClave,0),FcInicioPrecioComp+11),"")</f>
        <v/>
      </c>
      <c r="N44" s="94" t="str">
        <f>IFERROR(INDEX(PrecioCompetencia!FcDetalle,MATCH(CONCATENATE($A$7,"FLG"),PrecioCompetencia!FcClave,0),FcInicioPrecioComp+12),"")</f>
        <v/>
      </c>
      <c r="O44" s="12"/>
    </row>
    <row r="45" spans="1:22" s="1" customFormat="1" ht="15" customHeight="1" x14ac:dyDescent="0.2">
      <c r="A45" s="92" t="s">
        <v>46</v>
      </c>
      <c r="B45" s="93" t="str">
        <f>IFERROR(INDEX(PrecioCompetencia!FcDetalle,MATCH(CONCATENATE($A$7,"WBUS"),PrecioCompetencia!FcClave,0),FcInicioPrecioComp+0),"")</f>
        <v/>
      </c>
      <c r="C45" s="93" t="str">
        <f>IFERROR(INDEX(PrecioCompetencia!FcDetalle,MATCH(CONCATENATE($A$7,"WBUS"),PrecioCompetencia!FcClave,0),FcInicioPrecioComp+1),"")</f>
        <v/>
      </c>
      <c r="D45" s="93" t="str">
        <f>IFERROR(INDEX(PrecioCompetencia!FcDetalle,MATCH(CONCATENATE($A$7,"WBUS"),PrecioCompetencia!FcClave,0),FcInicioPrecioComp+2),"")</f>
        <v/>
      </c>
      <c r="E45" s="93" t="str">
        <f>IFERROR(INDEX(PrecioCompetencia!FcDetalle,MATCH(CONCATENATE($A$7,"WBUS"),PrecioCompetencia!FcClave,0),FcInicioPrecioComp+3),"")</f>
        <v/>
      </c>
      <c r="F45" s="93" t="str">
        <f>IFERROR(INDEX(PrecioCompetencia!FcDetalle,MATCH(CONCATENATE($A$7,"WBUS"),PrecioCompetencia!FcClave,0),FcInicioPrecioComp+4),"")</f>
        <v/>
      </c>
      <c r="G45" s="93" t="str">
        <f>IFERROR(INDEX(PrecioCompetencia!FcDetalle,MATCH(CONCATENATE($A$7,"WBUS"),PrecioCompetencia!FcClave,0),FcInicioPrecioComp+5),"")</f>
        <v/>
      </c>
      <c r="H45" s="93" t="str">
        <f>IFERROR(INDEX(PrecioCompetencia!FcDetalle,MATCH(CONCATENATE($A$7,"WBUS"),PrecioCompetencia!FcClave,0),FcInicioPrecioComp+6),"")</f>
        <v/>
      </c>
      <c r="I45" s="93" t="str">
        <f>IFERROR(INDEX(PrecioCompetencia!FcDetalle,MATCH(CONCATENATE($A$7,"WBUS"),PrecioCompetencia!FcClave,0),FcInicioPrecioComp+7),"")</f>
        <v/>
      </c>
      <c r="J45" s="93" t="str">
        <f>IFERROR(INDEX(PrecioCompetencia!FcDetalle,MATCH(CONCATENATE($A$7,"WBUS"),PrecioCompetencia!FcClave,0),FcInicioPrecioComp+8),"")</f>
        <v/>
      </c>
      <c r="K45" s="93" t="str">
        <f>IFERROR(INDEX(PrecioCompetencia!FcDetalle,MATCH(CONCATENATE($A$7,"WBUS"),PrecioCompetencia!FcClave,0),FcInicioPrecioComp+9),"")</f>
        <v/>
      </c>
      <c r="L45" s="93" t="str">
        <f>IFERROR(INDEX(PrecioCompetencia!FcDetalle,MATCH(CONCATENATE($A$7,"WBUS"),PrecioCompetencia!FcClave,0),FcInicioPrecioComp+10),"")</f>
        <v/>
      </c>
      <c r="M45" s="93" t="str">
        <f>IFERROR(INDEX(PrecioCompetencia!FcDetalle,MATCH(CONCATENATE($A$7,"WBUS"),PrecioCompetencia!FcClave,0),FcInicioPrecioComp+11),"")</f>
        <v/>
      </c>
      <c r="N45" s="94" t="str">
        <f>IFERROR(INDEX(PrecioCompetencia!FcDetalle,MATCH(CONCATENATE($A$7,"WBUS"),PrecioCompetencia!FcClave,0),FcInicioPrecioComp+12),"")</f>
        <v/>
      </c>
      <c r="O45" s="12"/>
    </row>
    <row r="46" spans="1:22" s="1" customFormat="1" ht="15" customHeight="1" x14ac:dyDescent="0.2">
      <c r="A46" s="92" t="s">
        <v>19</v>
      </c>
      <c r="B46" s="93" t="str">
        <f>IFERROR(INDEX(PrecioCompetencia!FcDetalle,MATCH(CONCATENATE($A$7,"SAKU"),PrecioCompetencia!FcClave,0),FcInicioPrecioComp+0),"")</f>
        <v/>
      </c>
      <c r="C46" s="93" t="str">
        <f>IFERROR(INDEX(PrecioCompetencia!FcDetalle,MATCH(CONCATENATE($A$7,"SAKU"),PrecioCompetencia!FcClave,0),FcInicioPrecioComp+1),"")</f>
        <v/>
      </c>
      <c r="D46" s="93" t="str">
        <f>IFERROR(INDEX(PrecioCompetencia!FcDetalle,MATCH(CONCATENATE($A$7,"SAKU"),PrecioCompetencia!FcClave,0),FcInicioPrecioComp+2),"")</f>
        <v/>
      </c>
      <c r="E46" s="93" t="str">
        <f>IFERROR(INDEX(PrecioCompetencia!FcDetalle,MATCH(CONCATENATE($A$7,"SAKU"),PrecioCompetencia!FcClave,0),FcInicioPrecioComp+3),"")</f>
        <v/>
      </c>
      <c r="F46" s="93" t="str">
        <f>IFERROR(INDEX(PrecioCompetencia!FcDetalle,MATCH(CONCATENATE($A$7,"SAKU"),PrecioCompetencia!FcClave,0),FcInicioPrecioComp+4),"")</f>
        <v/>
      </c>
      <c r="G46" s="93" t="str">
        <f>IFERROR(INDEX(PrecioCompetencia!FcDetalle,MATCH(CONCATENATE($A$7,"SAKU"),PrecioCompetencia!FcClave,0),FcInicioPrecioComp+5),"")</f>
        <v/>
      </c>
      <c r="H46" s="93" t="str">
        <f>IFERROR(INDEX(PrecioCompetencia!FcDetalle,MATCH(CONCATENATE($A$7,"SAKU"),PrecioCompetencia!FcClave,0),FcInicioPrecioComp+6),"")</f>
        <v/>
      </c>
      <c r="I46" s="93" t="str">
        <f>IFERROR(INDEX(PrecioCompetencia!FcDetalle,MATCH(CONCATENATE($A$7,"SAKU"),PrecioCompetencia!FcClave,0),FcInicioPrecioComp+7),"")</f>
        <v/>
      </c>
      <c r="J46" s="93" t="str">
        <f>IFERROR(INDEX(PrecioCompetencia!FcDetalle,MATCH(CONCATENATE($A$7,"SAKU"),PrecioCompetencia!FcClave,0),FcInicioPrecioComp+8),"")</f>
        <v/>
      </c>
      <c r="K46" s="93" t="str">
        <f>IFERROR(INDEX(PrecioCompetencia!FcDetalle,MATCH(CONCATENATE($A$7,"SAKU"),PrecioCompetencia!FcClave,0),FcInicioPrecioComp+9),"")</f>
        <v/>
      </c>
      <c r="L46" s="93" t="str">
        <f>IFERROR(INDEX(PrecioCompetencia!FcDetalle,MATCH(CONCATENATE($A$7,"SAKU"),PrecioCompetencia!FcClave,0),FcInicioPrecioComp+10),"")</f>
        <v/>
      </c>
      <c r="M46" s="93" t="str">
        <f>IFERROR(INDEX(PrecioCompetencia!FcDetalle,MATCH(CONCATENATE($A$7,"SAKU"),PrecioCompetencia!FcClave,0),FcInicioPrecioComp+11),"")</f>
        <v/>
      </c>
      <c r="N46" s="94" t="str">
        <f>IFERROR(INDEX(PrecioCompetencia!FcDetalle,MATCH(CONCATENATE($A$7,"SAKU"),PrecioCompetencia!FcClave,0),FcInicioPrecioComp+12),"")</f>
        <v/>
      </c>
      <c r="O46" s="12"/>
    </row>
    <row r="47" spans="1:22" s="1" customFormat="1" ht="15" customHeight="1" x14ac:dyDescent="0.2">
      <c r="A47" s="92" t="s">
        <v>28</v>
      </c>
      <c r="B47" s="93" t="str">
        <f>IFERROR(INDEX(PrecioCompetencia!FcDetalle,MATCH(CONCATENATE($A$7,"RENU"),PrecioCompetencia!FcClave,0),FcInicioPrecioComp+0),"")</f>
        <v/>
      </c>
      <c r="C47" s="93" t="str">
        <f>IFERROR(INDEX(PrecioCompetencia!FcDetalle,MATCH(CONCATENATE($A$7,"RENU"),PrecioCompetencia!FcClave,0),FcInicioPrecioComp+1),"")</f>
        <v/>
      </c>
      <c r="D47" s="93" t="str">
        <f>IFERROR(INDEX(PrecioCompetencia!FcDetalle,MATCH(CONCATENATE($A$7,"RENU"),PrecioCompetencia!FcClave,0),FcInicioPrecioComp+2),"")</f>
        <v/>
      </c>
      <c r="E47" s="93" t="str">
        <f>IFERROR(INDEX(PrecioCompetencia!FcDetalle,MATCH(CONCATENATE($A$7,"RENU"),PrecioCompetencia!FcClave,0),FcInicioPrecioComp+3),"")</f>
        <v/>
      </c>
      <c r="F47" s="93" t="str">
        <f>IFERROR(INDEX(PrecioCompetencia!FcDetalle,MATCH(CONCATENATE($A$7,"RENU"),PrecioCompetencia!FcClave,0),FcInicioPrecioComp+4),"")</f>
        <v/>
      </c>
      <c r="G47" s="93" t="str">
        <f>IFERROR(INDEX(PrecioCompetencia!FcDetalle,MATCH(CONCATENATE($A$7,"RENU"),PrecioCompetencia!FcClave,0),FcInicioPrecioComp+5),"")</f>
        <v/>
      </c>
      <c r="H47" s="93" t="str">
        <f>IFERROR(INDEX(PrecioCompetencia!FcDetalle,MATCH(CONCATENATE($A$7,"RENU"),PrecioCompetencia!FcClave,0),FcInicioPrecioComp+6),"")</f>
        <v/>
      </c>
      <c r="I47" s="93" t="str">
        <f>IFERROR(INDEX(PrecioCompetencia!FcDetalle,MATCH(CONCATENATE($A$7,"RENU"),PrecioCompetencia!FcClave,0),FcInicioPrecioComp+7),"")</f>
        <v/>
      </c>
      <c r="J47" s="93" t="str">
        <f>IFERROR(INDEX(PrecioCompetencia!FcDetalle,MATCH(CONCATENATE($A$7,"RENU"),PrecioCompetencia!FcClave,0),FcInicioPrecioComp+8),"")</f>
        <v/>
      </c>
      <c r="K47" s="93" t="str">
        <f>IFERROR(INDEX(PrecioCompetencia!FcDetalle,MATCH(CONCATENATE($A$7,"RENU"),PrecioCompetencia!FcClave,0),FcInicioPrecioComp+9),"")</f>
        <v/>
      </c>
      <c r="L47" s="93" t="str">
        <f>IFERROR(INDEX(PrecioCompetencia!FcDetalle,MATCH(CONCATENATE($A$7,"RENU"),PrecioCompetencia!FcClave,0),FcInicioPrecioComp+10),"")</f>
        <v/>
      </c>
      <c r="M47" s="93" t="str">
        <f>IFERROR(INDEX(PrecioCompetencia!FcDetalle,MATCH(CONCATENATE($A$7,"RENU"),PrecioCompetencia!FcClave,0),FcInicioPrecioComp+11),"")</f>
        <v/>
      </c>
      <c r="N47" s="94" t="str">
        <f>IFERROR(INDEX(PrecioCompetencia!FcDetalle,MATCH(CONCATENATE($A$7,"RENU"),PrecioCompetencia!FcClave,0),FcInicioPrecioComp+12),"")</f>
        <v/>
      </c>
      <c r="O47" s="12"/>
    </row>
    <row r="48" spans="1:22" s="1" customFormat="1" ht="15" customHeight="1" x14ac:dyDescent="0.2">
      <c r="A48" s="92" t="s">
        <v>15</v>
      </c>
      <c r="B48" s="93" t="str">
        <f>IFERROR(INDEX(PrecioCompetencia!FcDetalle,MATCH(CONCATENATE($A$7,"1575"),PrecioCompetencia!FcClave,0),FcInicioPrecioComp+0),"")</f>
        <v/>
      </c>
      <c r="C48" s="93" t="str">
        <f>IFERROR(INDEX(PrecioCompetencia!FcDetalle,MATCH(CONCATENATE($A$7,"1575"),PrecioCompetencia!FcClave,0),FcInicioPrecioComp+1),"")</f>
        <v/>
      </c>
      <c r="D48" s="93" t="str">
        <f>IFERROR(INDEX(PrecioCompetencia!FcDetalle,MATCH(CONCATENATE($A$7,"1575"),PrecioCompetencia!FcClave,0),FcInicioPrecioComp+2),"")</f>
        <v/>
      </c>
      <c r="E48" s="93" t="str">
        <f>IFERROR(INDEX(PrecioCompetencia!FcDetalle,MATCH(CONCATENATE($A$7,"1575"),PrecioCompetencia!FcClave,0),FcInicioPrecioComp+3),"")</f>
        <v/>
      </c>
      <c r="F48" s="93" t="str">
        <f>IFERROR(INDEX(PrecioCompetencia!FcDetalle,MATCH(CONCATENATE($A$7,"1575"),PrecioCompetencia!FcClave,0),FcInicioPrecioComp+4),"")</f>
        <v/>
      </c>
      <c r="G48" s="93" t="str">
        <f>IFERROR(INDEX(PrecioCompetencia!FcDetalle,MATCH(CONCATENATE($A$7,"1575"),PrecioCompetencia!FcClave,0),FcInicioPrecioComp+5),"")</f>
        <v/>
      </c>
      <c r="H48" s="93" t="str">
        <f>IFERROR(INDEX(PrecioCompetencia!FcDetalle,MATCH(CONCATENATE($A$7,"1575"),PrecioCompetencia!FcClave,0),FcInicioPrecioComp+6),"")</f>
        <v/>
      </c>
      <c r="I48" s="93" t="str">
        <f>IFERROR(INDEX(PrecioCompetencia!FcDetalle,MATCH(CONCATENATE($A$7,"1575"),PrecioCompetencia!FcClave,0),FcInicioPrecioComp+7),"")</f>
        <v/>
      </c>
      <c r="J48" s="93" t="str">
        <f>IFERROR(INDEX(PrecioCompetencia!FcDetalle,MATCH(CONCATENATE($A$7,"1575"),PrecioCompetencia!FcClave,0),FcInicioPrecioComp+8),"")</f>
        <v/>
      </c>
      <c r="K48" s="93" t="str">
        <f>IFERROR(INDEX(PrecioCompetencia!FcDetalle,MATCH(CONCATENATE($A$7,"1575"),PrecioCompetencia!FcClave,0),FcInicioPrecioComp+9),"")</f>
        <v/>
      </c>
      <c r="L48" s="93" t="str">
        <f>IFERROR(INDEX(PrecioCompetencia!FcDetalle,MATCH(CONCATENATE($A$7,"1575"),PrecioCompetencia!FcClave,0),FcInicioPrecioComp+10),"")</f>
        <v/>
      </c>
      <c r="M48" s="93" t="str">
        <f>IFERROR(INDEX(PrecioCompetencia!FcDetalle,MATCH(CONCATENATE($A$7,"1575"),PrecioCompetencia!FcClave,0),FcInicioPrecioComp+11),"")</f>
        <v/>
      </c>
      <c r="N48" s="94" t="str">
        <f>IFERROR(INDEX(PrecioCompetencia!FcDetalle,MATCH(CONCATENATE($A$7,"1575"),PrecioCompetencia!FcClave,0),FcInicioPrecioComp+12),"")</f>
        <v/>
      </c>
      <c r="O48" s="12"/>
    </row>
    <row r="49" spans="1:16" s="1" customFormat="1" ht="15" customHeight="1" x14ac:dyDescent="0.2">
      <c r="A49" s="92" t="s">
        <v>16</v>
      </c>
      <c r="B49" s="93" t="str">
        <f>IFERROR(INDEX(PrecioCompetencia!FcDetalle,MATCH(CONCATENATE($A$7,"FILW"),PrecioCompetencia!FcClave,0),FcInicioPrecioComp+0),"")</f>
        <v/>
      </c>
      <c r="C49" s="93" t="str">
        <f>IFERROR(INDEX(PrecioCompetencia!FcDetalle,MATCH(CONCATENATE($A$7,"FILW"),PrecioCompetencia!FcClave,0),FcInicioPrecioComp+1),"")</f>
        <v/>
      </c>
      <c r="D49" s="93" t="str">
        <f>IFERROR(INDEX(PrecioCompetencia!FcDetalle,MATCH(CONCATENATE($A$7,"FILW"),PrecioCompetencia!FcClave,0),FcInicioPrecioComp+2),"")</f>
        <v/>
      </c>
      <c r="E49" s="93" t="str">
        <f>IFERROR(INDEX(PrecioCompetencia!FcDetalle,MATCH(CONCATENATE($A$7,"FILW"),PrecioCompetencia!FcClave,0),FcInicioPrecioComp+3),"")</f>
        <v/>
      </c>
      <c r="F49" s="93" t="str">
        <f>IFERROR(INDEX(PrecioCompetencia!FcDetalle,MATCH(CONCATENATE($A$7,"FILW"),PrecioCompetencia!FcClave,0),FcInicioPrecioComp+4),"")</f>
        <v/>
      </c>
      <c r="G49" s="93" t="str">
        <f>IFERROR(INDEX(PrecioCompetencia!FcDetalle,MATCH(CONCATENATE($A$7,"FILW"),PrecioCompetencia!FcClave,0),FcInicioPrecioComp+5),"")</f>
        <v/>
      </c>
      <c r="H49" s="93" t="str">
        <f>IFERROR(INDEX(PrecioCompetencia!FcDetalle,MATCH(CONCATENATE($A$7,"FILW"),PrecioCompetencia!FcClave,0),FcInicioPrecioComp+6),"")</f>
        <v/>
      </c>
      <c r="I49" s="93" t="str">
        <f>IFERROR(INDEX(PrecioCompetencia!FcDetalle,MATCH(CONCATENATE($A$7,"FILW"),PrecioCompetencia!FcClave,0),FcInicioPrecioComp+7),"")</f>
        <v/>
      </c>
      <c r="J49" s="93" t="str">
        <f>IFERROR(INDEX(PrecioCompetencia!FcDetalle,MATCH(CONCATENATE($A$7,"FILW"),PrecioCompetencia!FcClave,0),FcInicioPrecioComp+8),"")</f>
        <v/>
      </c>
      <c r="K49" s="93" t="str">
        <f>IFERROR(INDEX(PrecioCompetencia!FcDetalle,MATCH(CONCATENATE($A$7,"FILW"),PrecioCompetencia!FcClave,0),FcInicioPrecioComp+9),"")</f>
        <v/>
      </c>
      <c r="L49" s="93" t="str">
        <f>IFERROR(INDEX(PrecioCompetencia!FcDetalle,MATCH(CONCATENATE($A$7,"FILW"),PrecioCompetencia!FcClave,0),FcInicioPrecioComp+10),"")</f>
        <v/>
      </c>
      <c r="M49" s="93" t="str">
        <f>IFERROR(INDEX(PrecioCompetencia!FcDetalle,MATCH(CONCATENATE($A$7,"FILW"),PrecioCompetencia!FcClave,0),FcInicioPrecioComp+11),"")</f>
        <v/>
      </c>
      <c r="N49" s="94" t="str">
        <f>IFERROR(INDEX(PrecioCompetencia!FcDetalle,MATCH(CONCATENATE($A$7,"FILW"),PrecioCompetencia!FcClave,0),FcInicioPrecioComp+12),"")</f>
        <v/>
      </c>
      <c r="O49" s="12"/>
    </row>
    <row r="50" spans="1:16" s="1" customFormat="1" ht="15" customHeight="1" x14ac:dyDescent="0.2">
      <c r="A50" s="95" t="s">
        <v>23</v>
      </c>
      <c r="B50" s="93" t="str">
        <f>IFERROR(INDEX(PrecioCompetencia!FcDetalle,MATCH(CONCATENATE($A$7,"MNHB"),PrecioCompetencia!FcClave,0),FcInicioPrecioComp+0),"")</f>
        <v/>
      </c>
      <c r="C50" s="93" t="str">
        <f>IFERROR(INDEX(PrecioCompetencia!FcDetalle,MATCH(CONCATENATE($A$7,"MNHB"),PrecioCompetencia!FcClave,0),FcInicioPrecioComp+1),"")</f>
        <v/>
      </c>
      <c r="D50" s="93" t="str">
        <f>IFERROR(INDEX(PrecioCompetencia!FcDetalle,MATCH(CONCATENATE($A$7,"MNHB"),PrecioCompetencia!FcClave,0),FcInicioPrecioComp+2),"")</f>
        <v/>
      </c>
      <c r="E50" s="93" t="str">
        <f>IFERROR(INDEX(PrecioCompetencia!FcDetalle,MATCH(CONCATENATE($A$7,"MNHB"),PrecioCompetencia!FcClave,0),FcInicioPrecioComp+3),"")</f>
        <v/>
      </c>
      <c r="F50" s="93" t="str">
        <f>IFERROR(INDEX(PrecioCompetencia!FcDetalle,MATCH(CONCATENATE($A$7,"MNHB"),PrecioCompetencia!FcClave,0),FcInicioPrecioComp+4),"")</f>
        <v/>
      </c>
      <c r="G50" s="93" t="str">
        <f>IFERROR(INDEX(PrecioCompetencia!FcDetalle,MATCH(CONCATENATE($A$7,"MNHB"),PrecioCompetencia!FcClave,0),FcInicioPrecioComp+5),"")</f>
        <v/>
      </c>
      <c r="H50" s="93" t="str">
        <f>IFERROR(INDEX(PrecioCompetencia!FcDetalle,MATCH(CONCATENATE($A$7,"MNHB"),PrecioCompetencia!FcClave,0),FcInicioPrecioComp+6),"")</f>
        <v/>
      </c>
      <c r="I50" s="93" t="str">
        <f>IFERROR(INDEX(PrecioCompetencia!FcDetalle,MATCH(CONCATENATE($A$7,"MNHB"),PrecioCompetencia!FcClave,0),FcInicioPrecioComp+7),"")</f>
        <v/>
      </c>
      <c r="J50" s="93" t="str">
        <f>IFERROR(INDEX(PrecioCompetencia!FcDetalle,MATCH(CONCATENATE($A$7,"MNHB"),PrecioCompetencia!FcClave,0),FcInicioPrecioComp+8),"")</f>
        <v/>
      </c>
      <c r="K50" s="93" t="str">
        <f>IFERROR(INDEX(PrecioCompetencia!FcDetalle,MATCH(CONCATENATE($A$7,"MNHB"),PrecioCompetencia!FcClave,0),FcInicioPrecioComp+9),"")</f>
        <v/>
      </c>
      <c r="L50" s="93" t="str">
        <f>IFERROR(INDEX(PrecioCompetencia!FcDetalle,MATCH(CONCATENATE($A$7,"MNHB"),PrecioCompetencia!FcClave,0),FcInicioPrecioComp+10),"")</f>
        <v/>
      </c>
      <c r="M50" s="93" t="str">
        <f>IFERROR(INDEX(PrecioCompetencia!FcDetalle,MATCH(CONCATENATE($A$7,"MNHB"),PrecioCompetencia!FcClave,0),FcInicioPrecioComp+11),"")</f>
        <v/>
      </c>
      <c r="N50" s="94" t="str">
        <f>IFERROR(INDEX(PrecioCompetencia!FcDetalle,MATCH(CONCATENATE($A$7,"MNHB"),PrecioCompetencia!FcClave,0),FcInicioPrecioComp+12),"")</f>
        <v/>
      </c>
      <c r="O50" s="12"/>
    </row>
    <row r="51" spans="1:16" s="1" customFormat="1" ht="15" customHeight="1" x14ac:dyDescent="0.2">
      <c r="A51" s="95" t="s">
        <v>74</v>
      </c>
      <c r="B51" s="93" t="str">
        <f>IFERROR(INDEX(PrecioCompetencia!FcDetalle,MATCH(CONCATENATE($A$7,"BDW"),PrecioCompetencia!FcClave,0),FcInicioPrecioComp+0),"")</f>
        <v/>
      </c>
      <c r="C51" s="93" t="str">
        <f>IFERROR(INDEX(PrecioCompetencia!FcDetalle,MATCH(CONCATENATE($A$7,"BDW"),PrecioCompetencia!FcClave,0),FcInicioPrecioComp+1),"")</f>
        <v/>
      </c>
      <c r="D51" s="93" t="str">
        <f>IFERROR(INDEX(PrecioCompetencia!FcDetalle,MATCH(CONCATENATE($A$7,"BDW"),PrecioCompetencia!FcClave,0),FcInicioPrecioComp+2),"")</f>
        <v/>
      </c>
      <c r="E51" s="93" t="str">
        <f>IFERROR(INDEX(PrecioCompetencia!FcDetalle,MATCH(CONCATENATE($A$7,"BDW"),PrecioCompetencia!FcClave,0),FcInicioPrecioComp+3),"")</f>
        <v/>
      </c>
      <c r="F51" s="93" t="str">
        <f>IFERROR(INDEX(PrecioCompetencia!FcDetalle,MATCH(CONCATENATE($A$7,"BDW"),PrecioCompetencia!FcClave,0),FcInicioPrecioComp+4),"")</f>
        <v/>
      </c>
      <c r="G51" s="93" t="str">
        <f>IFERROR(INDEX(PrecioCompetencia!FcDetalle,MATCH(CONCATENATE($A$7,"BDW"),PrecioCompetencia!FcClave,0),FcInicioPrecioComp+5),"")</f>
        <v/>
      </c>
      <c r="H51" s="93" t="str">
        <f>IFERROR(INDEX(PrecioCompetencia!FcDetalle,MATCH(CONCATENATE($A$7,"BDW"),PrecioCompetencia!FcClave,0),FcInicioPrecioComp+6),"")</f>
        <v/>
      </c>
      <c r="I51" s="93" t="str">
        <f>IFERROR(INDEX(PrecioCompetencia!FcDetalle,MATCH(CONCATENATE($A$7,"BDW"),PrecioCompetencia!FcClave,0),FcInicioPrecioComp+7),"")</f>
        <v/>
      </c>
      <c r="J51" s="93" t="str">
        <f>IFERROR(INDEX(PrecioCompetencia!FcDetalle,MATCH(CONCATENATE($A$7,"BDW"),PrecioCompetencia!FcClave,0),FcInicioPrecioComp+8),"")</f>
        <v/>
      </c>
      <c r="K51" s="93" t="str">
        <f>IFERROR(INDEX(PrecioCompetencia!FcDetalle,MATCH(CONCATENATE($A$7,"BDW"),PrecioCompetencia!FcClave,0),FcInicioPrecioComp+9),"")</f>
        <v/>
      </c>
      <c r="L51" s="93" t="str">
        <f>IFERROR(INDEX(PrecioCompetencia!FcDetalle,MATCH(CONCATENATE($A$7,"BDW"),PrecioCompetencia!FcClave,0),FcInicioPrecioComp+10),"")</f>
        <v/>
      </c>
      <c r="M51" s="93" t="str">
        <f>IFERROR(INDEX(PrecioCompetencia!FcDetalle,MATCH(CONCATENATE($A$7,"BDW"),PrecioCompetencia!FcClave,0),FcInicioPrecioComp+11),"")</f>
        <v/>
      </c>
      <c r="N51" s="94" t="str">
        <f>IFERROR(INDEX(PrecioCompetencia!FcDetalle,MATCH(CONCATENATE($A$7,"BDW"),PrecioCompetencia!FcClave,0),FcInicioPrecioComp+12),"")</f>
        <v/>
      </c>
      <c r="O51" s="12"/>
    </row>
    <row r="52" spans="1:16" s="1" customFormat="1" ht="15" customHeight="1" x14ac:dyDescent="0.2">
      <c r="A52" s="92" t="s">
        <v>50</v>
      </c>
      <c r="B52" s="93" t="str">
        <f>IFERROR(INDEX(PrecioCompetencia!FcDetalle,MATCH(CONCATENATE($A$7,"LUF"),PrecioCompetencia!FcClave,0),FcInicioPrecioComp+0),"")</f>
        <v/>
      </c>
      <c r="C52" s="93" t="str">
        <f>IFERROR(INDEX(PrecioCompetencia!FcDetalle,MATCH(CONCATENATE($A$7,"LUF"),PrecioCompetencia!FcClave,0),FcInicioPrecioComp+1),"")</f>
        <v/>
      </c>
      <c r="D52" s="93" t="str">
        <f>IFERROR(INDEX(PrecioCompetencia!FcDetalle,MATCH(CONCATENATE($A$7,"LUF"),PrecioCompetencia!FcClave,0),FcInicioPrecioComp+2),"")</f>
        <v/>
      </c>
      <c r="E52" s="93" t="str">
        <f>IFERROR(INDEX(PrecioCompetencia!FcDetalle,MATCH(CONCATENATE($A$7,"LUF"),PrecioCompetencia!FcClave,0),FcInicioPrecioComp+3),"")</f>
        <v/>
      </c>
      <c r="F52" s="93" t="str">
        <f>IFERROR(INDEX(PrecioCompetencia!FcDetalle,MATCH(CONCATENATE($A$7,"LUF"),PrecioCompetencia!FcClave,0),FcInicioPrecioComp+4),"")</f>
        <v/>
      </c>
      <c r="G52" s="93" t="str">
        <f>IFERROR(INDEX(PrecioCompetencia!FcDetalle,MATCH(CONCATENATE($A$7,"LUF"),PrecioCompetencia!FcClave,0),FcInicioPrecioComp+5),"")</f>
        <v/>
      </c>
      <c r="H52" s="93" t="str">
        <f>IFERROR(INDEX(PrecioCompetencia!FcDetalle,MATCH(CONCATENATE($A$7,"LUF"),PrecioCompetencia!FcClave,0),FcInicioPrecioComp+6),"")</f>
        <v/>
      </c>
      <c r="I52" s="93" t="str">
        <f>IFERROR(INDEX(PrecioCompetencia!FcDetalle,MATCH(CONCATENATE($A$7,"LUF"),PrecioCompetencia!FcClave,0),FcInicioPrecioComp+7),"")</f>
        <v/>
      </c>
      <c r="J52" s="93" t="str">
        <f>IFERROR(INDEX(PrecioCompetencia!FcDetalle,MATCH(CONCATENATE($A$7,"LUF"),PrecioCompetencia!FcClave,0),FcInicioPrecioComp+8),"")</f>
        <v/>
      </c>
      <c r="K52" s="93" t="str">
        <f>IFERROR(INDEX(PrecioCompetencia!FcDetalle,MATCH(CONCATENATE($A$7,"LUF"),PrecioCompetencia!FcClave,0),FcInicioPrecioComp+9),"")</f>
        <v/>
      </c>
      <c r="L52" s="93" t="str">
        <f>IFERROR(INDEX(PrecioCompetencia!FcDetalle,MATCH(CONCATENATE($A$7,"LUF"),PrecioCompetencia!FcClave,0),FcInicioPrecioComp+10),"")</f>
        <v/>
      </c>
      <c r="M52" s="93" t="str">
        <f>IFERROR(INDEX(PrecioCompetencia!FcDetalle,MATCH(CONCATENATE($A$7,"LUF"),PrecioCompetencia!FcClave,0),FcInicioPrecioComp+11),"")</f>
        <v/>
      </c>
      <c r="N52" s="94" t="str">
        <f>IFERROR(INDEX(PrecioCompetencia!FcDetalle,MATCH(CONCATENATE($A$7,"LUF"),PrecioCompetencia!FcClave,0),FcInicioPrecioComp+12),"")</f>
        <v/>
      </c>
      <c r="O52" s="12"/>
    </row>
    <row r="53" spans="1:16" s="1" customFormat="1" ht="15" customHeight="1" x14ac:dyDescent="0.2">
      <c r="A53" s="92" t="s">
        <v>70</v>
      </c>
      <c r="B53" s="93" t="str">
        <f>IFERROR(INDEX(PrecioCompetencia!FcDetalle,MATCH(CONCATENATE($A$7,"DARM"),PrecioCompetencia!FcClave,0),FcInicioPrecioComp+0),"")</f>
        <v/>
      </c>
      <c r="C53" s="93" t="str">
        <f>IFERROR(INDEX(PrecioCompetencia!FcDetalle,MATCH(CONCATENATE($A$7,"DARM"),PrecioCompetencia!FcClave,0),FcInicioPrecioComp+1),"")</f>
        <v/>
      </c>
      <c r="D53" s="93" t="str">
        <f>IFERROR(INDEX(PrecioCompetencia!FcDetalle,MATCH(CONCATENATE($A$7,"DARM"),PrecioCompetencia!FcClave,0),FcInicioPrecioComp+2),"")</f>
        <v/>
      </c>
      <c r="E53" s="93" t="str">
        <f>IFERROR(INDEX(PrecioCompetencia!FcDetalle,MATCH(CONCATENATE($A$7,"DARM"),PrecioCompetencia!FcClave,0),FcInicioPrecioComp+3),"")</f>
        <v/>
      </c>
      <c r="F53" s="93" t="str">
        <f>IFERROR(INDEX(PrecioCompetencia!FcDetalle,MATCH(CONCATENATE($A$7,"DARM"),PrecioCompetencia!FcClave,0),FcInicioPrecioComp+4),"")</f>
        <v/>
      </c>
      <c r="G53" s="93" t="str">
        <f>IFERROR(INDEX(PrecioCompetencia!FcDetalle,MATCH(CONCATENATE($A$7,"DARM"),PrecioCompetencia!FcClave,0),FcInicioPrecioComp+5),"")</f>
        <v/>
      </c>
      <c r="H53" s="93" t="str">
        <f>IFERROR(INDEX(PrecioCompetencia!FcDetalle,MATCH(CONCATENATE($A$7,"DARM"),PrecioCompetencia!FcClave,0),FcInicioPrecioComp+6),"")</f>
        <v/>
      </c>
      <c r="I53" s="93" t="str">
        <f>IFERROR(INDEX(PrecioCompetencia!FcDetalle,MATCH(CONCATENATE($A$7,"DARM"),PrecioCompetencia!FcClave,0),FcInicioPrecioComp+7),"")</f>
        <v/>
      </c>
      <c r="J53" s="93" t="str">
        <f>IFERROR(INDEX(PrecioCompetencia!FcDetalle,MATCH(CONCATENATE($A$7,"DARM"),PrecioCompetencia!FcClave,0),FcInicioPrecioComp+8),"")</f>
        <v/>
      </c>
      <c r="K53" s="93" t="str">
        <f>IFERROR(INDEX(PrecioCompetencia!FcDetalle,MATCH(CONCATENATE($A$7,"DARM"),PrecioCompetencia!FcClave,0),FcInicioPrecioComp+9),"")</f>
        <v/>
      </c>
      <c r="L53" s="93" t="str">
        <f>IFERROR(INDEX(PrecioCompetencia!FcDetalle,MATCH(CONCATENATE($A$7,"DARM"),PrecioCompetencia!FcClave,0),FcInicioPrecioComp+10),"")</f>
        <v/>
      </c>
      <c r="M53" s="93" t="str">
        <f>IFERROR(INDEX(PrecioCompetencia!FcDetalle,MATCH(CONCATENATE($A$7,"DARM"),PrecioCompetencia!FcClave,0),FcInicioPrecioComp+11),"")</f>
        <v/>
      </c>
      <c r="N53" s="94" t="str">
        <f>IFERROR(INDEX(PrecioCompetencia!FcDetalle,MATCH(CONCATENATE($A$7,"DARM"),PrecioCompetencia!FcClave,0),FcInicioPrecioComp+12),"")</f>
        <v/>
      </c>
      <c r="O53" s="12"/>
    </row>
    <row r="54" spans="1:16" s="1" customFormat="1" ht="15" customHeight="1" x14ac:dyDescent="0.2">
      <c r="A54" s="95" t="s">
        <v>78</v>
      </c>
      <c r="B54" s="93" t="str">
        <f>IFERROR(INDEX(PrecioCompetencia!FcDetalle,MATCH(CONCATENATE($A$7,"FICH"),PrecioCompetencia!FcClave,0),FcInicioPrecioComp+0),"")</f>
        <v/>
      </c>
      <c r="C54" s="93" t="str">
        <f>IFERROR(INDEX(PrecioCompetencia!FcDetalle,MATCH(CONCATENATE($A$7,"FICH"),PrecioCompetencia!FcClave,0),FcInicioPrecioComp+1),"")</f>
        <v/>
      </c>
      <c r="D54" s="93" t="str">
        <f>IFERROR(INDEX(PrecioCompetencia!FcDetalle,MATCH(CONCATENATE($A$7,"FICH"),PrecioCompetencia!FcClave,0),FcInicioPrecioComp+2),"")</f>
        <v/>
      </c>
      <c r="E54" s="93" t="str">
        <f>IFERROR(INDEX(PrecioCompetencia!FcDetalle,MATCH(CONCATENATE($A$7,"FICH"),PrecioCompetencia!FcClave,0),FcInicioPrecioComp+3),"")</f>
        <v/>
      </c>
      <c r="F54" s="93" t="str">
        <f>IFERROR(INDEX(PrecioCompetencia!FcDetalle,MATCH(CONCATENATE($A$7,"FICH"),PrecioCompetencia!FcClave,0),FcInicioPrecioComp+4),"")</f>
        <v/>
      </c>
      <c r="G54" s="93" t="str">
        <f>IFERROR(INDEX(PrecioCompetencia!FcDetalle,MATCH(CONCATENATE($A$7,"FICH"),PrecioCompetencia!FcClave,0),FcInicioPrecioComp+5),"")</f>
        <v/>
      </c>
      <c r="H54" s="93" t="str">
        <f>IFERROR(INDEX(PrecioCompetencia!FcDetalle,MATCH(CONCATENATE($A$7,"FICH"),PrecioCompetencia!FcClave,0),FcInicioPrecioComp+6),"")</f>
        <v/>
      </c>
      <c r="I54" s="93" t="str">
        <f>IFERROR(INDEX(PrecioCompetencia!FcDetalle,MATCH(CONCATENATE($A$7,"FICH"),PrecioCompetencia!FcClave,0),FcInicioPrecioComp+7),"")</f>
        <v/>
      </c>
      <c r="J54" s="93" t="str">
        <f>IFERROR(INDEX(PrecioCompetencia!FcDetalle,MATCH(CONCATENATE($A$7,"FICH"),PrecioCompetencia!FcClave,0),FcInicioPrecioComp+8),"")</f>
        <v/>
      </c>
      <c r="K54" s="93" t="str">
        <f>IFERROR(INDEX(PrecioCompetencia!FcDetalle,MATCH(CONCATENATE($A$7,"FICH"),PrecioCompetencia!FcClave,0),FcInicioPrecioComp+9),"")</f>
        <v/>
      </c>
      <c r="L54" s="93" t="str">
        <f>IFERROR(INDEX(PrecioCompetencia!FcDetalle,MATCH(CONCATENATE($A$7,"FICH"),PrecioCompetencia!FcClave,0),FcInicioPrecioComp+10),"")</f>
        <v/>
      </c>
      <c r="M54" s="93" t="str">
        <f>IFERROR(INDEX(PrecioCompetencia!FcDetalle,MATCH(CONCATENATE($A$7,"FICH"),PrecioCompetencia!FcClave,0),FcInicioPrecioComp+11),"")</f>
        <v/>
      </c>
      <c r="N54" s="94" t="str">
        <f>IFERROR(INDEX(PrecioCompetencia!FcDetalle,MATCH(CONCATENATE($A$7,"FICH"),PrecioCompetencia!FcClave,0),FcInicioPrecioComp+12),"")</f>
        <v/>
      </c>
      <c r="O54" s="12"/>
    </row>
    <row r="55" spans="1:16" s="1" customFormat="1" ht="15" customHeight="1" x14ac:dyDescent="0.2">
      <c r="A55" s="95" t="s">
        <v>75</v>
      </c>
      <c r="B55" s="93" t="str">
        <f>IFERROR(INDEX(PrecioCompetencia!FcDetalle,MATCH(CONCATENATE($A$7,"DON"),PrecioCompetencia!FcClave,0),FcInicioPrecioComp+0),"")</f>
        <v/>
      </c>
      <c r="C55" s="93" t="str">
        <f>IFERROR(INDEX(PrecioCompetencia!FcDetalle,MATCH(CONCATENATE($A$7,"DON"),PrecioCompetencia!FcClave,0),FcInicioPrecioComp+1),"")</f>
        <v/>
      </c>
      <c r="D55" s="93" t="str">
        <f>IFERROR(INDEX(PrecioCompetencia!FcDetalle,MATCH(CONCATENATE($A$7,"DON"),PrecioCompetencia!FcClave,0),FcInicioPrecioComp+2),"")</f>
        <v/>
      </c>
      <c r="E55" s="93" t="str">
        <f>IFERROR(INDEX(PrecioCompetencia!FcDetalle,MATCH(CONCATENATE($A$7,"DON"),PrecioCompetencia!FcClave,0),FcInicioPrecioComp+3),"")</f>
        <v/>
      </c>
      <c r="F55" s="93" t="str">
        <f>IFERROR(INDEX(PrecioCompetencia!FcDetalle,MATCH(CONCATENATE($A$7,"DON"),PrecioCompetencia!FcClave,0),FcInicioPrecioComp+4),"")</f>
        <v/>
      </c>
      <c r="G55" s="93" t="str">
        <f>IFERROR(INDEX(PrecioCompetencia!FcDetalle,MATCH(CONCATENATE($A$7,"DON"),PrecioCompetencia!FcClave,0),FcInicioPrecioComp+5),"")</f>
        <v/>
      </c>
      <c r="H55" s="93" t="str">
        <f>IFERROR(INDEX(PrecioCompetencia!FcDetalle,MATCH(CONCATENATE($A$7,"DON"),PrecioCompetencia!FcClave,0),FcInicioPrecioComp+6),"")</f>
        <v/>
      </c>
      <c r="I55" s="93" t="str">
        <f>IFERROR(INDEX(PrecioCompetencia!FcDetalle,MATCH(CONCATENATE($A$7,"DON"),PrecioCompetencia!FcClave,0),FcInicioPrecioComp+7),"")</f>
        <v/>
      </c>
      <c r="J55" s="93" t="str">
        <f>IFERROR(INDEX(PrecioCompetencia!FcDetalle,MATCH(CONCATENATE($A$7,"DON"),PrecioCompetencia!FcClave,0),FcInicioPrecioComp+8),"")</f>
        <v/>
      </c>
      <c r="K55" s="93" t="str">
        <f>IFERROR(INDEX(PrecioCompetencia!FcDetalle,MATCH(CONCATENATE($A$7,"DON"),PrecioCompetencia!FcClave,0),FcInicioPrecioComp+9),"")</f>
        <v/>
      </c>
      <c r="L55" s="93" t="str">
        <f>IFERROR(INDEX(PrecioCompetencia!FcDetalle,MATCH(CONCATENATE($A$7,"DON"),PrecioCompetencia!FcClave,0),FcInicioPrecioComp+10),"")</f>
        <v/>
      </c>
      <c r="M55" s="93" t="str">
        <f>IFERROR(INDEX(PrecioCompetencia!FcDetalle,MATCH(CONCATENATE($A$7,"DON"),PrecioCompetencia!FcClave,0),FcInicioPrecioComp+11),"")</f>
        <v/>
      </c>
      <c r="N55" s="94" t="str">
        <f>IFERROR(INDEX(PrecioCompetencia!FcDetalle,MATCH(CONCATENATE($A$7,"DON"),PrecioCompetencia!FcClave,0),FcInicioPrecioComp+12),"")</f>
        <v/>
      </c>
      <c r="O55" s="12"/>
    </row>
    <row r="56" spans="1:16" s="1" customFormat="1" ht="15" customHeight="1" x14ac:dyDescent="0.2">
      <c r="A56" s="95" t="s">
        <v>63</v>
      </c>
      <c r="B56" s="93" t="str">
        <f>IFERROR(INDEX(PrecioCompetencia!FcDetalle,MATCH(CONCATENATE($A$7,"1637"),PrecioCompetencia!FcClave,0),FcInicioPrecioComp+0),"")</f>
        <v/>
      </c>
      <c r="C56" s="93" t="str">
        <f>IFERROR(INDEX(PrecioCompetencia!FcDetalle,MATCH(CONCATENATE($A$7,"1637"),PrecioCompetencia!FcClave,0),FcInicioPrecioComp+1),"")</f>
        <v/>
      </c>
      <c r="D56" s="93" t="str">
        <f>IFERROR(INDEX(PrecioCompetencia!FcDetalle,MATCH(CONCATENATE($A$7,"1637"),PrecioCompetencia!FcClave,0),FcInicioPrecioComp+2),"")</f>
        <v/>
      </c>
      <c r="E56" s="93" t="str">
        <f>IFERROR(INDEX(PrecioCompetencia!FcDetalle,MATCH(CONCATENATE($A$7,"1637"),PrecioCompetencia!FcClave,0),FcInicioPrecioComp+3),"")</f>
        <v/>
      </c>
      <c r="F56" s="93" t="str">
        <f>IFERROR(INDEX(PrecioCompetencia!FcDetalle,MATCH(CONCATENATE($A$7,"1637"),PrecioCompetencia!FcClave,0),FcInicioPrecioComp+4),"")</f>
        <v/>
      </c>
      <c r="G56" s="93" t="str">
        <f>IFERROR(INDEX(PrecioCompetencia!FcDetalle,MATCH(CONCATENATE($A$7,"1637"),PrecioCompetencia!FcClave,0),FcInicioPrecioComp+5),"")</f>
        <v/>
      </c>
      <c r="H56" s="93" t="str">
        <f>IFERROR(INDEX(PrecioCompetencia!FcDetalle,MATCH(CONCATENATE($A$7,"1637"),PrecioCompetencia!FcClave,0),FcInicioPrecioComp+6),"")</f>
        <v/>
      </c>
      <c r="I56" s="93" t="str">
        <f>IFERROR(INDEX(PrecioCompetencia!FcDetalle,MATCH(CONCATENATE($A$7,"1637"),PrecioCompetencia!FcClave,0),FcInicioPrecioComp+7),"")</f>
        <v/>
      </c>
      <c r="J56" s="93" t="str">
        <f>IFERROR(INDEX(PrecioCompetencia!FcDetalle,MATCH(CONCATENATE($A$7,"1637"),PrecioCompetencia!FcClave,0),FcInicioPrecioComp+8),"")</f>
        <v/>
      </c>
      <c r="K56" s="93" t="str">
        <f>IFERROR(INDEX(PrecioCompetencia!FcDetalle,MATCH(CONCATENATE($A$7,"1637"),PrecioCompetencia!FcClave,0),FcInicioPrecioComp+9),"")</f>
        <v/>
      </c>
      <c r="L56" s="93" t="str">
        <f>IFERROR(INDEX(PrecioCompetencia!FcDetalle,MATCH(CONCATENATE($A$7,"1637"),PrecioCompetencia!FcClave,0),FcInicioPrecioComp+10),"")</f>
        <v/>
      </c>
      <c r="M56" s="93" t="str">
        <f>IFERROR(INDEX(PrecioCompetencia!FcDetalle,MATCH(CONCATENATE($A$7,"1637"),PrecioCompetencia!FcClave,0),FcInicioPrecioComp+11),"")</f>
        <v/>
      </c>
      <c r="N56" s="94" t="str">
        <f>IFERROR(INDEX(PrecioCompetencia!FcDetalle,MATCH(CONCATENATE($A$7,"1637"),PrecioCompetencia!FcClave,0),FcInicioPrecioComp+12),"")</f>
        <v/>
      </c>
      <c r="O56" s="12"/>
    </row>
    <row r="57" spans="1:16" s="1" customFormat="1" ht="15" customHeight="1" thickBot="1" x14ac:dyDescent="0.25">
      <c r="A57" s="96" t="s">
        <v>25</v>
      </c>
      <c r="B57" s="97" t="str">
        <f>IFERROR(INDEX(PrecioCompetencia!FcDetalle,MATCH(CONCATENATE($A$7,"BOG"),PrecioCompetencia!FcClave,0),FcInicioPrecioComp+0),"")</f>
        <v/>
      </c>
      <c r="C57" s="97" t="str">
        <f>IFERROR(INDEX(PrecioCompetencia!FcDetalle,MATCH(CONCATENATE($A$7,"BOG"),PrecioCompetencia!FcClave,0),FcInicioPrecioComp+1),"")</f>
        <v/>
      </c>
      <c r="D57" s="97" t="str">
        <f>IFERROR(INDEX(PrecioCompetencia!FcDetalle,MATCH(CONCATENATE($A$7,"BOG"),PrecioCompetencia!FcClave,0),FcInicioPrecioComp+2),"")</f>
        <v/>
      </c>
      <c r="E57" s="97" t="str">
        <f>IFERROR(INDEX(PrecioCompetencia!FcDetalle,MATCH(CONCATENATE($A$7,"BOG"),PrecioCompetencia!FcClave,0),FcInicioPrecioComp+3),"")</f>
        <v/>
      </c>
      <c r="F57" s="97" t="str">
        <f>IFERROR(INDEX(PrecioCompetencia!FcDetalle,MATCH(CONCATENATE($A$7,"BOG"),PrecioCompetencia!FcClave,0),FcInicioPrecioComp+4),"")</f>
        <v/>
      </c>
      <c r="G57" s="97" t="str">
        <f>IFERROR(INDEX(PrecioCompetencia!FcDetalle,MATCH(CONCATENATE($A$7,"BOG"),PrecioCompetencia!FcClave,0),FcInicioPrecioComp+5),"")</f>
        <v/>
      </c>
      <c r="H57" s="97" t="str">
        <f>IFERROR(INDEX(PrecioCompetencia!FcDetalle,MATCH(CONCATENATE($A$7,"BOG"),PrecioCompetencia!FcClave,0),FcInicioPrecioComp+6),"")</f>
        <v/>
      </c>
      <c r="I57" s="97" t="str">
        <f>IFERROR(INDEX(PrecioCompetencia!FcDetalle,MATCH(CONCATENATE($A$7,"BOG"),PrecioCompetencia!FcClave,0),FcInicioPrecioComp+7),"")</f>
        <v/>
      </c>
      <c r="J57" s="97" t="str">
        <f>IFERROR(INDEX(PrecioCompetencia!FcDetalle,MATCH(CONCATENATE($A$7,"BOG"),PrecioCompetencia!FcClave,0),FcInicioPrecioComp+8),"")</f>
        <v/>
      </c>
      <c r="K57" s="97" t="str">
        <f>IFERROR(INDEX(PrecioCompetencia!FcDetalle,MATCH(CONCATENATE($A$7,"BOG"),PrecioCompetencia!FcClave,0),FcInicioPrecioComp+9),"")</f>
        <v/>
      </c>
      <c r="L57" s="97" t="str">
        <f>IFERROR(INDEX(PrecioCompetencia!FcDetalle,MATCH(CONCATENATE($A$7,"BOG"),PrecioCompetencia!FcClave,0),FcInicioPrecioComp+10),"")</f>
        <v/>
      </c>
      <c r="M57" s="97" t="str">
        <f>IFERROR(INDEX(PrecioCompetencia!FcDetalle,MATCH(CONCATENATE($A$7,"BOG"),PrecioCompetencia!FcClave,0),FcInicioPrecioComp+11),"")</f>
        <v/>
      </c>
      <c r="N57" s="98" t="str">
        <f>IFERROR(INDEX(PrecioCompetencia!FcDetalle,MATCH(CONCATENATE($A$7,"BOG"),PrecioCompetencia!FcClave,0),FcInicioPrecioComp+12),"")</f>
        <v/>
      </c>
      <c r="O57" s="12"/>
    </row>
    <row r="58" spans="1:16" s="1" customFormat="1" ht="13.5" thickBot="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</row>
    <row r="59" spans="1:16" s="1" customFormat="1" ht="15.75" thickBot="1" x14ac:dyDescent="0.25">
      <c r="A59" s="79" t="s">
        <v>51</v>
      </c>
      <c r="B59" s="80">
        <f t="shared" ref="B59:N59" si="8">B9</f>
        <v>41548</v>
      </c>
      <c r="C59" s="80">
        <f t="shared" si="8"/>
        <v>41579</v>
      </c>
      <c r="D59" s="80">
        <f t="shared" si="8"/>
        <v>41609</v>
      </c>
      <c r="E59" s="80">
        <f t="shared" si="8"/>
        <v>41640</v>
      </c>
      <c r="F59" s="80">
        <f t="shared" si="8"/>
        <v>41671</v>
      </c>
      <c r="G59" s="80">
        <f t="shared" si="8"/>
        <v>41699</v>
      </c>
      <c r="H59" s="80">
        <f t="shared" si="8"/>
        <v>41730</v>
      </c>
      <c r="I59" s="80">
        <f t="shared" si="8"/>
        <v>41760</v>
      </c>
      <c r="J59" s="80">
        <f t="shared" si="8"/>
        <v>41791</v>
      </c>
      <c r="K59" s="80">
        <f t="shared" si="8"/>
        <v>41821</v>
      </c>
      <c r="L59" s="80">
        <f t="shared" si="8"/>
        <v>41852</v>
      </c>
      <c r="M59" s="80">
        <f t="shared" si="8"/>
        <v>41883</v>
      </c>
      <c r="N59" s="81">
        <f t="shared" si="8"/>
        <v>41913</v>
      </c>
      <c r="P59"/>
    </row>
    <row r="60" spans="1:16" s="1" customFormat="1" ht="14.25" x14ac:dyDescent="0.2">
      <c r="A60" s="66" t="s">
        <v>32</v>
      </c>
      <c r="B60" s="67" t="str">
        <f>IFERROR(INDEX(Venta!FcDetalle,MATCH(CONCATENATE("B-",$B$4,"REP"),Venta!FcClave,0),FcInicioVtaMes+0),"")</f>
        <v/>
      </c>
      <c r="C60" s="67" t="str">
        <f>IFERROR(INDEX(Venta!FcDetalle,MATCH(CONCATENATE("B-",$B$4,"REP"),Venta!FcClave,0),FcInicioVtaMes+1),"")</f>
        <v/>
      </c>
      <c r="D60" s="67" t="str">
        <f>IFERROR(INDEX(Venta!FcDetalle,MATCH(CONCATENATE("B-",$B$4,"REP"),Venta!FcClave,0),FcInicioVtaMes+2),"")</f>
        <v/>
      </c>
      <c r="E60" s="67" t="str">
        <f>IFERROR(INDEX(Venta!FcDetalle,MATCH(CONCATENATE("B-",$B$4,"REP"),Venta!FcClave,0),FcInicioVtaMes+3),"")</f>
        <v/>
      </c>
      <c r="F60" s="67" t="str">
        <f>IFERROR(INDEX(Venta!FcDetalle,MATCH(CONCATENATE("B-",$B$4,"REP"),Venta!FcClave,0),FcInicioVtaMes+4),"")</f>
        <v/>
      </c>
      <c r="G60" s="67" t="str">
        <f>IFERROR(INDEX(Venta!FcDetalle,MATCH(CONCATENATE("B-",$B$4,"REP"),Venta!FcClave,0),FcInicioVtaMes+5),"")</f>
        <v/>
      </c>
      <c r="H60" s="67" t="str">
        <f>IFERROR(INDEX(Venta!FcDetalle,MATCH(CONCATENATE("B-",$B$4,"REP"),Venta!FcClave,0),FcInicioVtaMes+6),"")</f>
        <v/>
      </c>
      <c r="I60" s="67" t="str">
        <f>IFERROR(INDEX(Venta!FcDetalle,MATCH(CONCATENATE("B-",$B$4,"REP"),Venta!FcClave,0),FcInicioVtaMes+7),"")</f>
        <v/>
      </c>
      <c r="J60" s="67" t="str">
        <f>IFERROR(INDEX(Venta!FcDetalle,MATCH(CONCATENATE("B-",$B$4,"REP"),Venta!FcClave,0),FcInicioVtaMes+8),"")</f>
        <v/>
      </c>
      <c r="K60" s="67" t="str">
        <f>IFERROR(INDEX(Venta!FcDetalle,MATCH(CONCATENATE("B-",$B$4,"REP"),Venta!FcClave,0),FcInicioVtaMes+9),"")</f>
        <v/>
      </c>
      <c r="L60" s="67" t="str">
        <f>IFERROR(INDEX(Venta!FcDetalle,MATCH(CONCATENATE("B-",$B$4,"REP"),Venta!FcClave,0),FcInicioVtaMes+10),"")</f>
        <v/>
      </c>
      <c r="M60" s="67" t="str">
        <f>IFERROR(INDEX(Venta!FcDetalle,MATCH(CONCATENATE("B-",$B$4,"REP"),Venta!FcClave,0),FcInicioVtaMes+11),"")</f>
        <v/>
      </c>
      <c r="N60" s="68" t="str">
        <f>IFERROR(INDEX(Venta!FcDetalle,MATCH(CONCATENATE("B-",$B$4,"REP"),Venta!FcClave,0),FcInicioVtaMes+12),"")</f>
        <v/>
      </c>
    </row>
    <row r="61" spans="1:16" s="1" customFormat="1" ht="14.25" x14ac:dyDescent="0.2">
      <c r="A61" s="69" t="s">
        <v>33</v>
      </c>
      <c r="B61" s="70" t="str">
        <f>IFERROR(INDEX(Venta!FcDetalle,MATCH(CONCATENATE("B-",$B$4,"ESP"),Venta!FcClave,0),FcInicioVtaMes+0),"")</f>
        <v/>
      </c>
      <c r="C61" s="70" t="str">
        <f>IFERROR(INDEX(Venta!FcDetalle,MATCH(CONCATENATE("B-",$B$4,"ESP"),Venta!FcClave,0),FcInicioVtaMes+1),"")</f>
        <v/>
      </c>
      <c r="D61" s="70" t="str">
        <f>IFERROR(INDEX(Venta!FcDetalle,MATCH(CONCATENATE("B-",$B$4,"ESP"),Venta!FcClave,0),FcInicioVtaMes+2),"")</f>
        <v/>
      </c>
      <c r="E61" s="70" t="str">
        <f>IFERROR(INDEX(Venta!FcDetalle,MATCH(CONCATENATE("B-",$B$4,"ESP"),Venta!FcClave,0),FcInicioVtaMes+3),"")</f>
        <v/>
      </c>
      <c r="F61" s="70" t="str">
        <f>IFERROR(INDEX(Venta!FcDetalle,MATCH(CONCATENATE("B-",$B$4,"ESP"),Venta!FcClave,0),FcInicioVtaMes+4),"")</f>
        <v/>
      </c>
      <c r="G61" s="70" t="str">
        <f>IFERROR(INDEX(Venta!FcDetalle,MATCH(CONCATENATE("B-",$B$4,"ESP"),Venta!FcClave,0),FcInicioVtaMes+5),"")</f>
        <v/>
      </c>
      <c r="H61" s="70" t="str">
        <f>IFERROR(INDEX(Venta!FcDetalle,MATCH(CONCATENATE("B-",$B$4,"ESP"),Venta!FcClave,0),FcInicioVtaMes+6),"")</f>
        <v/>
      </c>
      <c r="I61" s="70" t="str">
        <f>IFERROR(INDEX(Venta!FcDetalle,MATCH(CONCATENATE("B-",$B$4,"ESP"),Venta!FcClave,0),FcInicioVtaMes+7),"")</f>
        <v/>
      </c>
      <c r="J61" s="70" t="str">
        <f>IFERROR(INDEX(Venta!FcDetalle,MATCH(CONCATENATE("B-",$B$4,"ESP"),Venta!FcClave,0),FcInicioVtaMes+8),"")</f>
        <v/>
      </c>
      <c r="K61" s="70" t="str">
        <f>IFERROR(INDEX(Venta!FcDetalle,MATCH(CONCATENATE("B-",$B$4,"ESP"),Venta!FcClave,0),FcInicioVtaMes+9),"")</f>
        <v/>
      </c>
      <c r="L61" s="70" t="str">
        <f>IFERROR(INDEX(Venta!FcDetalle,MATCH(CONCATENATE("B-",$B$4,"ESP"),Venta!FcClave,0),FcInicioVtaMes+10),"")</f>
        <v/>
      </c>
      <c r="M61" s="70" t="str">
        <f>IFERROR(INDEX(Venta!FcDetalle,MATCH(CONCATENATE("B-",$B$4,"ESP"),Venta!FcClave,0),FcInicioVtaMes+11),"")</f>
        <v/>
      </c>
      <c r="N61" s="71" t="str">
        <f>IFERROR(INDEX(Venta!FcDetalle,MATCH(CONCATENATE("B-",$B$4,"ESP"),Venta!FcClave,0),FcInicioVtaMes+12),"")</f>
        <v/>
      </c>
    </row>
    <row r="62" spans="1:16" s="1" customFormat="1" ht="15" thickBot="1" x14ac:dyDescent="0.25">
      <c r="A62" s="72" t="s">
        <v>34</v>
      </c>
      <c r="B62" s="73" t="str">
        <f>IFERROR(INDEX(Venta!FcDetalle,MATCH(CONCATENATE("B-",$B$4,"EXP"),Venta!FcClave,0),FcInicioVtaMes+0),"")</f>
        <v/>
      </c>
      <c r="C62" s="73" t="str">
        <f>IFERROR(INDEX(Venta!FcDetalle,MATCH(CONCATENATE("B-",$B$4,"EXP"),Venta!FcClave,0),FcInicioVtaMes+1),"")</f>
        <v/>
      </c>
      <c r="D62" s="73" t="str">
        <f>IFERROR(INDEX(Venta!FcDetalle,MATCH(CONCATENATE("B-",$B$4,"EXP"),Venta!FcClave,0),FcInicioVtaMes+2),"")</f>
        <v/>
      </c>
      <c r="E62" s="73" t="str">
        <f>IFERROR(INDEX(Venta!FcDetalle,MATCH(CONCATENATE("B-",$B$4,"EXP"),Venta!FcClave,0),FcInicioVtaMes+3),"")</f>
        <v/>
      </c>
      <c r="F62" s="73" t="str">
        <f>IFERROR(INDEX(Venta!FcDetalle,MATCH(CONCATENATE("B-",$B$4,"EXP"),Venta!FcClave,0),FcInicioVtaMes+4),"")</f>
        <v/>
      </c>
      <c r="G62" s="73" t="str">
        <f>IFERROR(INDEX(Venta!FcDetalle,MATCH(CONCATENATE("B-",$B$4,"EXP"),Venta!FcClave,0),FcInicioVtaMes+5),"")</f>
        <v/>
      </c>
      <c r="H62" s="73" t="str">
        <f>IFERROR(INDEX(Venta!FcDetalle,MATCH(CONCATENATE("B-",$B$4,"EXP"),Venta!FcClave,0),FcInicioVtaMes+6),"")</f>
        <v/>
      </c>
      <c r="I62" s="73" t="str">
        <f>IFERROR(INDEX(Venta!FcDetalle,MATCH(CONCATENATE("B-",$B$4,"EXP"),Venta!FcClave,0),FcInicioVtaMes+7),"")</f>
        <v/>
      </c>
      <c r="J62" s="73" t="str">
        <f>IFERROR(INDEX(Venta!FcDetalle,MATCH(CONCATENATE("B-",$B$4,"EXP"),Venta!FcClave,0),FcInicioVtaMes+8),"")</f>
        <v/>
      </c>
      <c r="K62" s="73" t="str">
        <f>IFERROR(INDEX(Venta!FcDetalle,MATCH(CONCATENATE("B-",$B$4,"EXP"),Venta!FcClave,0),FcInicioVtaMes+9),"")</f>
        <v/>
      </c>
      <c r="L62" s="73" t="str">
        <f>IFERROR(INDEX(Venta!FcDetalle,MATCH(CONCATENATE("B-",$B$4,"EXP"),Venta!FcClave,0),FcInicioVtaMes+10),"")</f>
        <v/>
      </c>
      <c r="M62" s="73" t="str">
        <f>IFERROR(INDEX(Venta!FcDetalle,MATCH(CONCATENATE("B-",$B$4,"EXP"),Venta!FcClave,0),FcInicioVtaMes+11),"")</f>
        <v/>
      </c>
      <c r="N62" s="74" t="str">
        <f>IFERROR(INDEX(Venta!FcDetalle,MATCH(CONCATENATE("B-",$B$4,"EXP"),Venta!FcClave,0),FcInicioVtaMes+12),"")</f>
        <v/>
      </c>
    </row>
    <row r="63" spans="1:16" s="1" customFormat="1" ht="15.75" thickBot="1" x14ac:dyDescent="0.25">
      <c r="A63" s="75" t="str">
        <f>UPPER($B$4)</f>
        <v>0</v>
      </c>
      <c r="B63" s="76" t="str">
        <f t="shared" ref="B63:N63" si="9">IF(COUNTIF(B60:B62,"")=3,"",SUM(B60:B62))</f>
        <v/>
      </c>
      <c r="C63" s="76" t="str">
        <f t="shared" si="9"/>
        <v/>
      </c>
      <c r="D63" s="76" t="str">
        <f t="shared" si="9"/>
        <v/>
      </c>
      <c r="E63" s="76" t="str">
        <f t="shared" si="9"/>
        <v/>
      </c>
      <c r="F63" s="76" t="str">
        <f t="shared" si="9"/>
        <v/>
      </c>
      <c r="G63" s="76" t="str">
        <f t="shared" si="9"/>
        <v/>
      </c>
      <c r="H63" s="76" t="str">
        <f t="shared" si="9"/>
        <v/>
      </c>
      <c r="I63" s="76" t="str">
        <f t="shared" si="9"/>
        <v/>
      </c>
      <c r="J63" s="76" t="str">
        <f t="shared" si="9"/>
        <v/>
      </c>
      <c r="K63" s="76" t="str">
        <f t="shared" si="9"/>
        <v/>
      </c>
      <c r="L63" s="76" t="str">
        <f t="shared" si="9"/>
        <v/>
      </c>
      <c r="M63" s="76" t="str">
        <f t="shared" si="9"/>
        <v/>
      </c>
      <c r="N63" s="77" t="str">
        <f t="shared" si="9"/>
        <v/>
      </c>
    </row>
    <row r="64" spans="1:16" s="1" customFormat="1" ht="14.25" x14ac:dyDescent="0.2">
      <c r="A64" s="32" t="s">
        <v>52</v>
      </c>
      <c r="B64" s="54" t="str">
        <f t="shared" ref="B64:N64" si="10">IFERROR(B60/B10,"")</f>
        <v/>
      </c>
      <c r="C64" s="54" t="str">
        <f t="shared" si="10"/>
        <v/>
      </c>
      <c r="D64" s="54" t="str">
        <f t="shared" si="10"/>
        <v/>
      </c>
      <c r="E64" s="54" t="str">
        <f t="shared" si="10"/>
        <v/>
      </c>
      <c r="F64" s="54" t="str">
        <f t="shared" si="10"/>
        <v/>
      </c>
      <c r="G64" s="54" t="str">
        <f t="shared" si="10"/>
        <v/>
      </c>
      <c r="H64" s="54" t="str">
        <f t="shared" si="10"/>
        <v/>
      </c>
      <c r="I64" s="54" t="str">
        <f t="shared" si="10"/>
        <v/>
      </c>
      <c r="J64" s="54" t="str">
        <f t="shared" si="10"/>
        <v/>
      </c>
      <c r="K64" s="54" t="str">
        <f t="shared" si="10"/>
        <v/>
      </c>
      <c r="L64" s="54" t="str">
        <f t="shared" si="10"/>
        <v/>
      </c>
      <c r="M64" s="54" t="str">
        <f t="shared" si="10"/>
        <v/>
      </c>
      <c r="N64" s="55" t="str">
        <f t="shared" si="10"/>
        <v/>
      </c>
    </row>
    <row r="65" spans="1:22" s="1" customFormat="1" ht="14.25" x14ac:dyDescent="0.2">
      <c r="A65" s="48" t="s">
        <v>53</v>
      </c>
      <c r="B65" s="56" t="str">
        <f t="shared" ref="B65:N65" si="11">IFERROR(B61/B11,"")</f>
        <v/>
      </c>
      <c r="C65" s="56" t="str">
        <f t="shared" si="11"/>
        <v/>
      </c>
      <c r="D65" s="56" t="str">
        <f t="shared" si="11"/>
        <v/>
      </c>
      <c r="E65" s="56" t="str">
        <f t="shared" si="11"/>
        <v/>
      </c>
      <c r="F65" s="56" t="str">
        <f t="shared" si="11"/>
        <v/>
      </c>
      <c r="G65" s="56" t="str">
        <f t="shared" si="11"/>
        <v/>
      </c>
      <c r="H65" s="56" t="str">
        <f t="shared" si="11"/>
        <v/>
      </c>
      <c r="I65" s="56" t="str">
        <f t="shared" si="11"/>
        <v/>
      </c>
      <c r="J65" s="56" t="str">
        <f t="shared" si="11"/>
        <v/>
      </c>
      <c r="K65" s="56" t="str">
        <f t="shared" si="11"/>
        <v/>
      </c>
      <c r="L65" s="56" t="str">
        <f t="shared" si="11"/>
        <v/>
      </c>
      <c r="M65" s="56" t="str">
        <f t="shared" si="11"/>
        <v/>
      </c>
      <c r="N65" s="57" t="str">
        <f t="shared" si="11"/>
        <v/>
      </c>
    </row>
    <row r="66" spans="1:22" s="1" customFormat="1" ht="15" thickBot="1" x14ac:dyDescent="0.25">
      <c r="A66" s="31" t="s">
        <v>54</v>
      </c>
      <c r="B66" s="58" t="str">
        <f t="shared" ref="B66:M66" si="12">IFERROR(B62/B12,"")</f>
        <v/>
      </c>
      <c r="C66" s="58" t="str">
        <f t="shared" si="12"/>
        <v/>
      </c>
      <c r="D66" s="58" t="str">
        <f t="shared" si="12"/>
        <v/>
      </c>
      <c r="E66" s="58" t="str">
        <f t="shared" si="12"/>
        <v/>
      </c>
      <c r="F66" s="58" t="str">
        <f t="shared" si="12"/>
        <v/>
      </c>
      <c r="G66" s="58" t="str">
        <f t="shared" si="12"/>
        <v/>
      </c>
      <c r="H66" s="58" t="str">
        <f t="shared" si="12"/>
        <v/>
      </c>
      <c r="I66" s="58" t="str">
        <f t="shared" si="12"/>
        <v/>
      </c>
      <c r="J66" s="58" t="str">
        <f t="shared" si="12"/>
        <v/>
      </c>
      <c r="K66" s="58" t="str">
        <f t="shared" si="12"/>
        <v/>
      </c>
      <c r="L66" s="58" t="str">
        <f t="shared" si="12"/>
        <v/>
      </c>
      <c r="M66" s="58" t="str">
        <f t="shared" si="12"/>
        <v/>
      </c>
      <c r="N66" s="59" t="str">
        <f t="shared" ref="N66" si="13">IF(ISERROR(N62/N12),"",N62/N12)</f>
        <v/>
      </c>
    </row>
    <row r="67" spans="1:22" s="1" customFormat="1" ht="15" hidden="1" customHeight="1" x14ac:dyDescent="0.2">
      <c r="A67" s="46" t="s">
        <v>55</v>
      </c>
      <c r="B67" s="38" t="str">
        <f>IF(ISERROR(VLOOKUP($A$7,#REF!,MATCH(B$9,#REF!,0),FALSE)),"",VLOOKUP($A$7,#REF!,MATCH(B$9,#REF!,0),FALSE))</f>
        <v/>
      </c>
      <c r="C67" s="38" t="str">
        <f>IF(ISERROR(VLOOKUP($A$7,#REF!,MATCH(C$9,#REF!,0),FALSE)),"",VLOOKUP($A$7,#REF!,MATCH(C$9,#REF!,0),FALSE))</f>
        <v/>
      </c>
      <c r="D67" s="38" t="str">
        <f>IF(ISERROR(VLOOKUP($A$7,#REF!,MATCH(D$9,#REF!,0),FALSE)),"",VLOOKUP($A$7,#REF!,MATCH(D$9,#REF!,0),FALSE))</f>
        <v/>
      </c>
      <c r="E67" s="38" t="str">
        <f>IF(ISERROR(VLOOKUP($A$7,#REF!,MATCH(E$9,#REF!,0),FALSE)),"",VLOOKUP($A$7,#REF!,MATCH(E$9,#REF!,0),FALSE))</f>
        <v/>
      </c>
      <c r="F67" s="38" t="str">
        <f>IF(ISERROR(VLOOKUP($A$7,#REF!,MATCH(F$9,#REF!,0),FALSE)),"",VLOOKUP($A$7,#REF!,MATCH(F$9,#REF!,0),FALSE))</f>
        <v/>
      </c>
      <c r="G67" s="38" t="str">
        <f>IF(ISERROR(VLOOKUP($A$7,#REF!,MATCH(G$9,#REF!,0),FALSE)),"",VLOOKUP($A$7,#REF!,MATCH(G$9,#REF!,0),FALSE))</f>
        <v/>
      </c>
      <c r="H67" s="38" t="str">
        <f>IF(ISERROR(VLOOKUP($A$7,#REF!,MATCH(H$9,#REF!,0),FALSE)),"",VLOOKUP($A$7,#REF!,MATCH(H$9,#REF!,0),FALSE))</f>
        <v/>
      </c>
      <c r="I67" s="38" t="str">
        <f>IF(ISERROR(VLOOKUP($A$7,#REF!,MATCH(I$9,#REF!,0),FALSE)),"",VLOOKUP($A$7,#REF!,MATCH(I$9,#REF!,0),FALSE))</f>
        <v/>
      </c>
      <c r="J67" s="38" t="str">
        <f>IF(ISERROR(VLOOKUP($A$7,#REF!,MATCH(J$9,#REF!,0),FALSE)),"",VLOOKUP($A$7,#REF!,MATCH(J$9,#REF!,0),FALSE))</f>
        <v/>
      </c>
      <c r="K67" s="38" t="str">
        <f>IF(ISERROR(VLOOKUP($A$7,#REF!,MATCH(K$9,#REF!,0),FALSE)),"",VLOOKUP($A$7,#REF!,MATCH(K$9,#REF!,0),FALSE))</f>
        <v/>
      </c>
      <c r="L67" s="38" t="str">
        <f>IF(ISERROR(VLOOKUP($A$7,#REF!,MATCH(L$9,#REF!,0),FALSE)),"",VLOOKUP($A$7,#REF!,MATCH(L$9,#REF!,0),FALSE))</f>
        <v/>
      </c>
      <c r="M67" s="38" t="str">
        <f>IF(ISERROR(VLOOKUP($A$7,#REF!,MATCH(M$9,#REF!,0),FALSE)),"",VLOOKUP($A$7,#REF!,MATCH(M$9,#REF!,0),FALSE))</f>
        <v/>
      </c>
      <c r="N67" s="34" t="str">
        <f>IF(ISERROR(VLOOKUP($A$7,#REF!,MATCH(N$9,#REF!,0),FALSE)),"",VLOOKUP($A$7,#REF!,MATCH(N$9,#REF!,0),FALSE))</f>
        <v/>
      </c>
    </row>
    <row r="68" spans="1:22" s="1" customFormat="1" ht="15" hidden="1" customHeight="1" x14ac:dyDescent="0.2">
      <c r="A68" s="49" t="s">
        <v>56</v>
      </c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1"/>
    </row>
    <row r="69" spans="1:22" s="1" customFormat="1" ht="15" hidden="1" customHeight="1" thickBot="1" x14ac:dyDescent="0.25">
      <c r="A69" s="47" t="s">
        <v>57</v>
      </c>
      <c r="B69" s="39" t="str">
        <f>IF(ISERROR(VLOOKUP($B$7,#REF!,MATCH(B$9,#REF!,0),FALSE)),"",VLOOKUP($B$7,#REF!,MATCH(B$9,#REF!,0),FALSE))</f>
        <v/>
      </c>
      <c r="C69" s="39" t="str">
        <f>IF(ISERROR(VLOOKUP($B$7,#REF!,MATCH(C$9,#REF!,0),FALSE)),"",VLOOKUP($B$7,#REF!,MATCH(C$9,#REF!,0),FALSE))</f>
        <v/>
      </c>
      <c r="D69" s="39" t="str">
        <f>IF(ISERROR(VLOOKUP($B$7,#REF!,MATCH(D$9,#REF!,0),FALSE)),"",VLOOKUP($B$7,#REF!,MATCH(D$9,#REF!,0),FALSE))</f>
        <v/>
      </c>
      <c r="E69" s="39" t="str">
        <f>IF(ISERROR(VLOOKUP($B$7,#REF!,MATCH(E$9,#REF!,0),FALSE)),"",VLOOKUP($B$7,#REF!,MATCH(E$9,#REF!,0),FALSE))</f>
        <v/>
      </c>
      <c r="F69" s="39" t="str">
        <f>IF(ISERROR(VLOOKUP($B$7,#REF!,MATCH(F$9,#REF!,0),FALSE)),"",VLOOKUP($B$7,#REF!,MATCH(F$9,#REF!,0),FALSE))</f>
        <v/>
      </c>
      <c r="G69" s="39" t="str">
        <f>IF(ISERROR(VLOOKUP($B$7,#REF!,MATCH(G$9,#REF!,0),FALSE)),"",VLOOKUP($B$7,#REF!,MATCH(G$9,#REF!,0),FALSE))</f>
        <v/>
      </c>
      <c r="H69" s="39" t="str">
        <f>IF(ISERROR(VLOOKUP($B$7,#REF!,MATCH(H$9,#REF!,0),FALSE)),"",VLOOKUP($B$7,#REF!,MATCH(H$9,#REF!,0),FALSE))</f>
        <v/>
      </c>
      <c r="I69" s="39" t="str">
        <f>IF(ISERROR(VLOOKUP($B$7,#REF!,MATCH(I$9,#REF!,0),FALSE)),"",VLOOKUP($B$7,#REF!,MATCH(I$9,#REF!,0),FALSE))</f>
        <v/>
      </c>
      <c r="J69" s="39" t="str">
        <f>IF(ISERROR(VLOOKUP($B$7,#REF!,MATCH(J$9,#REF!,0),FALSE)),"",VLOOKUP($B$7,#REF!,MATCH(J$9,#REF!,0),FALSE))</f>
        <v/>
      </c>
      <c r="K69" s="39" t="str">
        <f>IF(ISERROR(VLOOKUP($B$7,#REF!,MATCH(K$9,#REF!,0),FALSE)),"",VLOOKUP($B$7,#REF!,MATCH(K$9,#REF!,0),FALSE))</f>
        <v/>
      </c>
      <c r="L69" s="39" t="str">
        <f>IF(ISERROR(VLOOKUP($B$7,#REF!,MATCH(L$9,#REF!,0),FALSE)),"",VLOOKUP($B$7,#REF!,MATCH(L$9,#REF!,0),FALSE))</f>
        <v/>
      </c>
      <c r="M69" s="39" t="str">
        <f>IF(ISERROR(VLOOKUP($B$7,#REF!,MATCH(M$9,#REF!,0),FALSE)),"",VLOOKUP($B$7,#REF!,MATCH(M$9,#REF!,0),FALSE))</f>
        <v/>
      </c>
      <c r="N69" s="35" t="str">
        <f>IF(ISERROR(VLOOKUP($B$7,#REF!,MATCH(N$9,#REF!,0),FALSE)),"",VLOOKUP($B$7,#REF!,MATCH(N$9,#REF!,0),FALSE))</f>
        <v/>
      </c>
    </row>
    <row r="70" spans="1:22" s="1" customFormat="1" ht="14.25" x14ac:dyDescent="0.2">
      <c r="A70" s="52" t="str">
        <f>CONCATENATE("PPU Rep ",$A$7)</f>
        <v xml:space="preserve">PPU Rep </v>
      </c>
      <c r="B70" s="60" t="str">
        <f>IFERROR(INDEX(Venta!FcDetalle,MATCH(CONCATENATE("B-",$A$7,"REP"),Venta!FcClave,0),FcInicioVtaMes+0)/$B$21,"")</f>
        <v/>
      </c>
      <c r="C70" s="60" t="str">
        <f>IFERROR(INDEX(Venta!FcDetalle,MATCH(CONCATENATE("B-",$A$7,"REP"),Venta!FcClave,0),FcInicioVtaMes+1)/$C$21,"")</f>
        <v/>
      </c>
      <c r="D70" s="60" t="str">
        <f>IFERROR(INDEX(Venta!FcDetalle,MATCH(CONCATENATE("B-",$A$7,"REP"),Venta!FcClave,0),FcInicioVtaMes+2)/$D$21,"")</f>
        <v/>
      </c>
      <c r="E70" s="60" t="str">
        <f>IFERROR(INDEX(Venta!FcDetalle,MATCH(CONCATENATE("B-",$A$7,"REP"),Venta!FcClave,0),FcInicioVtaMes+3)/$E$21,"")</f>
        <v/>
      </c>
      <c r="F70" s="60" t="str">
        <f>IFERROR(INDEX(Venta!FcDetalle,MATCH(CONCATENATE("B-",$A$7,"REP"),Venta!FcClave,0),FcInicioVtaMes+4)/$F$21,"")</f>
        <v/>
      </c>
      <c r="G70" s="60" t="str">
        <f>IFERROR(INDEX(Venta!FcDetalle,MATCH(CONCATENATE("B-",$A$7,"REP"),Venta!FcClave,0),FcInicioVtaMes+5)/$G$21,"")</f>
        <v/>
      </c>
      <c r="H70" s="60" t="str">
        <f>IFERROR(INDEX(Venta!FcDetalle,MATCH(CONCATENATE("B-",$A$7,"REP"),Venta!FcClave,0),FcInicioVtaMes+6)/$H$21,"")</f>
        <v/>
      </c>
      <c r="I70" s="60" t="str">
        <f>IFERROR(INDEX(Venta!FcDetalle,MATCH(CONCATENATE("B-",$A$7,"REP"),Venta!FcClave,0),FcInicioVtaMes+7)/$I$21,"")</f>
        <v/>
      </c>
      <c r="J70" s="60" t="str">
        <f>IFERROR(INDEX(Venta!FcDetalle,MATCH(CONCATENATE("B-",$A$7,"REP"),Venta!FcClave,0),FcInicioVtaMes+8)/$J$21,"")</f>
        <v/>
      </c>
      <c r="K70" s="60" t="str">
        <f>IFERROR(INDEX(Venta!FcDetalle,MATCH(CONCATENATE("B-",$A$7,"REP"),Venta!FcClave,0),FcInicioVtaMes+9)/$K$21,"")</f>
        <v/>
      </c>
      <c r="L70" s="60" t="str">
        <f>IFERROR(INDEX(Venta!FcDetalle,MATCH(CONCATENATE("B-",$A$7,"REP"),Venta!FcClave,0),FcInicioVtaMes+10)/$L$21,"")</f>
        <v/>
      </c>
      <c r="M70" s="60" t="str">
        <f>IFERROR(INDEX(Venta!FcDetalle,MATCH(CONCATENATE("B-",$A$7,"REP"),Venta!FcClave,0),FcInicioVtaMes+11)/$M$21,"")</f>
        <v/>
      </c>
      <c r="N70" s="62" t="str">
        <f>IFERROR(INDEX(Venta!FcDetalle,MATCH(CONCATENATE("B-",$A$7,"REP"),Venta!FcClave,0),FcInicioVtaMes+12)/$N$21,"")</f>
        <v/>
      </c>
    </row>
    <row r="71" spans="1:22" s="1" customFormat="1" ht="15" thickBot="1" x14ac:dyDescent="0.25">
      <c r="A71" s="53" t="str">
        <f>CONCATENATE("PPU Rep ",$B$7)</f>
        <v xml:space="preserve">PPU Rep </v>
      </c>
      <c r="B71" s="61" t="str">
        <f>IFERROR(INDEX(Venta!FcDetalle,MATCH(CONCATENATE("B-",$B$7,"REP"),Venta!FcClave,0),FcInicioVtaMes+0)/$B$22,"")</f>
        <v/>
      </c>
      <c r="C71" s="61" t="str">
        <f>IFERROR(INDEX(Venta!FcDetalle,MATCH(CONCATENATE("B-",$B$7,"REP"),Venta!FcClave,0),FcInicioVtaMes+1)/$C$22,"")</f>
        <v/>
      </c>
      <c r="D71" s="61" t="str">
        <f>IFERROR(INDEX(Venta!FcDetalle,MATCH(CONCATENATE("B-",$B$7,"REP"),Venta!FcClave,0),FcInicioVtaMes+2)/$D$22,"")</f>
        <v/>
      </c>
      <c r="E71" s="61" t="str">
        <f>IFERROR(INDEX(Venta!FcDetalle,MATCH(CONCATENATE("B-",$B$7,"REP"),Venta!FcClave,0),FcInicioVtaMes+3)/$E$22,"")</f>
        <v/>
      </c>
      <c r="F71" s="61" t="str">
        <f>IFERROR(INDEX(Venta!FcDetalle,MATCH(CONCATENATE("B-",$B$7,"REP"),Venta!FcClave,0),FcInicioVtaMes+4)/$F$22,"")</f>
        <v/>
      </c>
      <c r="G71" s="61" t="str">
        <f>IFERROR(INDEX(Venta!FcDetalle,MATCH(CONCATENATE("B-",$B$7,"REP"),Venta!FcClave,0),FcInicioVtaMes+5)/$G$22,"")</f>
        <v/>
      </c>
      <c r="H71" s="61" t="str">
        <f>IFERROR(INDEX(Venta!FcDetalle,MATCH(CONCATENATE("B-",$B$7,"REP"),Venta!FcClave,0),FcInicioVtaMes+6)/$H$22,"")</f>
        <v/>
      </c>
      <c r="I71" s="61" t="str">
        <f>IFERROR(INDEX(Venta!FcDetalle,MATCH(CONCATENATE("B-",$B$7,"REP"),Venta!FcClave,0),FcInicioVtaMes+7)/$I$22,"")</f>
        <v/>
      </c>
      <c r="J71" s="61" t="str">
        <f>IFERROR(INDEX(Venta!FcDetalle,MATCH(CONCATENATE("B-",$B$7,"REP"),Venta!FcClave,0),FcInicioVtaMes+8)/$J$22,"")</f>
        <v/>
      </c>
      <c r="K71" s="61" t="str">
        <f>IFERROR(INDEX(Venta!FcDetalle,MATCH(CONCATENATE("B-",$B$7,"REP"),Venta!FcClave,0),FcInicioVtaMes+9)/$K$22,"")</f>
        <v/>
      </c>
      <c r="L71" s="61" t="str">
        <f>IFERROR(INDEX(Venta!FcDetalle,MATCH(CONCATENATE("B-",$B$7,"REP"),Venta!FcClave,0),FcInicioVtaMes+10)/$L$22,"")</f>
        <v/>
      </c>
      <c r="M71" s="61" t="str">
        <f>IFERROR(INDEX(Venta!FcDetalle,MATCH(CONCATENATE("B-",$B$7,"REP"),Venta!FcClave,0),FcInicioVtaMes+11)/$M$22,"")</f>
        <v/>
      </c>
      <c r="N71" s="63" t="str">
        <f>IFERROR(INDEX(Venta!FcDetalle,MATCH(CONCATENATE("B-",$B$7,"REP"),Venta!FcClave,0),FcInicioVtaMes+12)/$N$22,"")</f>
        <v/>
      </c>
    </row>
    <row r="72" spans="1:22" s="1" customFormat="1" ht="14.25" x14ac:dyDescent="0.2">
      <c r="A72" s="110" t="str">
        <f>CONCATENATE("Promo ",$A$7)</f>
        <v xml:space="preserve">Promo </v>
      </c>
      <c r="B72" s="111" t="str">
        <f>IFERROR(INDEX(TipoProm!FcDetalle,MATCH($A$7,TipoProm!FcClave,0),3),"")</f>
        <v/>
      </c>
      <c r="C72" s="111" t="str">
        <f>IFERROR(INDEX(TipoProm!FcDetalle,MATCH($A$7,TipoProm!FcClave,0),4),"")</f>
        <v/>
      </c>
      <c r="D72" s="111" t="str">
        <f>IFERROR(INDEX(TipoProm!FcDetalle,MATCH($A$7,TipoProm!FcClave,0),5),"")</f>
        <v/>
      </c>
      <c r="E72" s="111" t="str">
        <f>IFERROR(INDEX(TipoProm!FcDetalle,MATCH($A$7,TipoProm!FcClave,0),6),"")</f>
        <v/>
      </c>
      <c r="F72" s="111" t="str">
        <f>IFERROR(INDEX(TipoProm!FcDetalle,MATCH($A$7,TipoProm!FcClave,0),7),"")</f>
        <v/>
      </c>
      <c r="G72" s="111" t="str">
        <f>IFERROR(INDEX(TipoProm!FcDetalle,MATCH($A$7,TipoProm!FcClave,0),8),"")</f>
        <v/>
      </c>
      <c r="H72" s="111" t="str">
        <f>IFERROR(INDEX(TipoProm!FcDetalle,MATCH($A$7,TipoProm!FcClave,0),9),"")</f>
        <v/>
      </c>
      <c r="I72" s="111" t="str">
        <f>IFERROR(INDEX(TipoProm!FcDetalle,MATCH($A$7,TipoProm!FcClave,0),10),"")</f>
        <v/>
      </c>
      <c r="J72" s="111" t="str">
        <f>IFERROR(INDEX(TipoProm!FcDetalle,MATCH($A$7,TipoProm!FcClave,0),11),"")</f>
        <v/>
      </c>
      <c r="K72" s="111" t="str">
        <f>IFERROR(INDEX(TipoProm!FcDetalle,MATCH($A$7,TipoProm!FcClave,0),12),"")</f>
        <v/>
      </c>
      <c r="L72" s="111" t="str">
        <f>IFERROR(INDEX(TipoProm!FcDetalle,MATCH($A$7,TipoProm!FcClave,0),13),"")</f>
        <v/>
      </c>
      <c r="M72" s="111" t="str">
        <f>IFERROR(INDEX(TipoProm!FcDetalle,MATCH($A$7,TipoProm!FcClave,0),14),"")</f>
        <v/>
      </c>
      <c r="N72" s="112" t="str">
        <f>IFERROR(INDEX(TipoProm!FcDetalle,MATCH($A$7,TipoProm!FcClave,0),15),"")</f>
        <v/>
      </c>
    </row>
    <row r="73" spans="1:22" s="1" customFormat="1" ht="14.25" x14ac:dyDescent="0.2">
      <c r="A73" s="128" t="str">
        <f>CONCATENATE("Promo ",$B$7)</f>
        <v xml:space="preserve">Promo </v>
      </c>
      <c r="B73" s="127" t="str">
        <f>IFERROR(INDEX(TipoProm!FcDetalle,MATCH($B$7,TipoProm!FcClave,0),3),"")</f>
        <v/>
      </c>
      <c r="C73" s="127" t="str">
        <f>IFERROR(INDEX(TipoProm!FcDetalle,MATCH($B$7,TipoProm!FcClave,0),4),"")</f>
        <v/>
      </c>
      <c r="D73" s="127" t="str">
        <f>IFERROR(INDEX(TipoProm!FcDetalle,MATCH($B$7,TipoProm!FcClave,0),5),"")</f>
        <v/>
      </c>
      <c r="E73" s="127" t="str">
        <f>IFERROR(INDEX(TipoProm!FcDetalle,MATCH($B$7,TipoProm!FcClave,0),6),"")</f>
        <v/>
      </c>
      <c r="F73" s="127" t="str">
        <f>IFERROR(INDEX(TipoProm!FcDetalle,MATCH($B$7,TipoProm!FcClave,0),7),"")</f>
        <v/>
      </c>
      <c r="G73" s="127" t="str">
        <f>IFERROR(INDEX(TipoProm!FcDetalle,MATCH($B$7,TipoProm!FcClave,0),8),"")</f>
        <v/>
      </c>
      <c r="H73" s="127" t="str">
        <f>IFERROR(INDEX(TipoProm!FcDetalle,MATCH($B$7,TipoProm!FcClave,0),9),"")</f>
        <v/>
      </c>
      <c r="I73" s="127" t="str">
        <f>IFERROR(INDEX(TipoProm!FcDetalle,MATCH($B$7,TipoProm!FcClave,0),10),"")</f>
        <v/>
      </c>
      <c r="J73" s="127" t="str">
        <f>IFERROR(INDEX(TipoProm!FcDetalle,MATCH($B$7,TipoProm!FcClave,0),11),"")</f>
        <v/>
      </c>
      <c r="K73" s="127" t="str">
        <f>IFERROR(INDEX(TipoProm!FcDetalle,MATCH($B$7,TipoProm!FcClave,0),12),"")</f>
        <v/>
      </c>
      <c r="L73" s="127" t="str">
        <f>IFERROR(INDEX(TipoProm!FcDetalle,MATCH($B$7,TipoProm!FcClave,0),13),"")</f>
        <v/>
      </c>
      <c r="M73" s="127" t="str">
        <f>IFERROR(INDEX(TipoProm!FcDetalle,MATCH($B$7,TipoProm!FcClave,0),14),"")</f>
        <v/>
      </c>
      <c r="N73" s="129" t="str">
        <f>IFERROR(INDEX(TipoProm!FcDetalle,MATCH($B$7,TipoProm!FcClave,0),15),"")</f>
        <v/>
      </c>
    </row>
    <row r="74" spans="1:22" s="1" customFormat="1" ht="15" hidden="1" customHeight="1" x14ac:dyDescent="0.2">
      <c r="A74" s="130"/>
      <c r="B74" s="120"/>
      <c r="C74" s="120" t="e">
        <f t="shared" ref="C74:N74" si="14">(ABS(C10-B10)/(B10+C10))/(ABS(C41-B41)/(B41+C41))</f>
        <v>#VALUE!</v>
      </c>
      <c r="D74" s="120" t="e">
        <f t="shared" si="14"/>
        <v>#VALUE!</v>
      </c>
      <c r="E74" s="120" t="e">
        <f t="shared" si="14"/>
        <v>#VALUE!</v>
      </c>
      <c r="F74" s="120" t="e">
        <f t="shared" si="14"/>
        <v>#VALUE!</v>
      </c>
      <c r="G74" s="120" t="e">
        <f t="shared" si="14"/>
        <v>#VALUE!</v>
      </c>
      <c r="H74" s="120" t="e">
        <f t="shared" si="14"/>
        <v>#VALUE!</v>
      </c>
      <c r="I74" s="120" t="e">
        <f t="shared" si="14"/>
        <v>#VALUE!</v>
      </c>
      <c r="J74" s="120" t="e">
        <f t="shared" si="14"/>
        <v>#VALUE!</v>
      </c>
      <c r="K74" s="120" t="e">
        <f t="shared" si="14"/>
        <v>#VALUE!</v>
      </c>
      <c r="L74" s="120" t="e">
        <f t="shared" si="14"/>
        <v>#VALUE!</v>
      </c>
      <c r="M74" s="120" t="e">
        <f t="shared" si="14"/>
        <v>#VALUE!</v>
      </c>
      <c r="N74" s="131" t="e">
        <f t="shared" si="14"/>
        <v>#VALUE!</v>
      </c>
    </row>
    <row r="75" spans="1:22" s="1" customFormat="1" ht="15" customHeight="1" thickBot="1" x14ac:dyDescent="0.25">
      <c r="A75" s="113" t="s">
        <v>13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5"/>
    </row>
    <row r="76" spans="1:22" s="1" customFormat="1" ht="15" customHeight="1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</row>
    <row r="77" spans="1:22" s="1" customFormat="1" ht="15.75" customHeight="1" x14ac:dyDescent="0.2">
      <c r="A77" s="256" t="s">
        <v>24</v>
      </c>
      <c r="B77" s="256"/>
      <c r="C77" s="256"/>
      <c r="D77" s="256"/>
      <c r="E77" s="256"/>
      <c r="F77" s="256"/>
      <c r="G77" s="256"/>
      <c r="H77" s="256"/>
      <c r="I77" s="256"/>
      <c r="J77" s="256"/>
      <c r="K77" s="256"/>
      <c r="L77" s="256"/>
      <c r="M77" s="256"/>
      <c r="N77" s="256"/>
      <c r="O77" s="256"/>
      <c r="P77" s="256"/>
      <c r="Q77" s="256"/>
      <c r="R77" s="256"/>
      <c r="S77" s="256"/>
      <c r="T77" s="256"/>
      <c r="U77" s="256"/>
      <c r="V77" s="256"/>
    </row>
    <row r="78" spans="1:22" s="1" customFormat="1" ht="27" customHeight="1" x14ac:dyDescent="0.2">
      <c r="A78" s="22"/>
      <c r="B78" s="22"/>
      <c r="C78" s="22"/>
      <c r="D78" s="22"/>
      <c r="E78" s="257" t="s">
        <v>80</v>
      </c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9"/>
    </row>
    <row r="79" spans="1:22" s="1" customFormat="1" ht="15" customHeight="1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</row>
    <row r="80" spans="1:22" s="1" customFormat="1" ht="15" customHeight="1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</row>
    <row r="81" spans="1:14" s="1" customFormat="1" ht="15" customHeight="1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</row>
    <row r="82" spans="1:14" s="1" customFormat="1" ht="15" customHeight="1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</row>
    <row r="83" spans="1:14" s="1" customFormat="1" ht="15" customHeight="1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</row>
    <row r="84" spans="1:14" s="1" customFormat="1" ht="15" customHeight="1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</row>
    <row r="85" spans="1:14" s="1" customFormat="1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</row>
    <row r="86" spans="1:14" s="1" customFormat="1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</row>
    <row r="87" spans="1:14" s="1" customFormat="1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</row>
    <row r="88" spans="1:14" s="1" customFormat="1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</row>
    <row r="89" spans="1:14" s="1" customFormat="1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</row>
    <row r="90" spans="1:14" s="1" customFormat="1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</row>
    <row r="91" spans="1:14" s="1" customFormat="1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</row>
    <row r="92" spans="1:14" s="1" customFormat="1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</row>
    <row r="93" spans="1:14" s="1" customFormat="1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</row>
    <row r="94" spans="1:14" s="1" customFormat="1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</row>
    <row r="95" spans="1:14" s="1" customFormat="1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</row>
    <row r="96" spans="1:14" s="1" customFormat="1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</row>
    <row r="97" spans="1:22" s="1" customFormat="1" ht="15.75" customHeight="1" x14ac:dyDescent="0.2">
      <c r="A97" s="256"/>
      <c r="B97" s="256"/>
      <c r="C97" s="256"/>
      <c r="D97" s="256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</row>
    <row r="98" spans="1:22" s="1" customFormat="1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</row>
  </sheetData>
  <dataConsolidate/>
  <mergeCells count="17">
    <mergeCell ref="L6:N6"/>
    <mergeCell ref="L7:N7"/>
    <mergeCell ref="I7:K7"/>
    <mergeCell ref="D6:H6"/>
    <mergeCell ref="Q23:V23"/>
    <mergeCell ref="A77:V77"/>
    <mergeCell ref="E78:Q78"/>
    <mergeCell ref="A97:V97"/>
    <mergeCell ref="A27:F27"/>
    <mergeCell ref="A28:F38"/>
    <mergeCell ref="G1:K1"/>
    <mergeCell ref="I6:K6"/>
    <mergeCell ref="B7:C7"/>
    <mergeCell ref="D7:H7"/>
    <mergeCell ref="B3:C3"/>
    <mergeCell ref="B4:C4"/>
    <mergeCell ref="B6:C6"/>
  </mergeCells>
  <conditionalFormatting sqref="B20:N20">
    <cfRule type="cellIs" dxfId="26" priority="33" stopIfTrue="1" operator="greaterThanOrEqual">
      <formula>0</formula>
    </cfRule>
    <cfRule type="cellIs" dxfId="25" priority="34" stopIfTrue="1" operator="lessThan">
      <formula>0</formula>
    </cfRule>
  </conditionalFormatting>
  <conditionalFormatting sqref="B23:N23">
    <cfRule type="cellIs" dxfId="24" priority="36" stopIfTrue="1" operator="equal">
      <formula>"Alerta"</formula>
    </cfRule>
  </conditionalFormatting>
  <conditionalFormatting sqref="J3">
    <cfRule type="expression" dxfId="23" priority="29" stopIfTrue="1">
      <formula>AND($J$4&lt;&gt;0,$J$4&lt;&gt;"")</formula>
    </cfRule>
  </conditionalFormatting>
  <conditionalFormatting sqref="J4">
    <cfRule type="expression" dxfId="22" priority="26" stopIfTrue="1">
      <formula>AND($J$4&lt;&gt;0,$J$4&lt;&gt;"")</formula>
    </cfRule>
  </conditionalFormatting>
  <conditionalFormatting sqref="B24:N24">
    <cfRule type="cellIs" dxfId="21" priority="24" stopIfTrue="1" operator="equal">
      <formula>"Alerta"</formula>
    </cfRule>
  </conditionalFormatting>
  <conditionalFormatting sqref="B24:N24">
    <cfRule type="cellIs" dxfId="20" priority="20" stopIfTrue="1" operator="greaterThan">
      <formula>1</formula>
    </cfRule>
    <cfRule type="cellIs" dxfId="19" priority="21" stopIfTrue="1" operator="equal">
      <formula>1</formula>
    </cfRule>
    <cfRule type="cellIs" dxfId="18" priority="22" stopIfTrue="1" operator="equal">
      <formula>0</formula>
    </cfRule>
    <cfRule type="cellIs" dxfId="17" priority="23" stopIfTrue="1" operator="equal">
      <formula>"Alerta"</formula>
    </cfRule>
  </conditionalFormatting>
  <conditionalFormatting sqref="B21">
    <cfRule type="expression" dxfId="16" priority="19" stopIfTrue="1">
      <formula>B72&lt;&gt;""</formula>
    </cfRule>
  </conditionalFormatting>
  <conditionalFormatting sqref="C21:N21">
    <cfRule type="expression" dxfId="15" priority="18" stopIfTrue="1">
      <formula>C72&lt;&gt;""</formula>
    </cfRule>
  </conditionalFormatting>
  <conditionalFormatting sqref="B22">
    <cfRule type="expression" dxfId="14" priority="17" stopIfTrue="1">
      <formula>B73&lt;&gt;""</formula>
    </cfRule>
  </conditionalFormatting>
  <conditionalFormatting sqref="C22:N22">
    <cfRule type="expression" dxfId="13" priority="16" stopIfTrue="1">
      <formula>C73&lt;&gt;""</formula>
    </cfRule>
  </conditionalFormatting>
  <conditionalFormatting sqref="B25">
    <cfRule type="expression" dxfId="12" priority="15" stopIfTrue="1">
      <formula>B25&lt;0</formula>
    </cfRule>
  </conditionalFormatting>
  <conditionalFormatting sqref="B26">
    <cfRule type="expression" dxfId="11" priority="12" stopIfTrue="1">
      <formula>B26&gt;0</formula>
    </cfRule>
  </conditionalFormatting>
  <conditionalFormatting sqref="F26">
    <cfRule type="expression" dxfId="10" priority="11" stopIfTrue="1">
      <formula>F26&gt;0</formula>
    </cfRule>
  </conditionalFormatting>
  <conditionalFormatting sqref="C26:E26">
    <cfRule type="expression" dxfId="9" priority="10" stopIfTrue="1">
      <formula>C26&gt;0</formula>
    </cfRule>
  </conditionalFormatting>
  <conditionalFormatting sqref="G26:N26">
    <cfRule type="expression" dxfId="8" priority="9" stopIfTrue="1">
      <formula>G26&gt;0</formula>
    </cfRule>
  </conditionalFormatting>
  <conditionalFormatting sqref="C25:N25">
    <cfRule type="expression" dxfId="7" priority="8" stopIfTrue="1">
      <formula>C25&lt;0</formula>
    </cfRule>
  </conditionalFormatting>
  <conditionalFormatting sqref="S10">
    <cfRule type="expression" dxfId="6" priority="48" stopIfTrue="1">
      <formula>$S$10="-"</formula>
    </cfRule>
  </conditionalFormatting>
  <dataValidations xWindow="45" yWindow="136" count="1">
    <dataValidation operator="lessThan" showInputMessage="1" showErrorMessage="1" errorTitle="Error" error="Debe ingresar como máximo una fecha menor o igual a la actual." sqref="A4"/>
  </dataValidations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54" orientation="landscape" blackAndWhite="1" r:id="rId1"/>
  <headerFooter alignWithMargins="0"/>
  <ignoredErrors>
    <ignoredError sqref="C2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215" r:id="rId4" name="Spinner 31">
              <controlPr defaultSize="0" autoPict="0">
                <anchor moveWithCells="1" sizeWithCells="1">
                  <from>
                    <xdr:col>3</xdr:col>
                    <xdr:colOff>333375</xdr:colOff>
                    <xdr:row>2</xdr:row>
                    <xdr:rowOff>0</xdr:rowOff>
                  </from>
                  <to>
                    <xdr:col>3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5" r:id="rId5" name="Group Box 511">
              <controlPr defaultSize="0" autoFill="0" autoPict="0">
                <anchor moveWithCells="1">
                  <from>
                    <xdr:col>20</xdr:col>
                    <xdr:colOff>38100</xdr:colOff>
                    <xdr:row>0</xdr:row>
                    <xdr:rowOff>133350</xdr:rowOff>
                  </from>
                  <to>
                    <xdr:col>22</xdr:col>
                    <xdr:colOff>219075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6" r:id="rId6" name="Option Button 512">
              <controlPr defaultSize="0" autoFill="0" autoLine="0" autoPict="0">
                <anchor moveWithCells="1">
                  <from>
                    <xdr:col>20</xdr:col>
                    <xdr:colOff>190500</xdr:colOff>
                    <xdr:row>1</xdr:row>
                    <xdr:rowOff>38100</xdr:rowOff>
                  </from>
                  <to>
                    <xdr:col>21</xdr:col>
                    <xdr:colOff>838200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7" r:id="rId7" name="Option Button 513">
              <controlPr defaultSize="0" autoFill="0" autoLine="0" autoPict="0">
                <anchor moveWithCells="1">
                  <from>
                    <xdr:col>20</xdr:col>
                    <xdr:colOff>190500</xdr:colOff>
                    <xdr:row>2</xdr:row>
                    <xdr:rowOff>142875</xdr:rowOff>
                  </from>
                  <to>
                    <xdr:col>22</xdr:col>
                    <xdr:colOff>161925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8" r:id="rId8" name="Check Box 514">
              <controlPr defaultSize="0" autoFill="0" autoLine="0" autoPict="0">
                <anchor moveWithCells="1">
                  <from>
                    <xdr:col>20</xdr:col>
                    <xdr:colOff>85725</xdr:colOff>
                    <xdr:row>8</xdr:row>
                    <xdr:rowOff>38100</xdr:rowOff>
                  </from>
                  <to>
                    <xdr:col>21</xdr:col>
                    <xdr:colOff>838200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943" r:id="rId9" name="Check Box 1159">
              <controlPr defaultSize="0" autoFill="0" autoLine="0" autoPict="0">
                <anchor moveWithCells="1">
                  <from>
                    <xdr:col>19</xdr:col>
                    <xdr:colOff>9525</xdr:colOff>
                    <xdr:row>77</xdr:row>
                    <xdr:rowOff>66675</xdr:rowOff>
                  </from>
                  <to>
                    <xdr:col>21</xdr:col>
                    <xdr:colOff>704850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673" r:id="rId10" name="Group Box 16465">
              <controlPr defaultSize="0" autoFill="0" autoPict="0">
                <anchor moveWithCells="1">
                  <from>
                    <xdr:col>13</xdr:col>
                    <xdr:colOff>38100</xdr:colOff>
                    <xdr:row>28</xdr:row>
                    <xdr:rowOff>0</xdr:rowOff>
                  </from>
                  <to>
                    <xdr:col>14</xdr:col>
                    <xdr:colOff>19050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675" r:id="rId11" name="Option Button 16467">
              <controlPr defaultSize="0" autoFill="0" autoLine="0" autoPict="0">
                <anchor moveWithCells="1">
                  <from>
                    <xdr:col>13</xdr:col>
                    <xdr:colOff>104775</xdr:colOff>
                    <xdr:row>29</xdr:row>
                    <xdr:rowOff>47625</xdr:rowOff>
                  </from>
                  <to>
                    <xdr:col>13</xdr:col>
                    <xdr:colOff>590550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676" r:id="rId12" name="Option Button 16468">
              <controlPr defaultSize="0" autoFill="0" autoLine="0" autoPict="0">
                <anchor moveWithCells="1">
                  <from>
                    <xdr:col>13</xdr:col>
                    <xdr:colOff>114300</xdr:colOff>
                    <xdr:row>30</xdr:row>
                    <xdr:rowOff>171450</xdr:rowOff>
                  </from>
                  <to>
                    <xdr:col>13</xdr:col>
                    <xdr:colOff>590550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678" r:id="rId13" name="Option Button 16470">
              <controlPr defaultSize="0" autoFill="0" autoLine="0" autoPict="0">
                <anchor moveWithCells="1">
                  <from>
                    <xdr:col>13</xdr:col>
                    <xdr:colOff>114300</xdr:colOff>
                    <xdr:row>32</xdr:row>
                    <xdr:rowOff>133350</xdr:rowOff>
                  </from>
                  <to>
                    <xdr:col>13</xdr:col>
                    <xdr:colOff>581025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" stopIfTrue="1" id="{ABB9EE13-D5C1-4409-83AE-2750601EF3C7}">
            <xm:f>GraficoPart!$K$3&lt;0.15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6" stopIfTrue="1" id="{E059DD9E-C1B8-41F9-8D81-4C370D0DBB84}">
            <xm:f>GraficoPart!$K$3&lt;0.3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14:cfRule type="expression" priority="47" stopIfTrue="1" id="{35A8681E-DCDF-4DAC-A3E0-54EB55D4901D}">
            <xm:f>GraficoPart!$K$3&gt;=0.3</xm:f>
            <x14:dxf>
              <font>
                <b/>
                <i val="0"/>
              </font>
              <fill>
                <patternFill>
                  <fgColor rgb="FF00FF00"/>
                  <bgColor rgb="FF00FF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49" stopIfTrue="1" id="{4E042BF5-7698-4D60-8C6E-B5D19711E766}">
            <xm:f>GraficoPart!$K$4&lt;0.05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50" stopIfTrue="1" id="{4A35881A-11DB-4A08-A0BB-2BF4C6575B5C}">
            <xm:f>GraficoPart!$K$4&lt;0.1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14:cfRule type="expression" priority="51" stopIfTrue="1" id="{A9118D0E-6835-4D3A-A6A6-7B235A2D49AF}">
            <xm:f>GraficoPart!$K$4&gt;=0.1</xm:f>
            <x14:dxf>
              <font>
                <b/>
                <i val="0"/>
              </font>
              <fill>
                <patternFill>
                  <fgColor rgb="FF00FF00"/>
                  <bgColor rgb="FF00FF00"/>
                </patternFill>
              </fill>
            </x14:dxf>
          </x14:cfRule>
          <xm:sqref>S10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kpersonalizado"/>
  <dimension ref="A1:B101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10.28515625" customWidth="1"/>
    <col min="2" max="2" width="34" customWidth="1"/>
  </cols>
  <sheetData>
    <row r="1" spans="1:2" x14ac:dyDescent="0.2">
      <c r="A1" s="247" t="s">
        <v>361</v>
      </c>
      <c r="B1" s="248" t="s">
        <v>362</v>
      </c>
    </row>
    <row r="2" spans="1:2" x14ac:dyDescent="0.2">
      <c r="A2" s="249">
        <v>1</v>
      </c>
      <c r="B2" s="250"/>
    </row>
    <row r="3" spans="1:2" x14ac:dyDescent="0.2">
      <c r="A3" s="251">
        <v>2</v>
      </c>
      <c r="B3" s="252"/>
    </row>
    <row r="4" spans="1:2" x14ac:dyDescent="0.2">
      <c r="A4" s="249">
        <v>3</v>
      </c>
      <c r="B4" s="252"/>
    </row>
    <row r="5" spans="1:2" x14ac:dyDescent="0.2">
      <c r="A5" s="249">
        <v>4</v>
      </c>
      <c r="B5" s="252"/>
    </row>
    <row r="6" spans="1:2" x14ac:dyDescent="0.2">
      <c r="A6" s="249">
        <v>5</v>
      </c>
      <c r="B6" s="252"/>
    </row>
    <row r="7" spans="1:2" x14ac:dyDescent="0.2">
      <c r="A7" s="249">
        <v>6</v>
      </c>
      <c r="B7" s="252"/>
    </row>
    <row r="8" spans="1:2" x14ac:dyDescent="0.2">
      <c r="A8" s="249">
        <v>7</v>
      </c>
      <c r="B8" s="252"/>
    </row>
    <row r="9" spans="1:2" x14ac:dyDescent="0.2">
      <c r="A9" s="249">
        <v>8</v>
      </c>
      <c r="B9" s="252"/>
    </row>
    <row r="10" spans="1:2" x14ac:dyDescent="0.2">
      <c r="A10" s="249">
        <v>9</v>
      </c>
      <c r="B10" s="252"/>
    </row>
    <row r="11" spans="1:2" x14ac:dyDescent="0.2">
      <c r="A11" s="249">
        <v>10</v>
      </c>
      <c r="B11" s="252"/>
    </row>
    <row r="12" spans="1:2" x14ac:dyDescent="0.2">
      <c r="A12" s="249">
        <v>11</v>
      </c>
      <c r="B12" s="252"/>
    </row>
    <row r="13" spans="1:2" x14ac:dyDescent="0.2">
      <c r="A13" s="249">
        <v>12</v>
      </c>
      <c r="B13" s="252"/>
    </row>
    <row r="14" spans="1:2" x14ac:dyDescent="0.2">
      <c r="A14" s="249">
        <v>13</v>
      </c>
      <c r="B14" s="252"/>
    </row>
    <row r="15" spans="1:2" x14ac:dyDescent="0.2">
      <c r="A15" s="249">
        <v>14</v>
      </c>
      <c r="B15" s="252"/>
    </row>
    <row r="16" spans="1:2" x14ac:dyDescent="0.2">
      <c r="A16" s="249">
        <v>15</v>
      </c>
      <c r="B16" s="252"/>
    </row>
    <row r="17" spans="1:2" x14ac:dyDescent="0.2">
      <c r="A17" s="249">
        <v>16</v>
      </c>
      <c r="B17" s="252"/>
    </row>
    <row r="18" spans="1:2" x14ac:dyDescent="0.2">
      <c r="A18" s="249">
        <v>17</v>
      </c>
      <c r="B18" s="252"/>
    </row>
    <row r="19" spans="1:2" x14ac:dyDescent="0.2">
      <c r="A19" s="249">
        <v>18</v>
      </c>
      <c r="B19" s="252"/>
    </row>
    <row r="20" spans="1:2" x14ac:dyDescent="0.2">
      <c r="A20" s="249">
        <v>19</v>
      </c>
      <c r="B20" s="252"/>
    </row>
    <row r="21" spans="1:2" x14ac:dyDescent="0.2">
      <c r="A21" s="249">
        <v>20</v>
      </c>
      <c r="B21" s="252"/>
    </row>
    <row r="22" spans="1:2" x14ac:dyDescent="0.2">
      <c r="A22" s="249">
        <v>21</v>
      </c>
      <c r="B22" s="252"/>
    </row>
    <row r="23" spans="1:2" x14ac:dyDescent="0.2">
      <c r="A23" s="249">
        <v>22</v>
      </c>
      <c r="B23" s="252"/>
    </row>
    <row r="24" spans="1:2" x14ac:dyDescent="0.2">
      <c r="A24" s="249">
        <v>23</v>
      </c>
      <c r="B24" s="252"/>
    </row>
    <row r="25" spans="1:2" x14ac:dyDescent="0.2">
      <c r="A25" s="249">
        <v>24</v>
      </c>
      <c r="B25" s="252"/>
    </row>
    <row r="26" spans="1:2" x14ac:dyDescent="0.2">
      <c r="A26" s="249">
        <v>25</v>
      </c>
      <c r="B26" s="252"/>
    </row>
    <row r="27" spans="1:2" x14ac:dyDescent="0.2">
      <c r="A27" s="249">
        <v>26</v>
      </c>
      <c r="B27" s="252"/>
    </row>
    <row r="28" spans="1:2" x14ac:dyDescent="0.2">
      <c r="A28" s="249">
        <v>27</v>
      </c>
      <c r="B28" s="252"/>
    </row>
    <row r="29" spans="1:2" x14ac:dyDescent="0.2">
      <c r="A29" s="249">
        <v>28</v>
      </c>
      <c r="B29" s="252"/>
    </row>
    <row r="30" spans="1:2" x14ac:dyDescent="0.2">
      <c r="A30" s="249">
        <v>29</v>
      </c>
      <c r="B30" s="252"/>
    </row>
    <row r="31" spans="1:2" x14ac:dyDescent="0.2">
      <c r="A31" s="249">
        <v>30</v>
      </c>
      <c r="B31" s="252"/>
    </row>
    <row r="32" spans="1:2" x14ac:dyDescent="0.2">
      <c r="A32" s="249">
        <v>31</v>
      </c>
      <c r="B32" s="252"/>
    </row>
    <row r="33" spans="1:2" x14ac:dyDescent="0.2">
      <c r="A33" s="249">
        <v>32</v>
      </c>
      <c r="B33" s="252"/>
    </row>
    <row r="34" spans="1:2" x14ac:dyDescent="0.2">
      <c r="A34" s="249">
        <v>33</v>
      </c>
      <c r="B34" s="252"/>
    </row>
    <row r="35" spans="1:2" x14ac:dyDescent="0.2">
      <c r="A35" s="249">
        <v>34</v>
      </c>
      <c r="B35" s="252"/>
    </row>
    <row r="36" spans="1:2" x14ac:dyDescent="0.2">
      <c r="A36" s="249">
        <v>35</v>
      </c>
      <c r="B36" s="252"/>
    </row>
    <row r="37" spans="1:2" x14ac:dyDescent="0.2">
      <c r="A37" s="249">
        <v>36</v>
      </c>
      <c r="B37" s="252"/>
    </row>
    <row r="38" spans="1:2" x14ac:dyDescent="0.2">
      <c r="A38" s="249">
        <v>37</v>
      </c>
      <c r="B38" s="252"/>
    </row>
    <row r="39" spans="1:2" x14ac:dyDescent="0.2">
      <c r="A39" s="249">
        <v>38</v>
      </c>
      <c r="B39" s="252"/>
    </row>
    <row r="40" spans="1:2" x14ac:dyDescent="0.2">
      <c r="A40" s="249">
        <v>39</v>
      </c>
      <c r="B40" s="252"/>
    </row>
    <row r="41" spans="1:2" x14ac:dyDescent="0.2">
      <c r="A41" s="249">
        <v>40</v>
      </c>
      <c r="B41" s="252"/>
    </row>
    <row r="42" spans="1:2" x14ac:dyDescent="0.2">
      <c r="A42" s="249">
        <v>41</v>
      </c>
      <c r="B42" s="252"/>
    </row>
    <row r="43" spans="1:2" x14ac:dyDescent="0.2">
      <c r="A43" s="249">
        <v>42</v>
      </c>
      <c r="B43" s="252"/>
    </row>
    <row r="44" spans="1:2" x14ac:dyDescent="0.2">
      <c r="A44" s="249">
        <v>43</v>
      </c>
      <c r="B44" s="252"/>
    </row>
    <row r="45" spans="1:2" x14ac:dyDescent="0.2">
      <c r="A45" s="249">
        <v>44</v>
      </c>
      <c r="B45" s="252"/>
    </row>
    <row r="46" spans="1:2" x14ac:dyDescent="0.2">
      <c r="A46" s="249">
        <v>45</v>
      </c>
      <c r="B46" s="252"/>
    </row>
    <row r="47" spans="1:2" x14ac:dyDescent="0.2">
      <c r="A47" s="249">
        <v>46</v>
      </c>
      <c r="B47" s="252"/>
    </row>
    <row r="48" spans="1:2" x14ac:dyDescent="0.2">
      <c r="A48" s="249">
        <v>47</v>
      </c>
      <c r="B48" s="252"/>
    </row>
    <row r="49" spans="1:2" x14ac:dyDescent="0.2">
      <c r="A49" s="249">
        <v>48</v>
      </c>
      <c r="B49" s="252"/>
    </row>
    <row r="50" spans="1:2" x14ac:dyDescent="0.2">
      <c r="A50" s="249">
        <v>49</v>
      </c>
      <c r="B50" s="252"/>
    </row>
    <row r="51" spans="1:2" x14ac:dyDescent="0.2">
      <c r="A51" s="249">
        <v>50</v>
      </c>
      <c r="B51" s="252"/>
    </row>
    <row r="52" spans="1:2" x14ac:dyDescent="0.2">
      <c r="A52" s="249">
        <v>51</v>
      </c>
      <c r="B52" s="252"/>
    </row>
    <row r="53" spans="1:2" x14ac:dyDescent="0.2">
      <c r="A53" s="249">
        <v>52</v>
      </c>
      <c r="B53" s="252"/>
    </row>
    <row r="54" spans="1:2" x14ac:dyDescent="0.2">
      <c r="A54" s="249">
        <v>53</v>
      </c>
      <c r="B54" s="252"/>
    </row>
    <row r="55" spans="1:2" x14ac:dyDescent="0.2">
      <c r="A55" s="249">
        <v>54</v>
      </c>
      <c r="B55" s="252"/>
    </row>
    <row r="56" spans="1:2" x14ac:dyDescent="0.2">
      <c r="A56" s="249">
        <v>55</v>
      </c>
      <c r="B56" s="252"/>
    </row>
    <row r="57" spans="1:2" x14ac:dyDescent="0.2">
      <c r="A57" s="249">
        <v>56</v>
      </c>
      <c r="B57" s="252"/>
    </row>
    <row r="58" spans="1:2" x14ac:dyDescent="0.2">
      <c r="A58" s="249">
        <v>57</v>
      </c>
      <c r="B58" s="252"/>
    </row>
    <row r="59" spans="1:2" x14ac:dyDescent="0.2">
      <c r="A59" s="249">
        <v>58</v>
      </c>
      <c r="B59" s="252"/>
    </row>
    <row r="60" spans="1:2" x14ac:dyDescent="0.2">
      <c r="A60" s="249">
        <v>59</v>
      </c>
      <c r="B60" s="252"/>
    </row>
    <row r="61" spans="1:2" x14ac:dyDescent="0.2">
      <c r="A61" s="249">
        <v>60</v>
      </c>
      <c r="B61" s="252"/>
    </row>
    <row r="62" spans="1:2" x14ac:dyDescent="0.2">
      <c r="A62" s="249">
        <v>61</v>
      </c>
      <c r="B62" s="252"/>
    </row>
    <row r="63" spans="1:2" x14ac:dyDescent="0.2">
      <c r="A63" s="249">
        <v>62</v>
      </c>
      <c r="B63" s="252"/>
    </row>
    <row r="64" spans="1:2" x14ac:dyDescent="0.2">
      <c r="A64" s="249">
        <v>63</v>
      </c>
      <c r="B64" s="252"/>
    </row>
    <row r="65" spans="1:2" x14ac:dyDescent="0.2">
      <c r="A65" s="249">
        <v>64</v>
      </c>
      <c r="B65" s="252"/>
    </row>
    <row r="66" spans="1:2" x14ac:dyDescent="0.2">
      <c r="A66" s="249">
        <v>65</v>
      </c>
      <c r="B66" s="252"/>
    </row>
    <row r="67" spans="1:2" x14ac:dyDescent="0.2">
      <c r="A67" s="249">
        <v>66</v>
      </c>
      <c r="B67" s="252"/>
    </row>
    <row r="68" spans="1:2" x14ac:dyDescent="0.2">
      <c r="A68" s="249">
        <v>67</v>
      </c>
      <c r="B68" s="252"/>
    </row>
    <row r="69" spans="1:2" x14ac:dyDescent="0.2">
      <c r="A69" s="249">
        <v>68</v>
      </c>
      <c r="B69" s="252"/>
    </row>
    <row r="70" spans="1:2" x14ac:dyDescent="0.2">
      <c r="A70" s="249">
        <v>69</v>
      </c>
      <c r="B70" s="252"/>
    </row>
    <row r="71" spans="1:2" x14ac:dyDescent="0.2">
      <c r="A71" s="249">
        <v>70</v>
      </c>
      <c r="B71" s="252"/>
    </row>
    <row r="72" spans="1:2" x14ac:dyDescent="0.2">
      <c r="A72" s="249">
        <v>71</v>
      </c>
      <c r="B72" s="252"/>
    </row>
    <row r="73" spans="1:2" x14ac:dyDescent="0.2">
      <c r="A73" s="249">
        <v>72</v>
      </c>
      <c r="B73" s="252"/>
    </row>
    <row r="74" spans="1:2" x14ac:dyDescent="0.2">
      <c r="A74" s="249">
        <v>73</v>
      </c>
      <c r="B74" s="252"/>
    </row>
    <row r="75" spans="1:2" x14ac:dyDescent="0.2">
      <c r="A75" s="249">
        <v>74</v>
      </c>
      <c r="B75" s="252"/>
    </row>
    <row r="76" spans="1:2" x14ac:dyDescent="0.2">
      <c r="A76" s="249">
        <v>75</v>
      </c>
      <c r="B76" s="252"/>
    </row>
    <row r="77" spans="1:2" x14ac:dyDescent="0.2">
      <c r="A77" s="249">
        <v>76</v>
      </c>
      <c r="B77" s="252"/>
    </row>
    <row r="78" spans="1:2" x14ac:dyDescent="0.2">
      <c r="A78" s="249">
        <v>77</v>
      </c>
      <c r="B78" s="252"/>
    </row>
    <row r="79" spans="1:2" x14ac:dyDescent="0.2">
      <c r="A79" s="249">
        <v>78</v>
      </c>
      <c r="B79" s="252"/>
    </row>
    <row r="80" spans="1:2" x14ac:dyDescent="0.2">
      <c r="A80" s="249">
        <v>79</v>
      </c>
      <c r="B80" s="252"/>
    </row>
    <row r="81" spans="1:2" x14ac:dyDescent="0.2">
      <c r="A81" s="249">
        <v>80</v>
      </c>
      <c r="B81" s="252"/>
    </row>
    <row r="82" spans="1:2" x14ac:dyDescent="0.2">
      <c r="A82" s="249">
        <v>81</v>
      </c>
      <c r="B82" s="252"/>
    </row>
    <row r="83" spans="1:2" x14ac:dyDescent="0.2">
      <c r="A83" s="249">
        <v>82</v>
      </c>
      <c r="B83" s="252"/>
    </row>
    <row r="84" spans="1:2" x14ac:dyDescent="0.2">
      <c r="A84" s="249">
        <v>83</v>
      </c>
      <c r="B84" s="252"/>
    </row>
    <row r="85" spans="1:2" x14ac:dyDescent="0.2">
      <c r="A85" s="249">
        <v>84</v>
      </c>
      <c r="B85" s="252"/>
    </row>
    <row r="86" spans="1:2" x14ac:dyDescent="0.2">
      <c r="A86" s="249">
        <v>85</v>
      </c>
      <c r="B86" s="252"/>
    </row>
    <row r="87" spans="1:2" x14ac:dyDescent="0.2">
      <c r="A87" s="249">
        <v>86</v>
      </c>
      <c r="B87" s="252"/>
    </row>
    <row r="88" spans="1:2" x14ac:dyDescent="0.2">
      <c r="A88" s="249">
        <v>87</v>
      </c>
      <c r="B88" s="252"/>
    </row>
    <row r="89" spans="1:2" x14ac:dyDescent="0.2">
      <c r="A89" s="249">
        <v>88</v>
      </c>
      <c r="B89" s="252"/>
    </row>
    <row r="90" spans="1:2" x14ac:dyDescent="0.2">
      <c r="A90" s="249">
        <v>89</v>
      </c>
      <c r="B90" s="252"/>
    </row>
    <row r="91" spans="1:2" x14ac:dyDescent="0.2">
      <c r="A91" s="249">
        <v>90</v>
      </c>
      <c r="B91" s="252"/>
    </row>
    <row r="92" spans="1:2" x14ac:dyDescent="0.2">
      <c r="A92" s="249">
        <v>91</v>
      </c>
      <c r="B92" s="252"/>
    </row>
    <row r="93" spans="1:2" x14ac:dyDescent="0.2">
      <c r="A93" s="249">
        <v>92</v>
      </c>
      <c r="B93" s="252"/>
    </row>
    <row r="94" spans="1:2" x14ac:dyDescent="0.2">
      <c r="A94" s="249">
        <v>93</v>
      </c>
      <c r="B94" s="252"/>
    </row>
    <row r="95" spans="1:2" x14ac:dyDescent="0.2">
      <c r="A95" s="249">
        <v>94</v>
      </c>
      <c r="B95" s="252"/>
    </row>
    <row r="96" spans="1:2" x14ac:dyDescent="0.2">
      <c r="A96" s="249">
        <v>95</v>
      </c>
      <c r="B96" s="252"/>
    </row>
    <row r="97" spans="1:2" x14ac:dyDescent="0.2">
      <c r="A97" s="249">
        <v>96</v>
      </c>
      <c r="B97" s="252"/>
    </row>
    <row r="98" spans="1:2" x14ac:dyDescent="0.2">
      <c r="A98" s="249">
        <v>97</v>
      </c>
      <c r="B98" s="252"/>
    </row>
    <row r="99" spans="1:2" x14ac:dyDescent="0.2">
      <c r="A99" s="249">
        <v>98</v>
      </c>
      <c r="B99" s="252"/>
    </row>
    <row r="100" spans="1:2" x14ac:dyDescent="0.2">
      <c r="A100" s="249">
        <v>99</v>
      </c>
      <c r="B100" s="252"/>
    </row>
    <row r="101" spans="1:2" ht="13.5" thickBot="1" x14ac:dyDescent="0.25">
      <c r="A101" s="253">
        <v>100</v>
      </c>
      <c r="B101" s="25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graficopart"/>
  <dimension ref="A1:AE26"/>
  <sheetViews>
    <sheetView zoomScale="85" zoomScaleNormal="85" workbookViewId="0">
      <selection activeCell="O17" sqref="O17"/>
    </sheetView>
  </sheetViews>
  <sheetFormatPr baseColWidth="10" defaultRowHeight="12.75" x14ac:dyDescent="0.2"/>
  <cols>
    <col min="1" max="1" width="20.140625" customWidth="1"/>
    <col min="2" max="2" width="8" customWidth="1"/>
    <col min="3" max="3" width="8.7109375" customWidth="1"/>
    <col min="4" max="5" width="8" customWidth="1"/>
    <col min="6" max="7" width="9.42578125" customWidth="1"/>
    <col min="8" max="8" width="3.5703125" customWidth="1"/>
    <col min="9" max="9" width="20.140625" customWidth="1"/>
    <col min="10" max="10" width="9.42578125" customWidth="1"/>
    <col min="11" max="11" width="9" customWidth="1"/>
    <col min="12" max="12" width="9.140625" customWidth="1"/>
    <col min="13" max="13" width="7.85546875" customWidth="1"/>
    <col min="14" max="15" width="8.5703125" customWidth="1"/>
    <col min="16" max="16" width="8.7109375" customWidth="1"/>
    <col min="17" max="17" width="14.42578125" customWidth="1"/>
    <col min="18" max="23" width="8.28515625" customWidth="1"/>
    <col min="25" max="25" width="14.28515625" customWidth="1"/>
    <col min="26" max="31" width="8.28515625" customWidth="1"/>
  </cols>
  <sheetData>
    <row r="1" spans="1:31" s="149" customFormat="1" ht="13.5" thickBot="1" x14ac:dyDescent="0.25">
      <c r="A1" s="149" t="s">
        <v>342</v>
      </c>
      <c r="I1" s="149" t="s">
        <v>343</v>
      </c>
      <c r="Q1" s="242">
        <v>20</v>
      </c>
      <c r="R1" s="243">
        <v>75</v>
      </c>
      <c r="S1" s="244">
        <v>70</v>
      </c>
      <c r="T1" s="245">
        <v>84</v>
      </c>
      <c r="U1" s="245">
        <v>85</v>
      </c>
      <c r="V1" s="246">
        <v>92</v>
      </c>
    </row>
    <row r="2" spans="1:31" ht="13.5" thickBot="1" x14ac:dyDescent="0.25">
      <c r="A2" s="150" t="s">
        <v>344</v>
      </c>
      <c r="B2" s="151" t="s">
        <v>17</v>
      </c>
      <c r="C2" s="152" t="s">
        <v>345</v>
      </c>
      <c r="D2" s="153" t="s">
        <v>71</v>
      </c>
      <c r="E2" s="154" t="s">
        <v>345</v>
      </c>
      <c r="I2" s="150" t="s">
        <v>344</v>
      </c>
      <c r="J2" s="151" t="s">
        <v>17</v>
      </c>
      <c r="K2" s="152" t="s">
        <v>345</v>
      </c>
      <c r="L2" s="153" t="s">
        <v>71</v>
      </c>
      <c r="M2" s="154" t="s">
        <v>345</v>
      </c>
      <c r="Q2" s="301" t="s">
        <v>359</v>
      </c>
      <c r="R2" s="302"/>
      <c r="S2" s="301" t="s">
        <v>360</v>
      </c>
      <c r="T2" s="303"/>
      <c r="U2" s="303"/>
      <c r="V2" s="302"/>
    </row>
    <row r="3" spans="1:31" x14ac:dyDescent="0.2">
      <c r="A3" s="155" t="s">
        <v>346</v>
      </c>
      <c r="B3" s="180">
        <f>IFERROR(INDEX(Venta!FcDetalle,MATCH(CONCATENATE("B-",'v-cod'!$A$7,"REP"),Venta!FcClave,0),FcInicioCant12Mes)/12,0)</f>
        <v>0</v>
      </c>
      <c r="C3" s="156">
        <f>IFERROR(B3/SUM(B$3:$B$7),0)</f>
        <v>0</v>
      </c>
      <c r="D3" s="182">
        <f>IFERROR(INDEX(Venta!FcDetalle,MATCH(CONCATENATE("B-",'v-cod'!$A$7,"ESP"),Venta!FcClave,0),FcInicioCant12Mes)/12,0)</f>
        <v>0</v>
      </c>
      <c r="E3" s="157">
        <f>IF(ISERROR(D3/SUM($D$3:$D$7)),0,D3/SUM($D$3:$D$7))</f>
        <v>0</v>
      </c>
      <c r="I3" s="155" t="s">
        <v>346</v>
      </c>
      <c r="J3" s="180">
        <f>IFERROR(INDEX(Venta!FcDetalle,MATCH(CONCATENATE("B-",'v-rk'!$A$7,"REP"),Venta!FcClave,0),FcInicioCant12Mes)/12,0)</f>
        <v>0</v>
      </c>
      <c r="K3" s="156">
        <f>IF(ISERROR(J3/SUM($J$3:$J$7)),0,J3/SUM($J$3:$J$7))</f>
        <v>0</v>
      </c>
      <c r="L3" s="182">
        <f>IFERROR(INDEX(Venta!FcDetalle,MATCH(CONCATENATE("B-",'v-rk'!$A$7,"ESP"),Venta!FcClave,0),FcInicioCant12Mes)/12,0)</f>
        <v>0</v>
      </c>
      <c r="M3" s="157">
        <f>IF(ISERROR(L3/SUM($L$3:$L$7)),0,L3/SUM($L$3:$L$7))</f>
        <v>0</v>
      </c>
    </row>
    <row r="4" spans="1:31" x14ac:dyDescent="0.2">
      <c r="A4" s="155" t="s">
        <v>45</v>
      </c>
      <c r="B4" s="180">
        <f>IFERROR(INDEX(Venta!FcDetalle,MATCH(CONCATENATE("B-",'v-cod'!$B$7,"REP"),Venta!FcClave,0),FcInicioCant12Mes)/12,0)</f>
        <v>0</v>
      </c>
      <c r="C4" s="156">
        <f>IFERROR(B4/SUM(B$3:$B$7),0)</f>
        <v>0</v>
      </c>
      <c r="D4" s="182">
        <f>IFERROR(INDEX(Venta!FcDetalle,MATCH(CONCATENATE("B-",'v-cod'!$B$7,"ESP"),Venta!FcClave,0),FcInicioCant12Mes)/12,0)</f>
        <v>0</v>
      </c>
      <c r="E4" s="157">
        <f>IF(ISERROR(D4/SUM($D$3:$D$7)),0,D4/SUM($D$3:$D$7))</f>
        <v>0</v>
      </c>
      <c r="I4" s="155" t="s">
        <v>45</v>
      </c>
      <c r="J4" s="180">
        <f>IFERROR(INDEX(Venta!FcDetalle,MATCH(CONCATENATE("B-",'v-rk'!$B$7,"REP"),Venta!FcClave,0),FcInicioCant12Mes)/12,0)</f>
        <v>0</v>
      </c>
      <c r="K4" s="156">
        <f>IF(ISERROR(J4/SUM($J$3:$J$7)),0,J4/SUM($J$3:$J$7))</f>
        <v>0</v>
      </c>
      <c r="L4" s="182">
        <f>IFERROR(INDEX(Venta!FcDetalle,MATCH(CONCATENATE("B-",'v-rk'!$B$7,"ESP"),Venta!FcClave,0),FcInicioCant12Mes)/12,0)</f>
        <v>0</v>
      </c>
      <c r="M4" s="157">
        <f>IF(ISERROR(L4/SUM($L$3:$L$7)),0,L4/SUM($L$3:$L$7))</f>
        <v>0</v>
      </c>
    </row>
    <row r="5" spans="1:31" x14ac:dyDescent="0.2">
      <c r="A5" s="155" t="s">
        <v>347</v>
      </c>
      <c r="B5" s="180">
        <f>IFERROR(INDEX(PrecioCompetencia!FcDetalle,MATCH(CONCATENATE('v-cod'!$A$7,"PUR"),PrecioCompetencia!FcClave,0),FcPartcantREPinicioMes)/12,0)</f>
        <v>0</v>
      </c>
      <c r="C5" s="156">
        <f>IFERROR(B5/SUM(B$3:$B$7),0)</f>
        <v>0</v>
      </c>
      <c r="D5" s="182">
        <f>IFERROR(INDEX(PrecioCompetencia!FcDetalle,MATCH(CONCATENATE('v-cod'!$A$7,"PUR"),PrecioCompetencia!FcClave,0),FcPartcantINDinicioMes)/12,0)</f>
        <v>0</v>
      </c>
      <c r="E5" s="157">
        <f>IF(ISERROR(D5/SUM($D$3:$D$7)),0,D5/SUM($D$3:$D$7))</f>
        <v>0</v>
      </c>
      <c r="I5" s="155" t="s">
        <v>347</v>
      </c>
      <c r="J5" s="180">
        <f>IFERROR(INDEX(PrecioCompetencia!FcDetalle,MATCH(CONCATENATE('v-rk'!$A$7,"PUR"),PrecioCompetencia!FcClave,0),FcPartcantREPinicioMes)/12,0)</f>
        <v>0</v>
      </c>
      <c r="K5" s="156">
        <f>IF(ISERROR(J5/SUM($J$3:$J$7)),0,J5/SUM($J$3:$J$7))</f>
        <v>0</v>
      </c>
      <c r="L5" s="182">
        <f>IFERROR(INDEX(PrecioCompetencia!FcDetalle,MATCH(CONCATENATE('v-rk'!$A$7,"PUR"),PrecioCompetencia!FcClave,0),FcPartcantINDinicioMes)/12,0)</f>
        <v>0</v>
      </c>
      <c r="M5" s="157">
        <f>IF(ISERROR(L5/SUM($L$3:$L$7)),0,L5/SUM($L$3:$L$7))</f>
        <v>0</v>
      </c>
    </row>
    <row r="6" spans="1:31" x14ac:dyDescent="0.2">
      <c r="A6" s="155" t="s">
        <v>46</v>
      </c>
      <c r="B6" s="180">
        <f>IFERROR(INDEX(PrecioCompetencia!FcDetalle,MATCH(CONCATENATE('v-cod'!$A$7,"WBUS"),PrecioCompetencia!FcClave,0),FcPartcantREPinicioMes)/12,0)</f>
        <v>0</v>
      </c>
      <c r="C6" s="156">
        <f>IFERROR(B6/SUM(B$3:$B$7),0)</f>
        <v>0</v>
      </c>
      <c r="D6" s="184">
        <f>IFERROR(INDEX(PrecioCompetencia!FcDetalle,MATCH(CONCATENATE('v-cod'!$A$7,"WBUS"),PrecioCompetencia!FcClave,0),FcPartcantINDinicioMes)/12,0)</f>
        <v>0</v>
      </c>
      <c r="E6" s="157">
        <f>IF(ISERROR(D6/SUM($D$3:$D$7)),0,D6/SUM($D$3:$D$7))</f>
        <v>0</v>
      </c>
      <c r="I6" s="155" t="s">
        <v>46</v>
      </c>
      <c r="J6" s="180">
        <f>IFERROR(INDEX(PrecioCompetencia!FcDetalle,MATCH(CONCATENATE('v-rk'!$A$7,"WBUS"),PrecioCompetencia!FcClave,0),FcPartcantREPinicioMes)/12,0)</f>
        <v>0</v>
      </c>
      <c r="K6" s="156">
        <f>IF(ISERROR(J6/SUM($J$3:$J$7)),0,J6/SUM($J$3:$J$7))</f>
        <v>0</v>
      </c>
      <c r="L6" s="182">
        <f>IFERROR(INDEX(PrecioCompetencia!FcDetalle,MATCH(CONCATENATE('v-rk'!$A$7,"WBUS"),PrecioCompetencia!FcClave,0),FcPartcantINDinicioMes)/12,0)</f>
        <v>0</v>
      </c>
      <c r="M6" s="157">
        <f>IF(ISERROR(L6/SUM($L$3:$L$7)),0,L6/SUM($L$3:$L$7))</f>
        <v>0</v>
      </c>
    </row>
    <row r="7" spans="1:31" ht="13.5" thickBot="1" x14ac:dyDescent="0.25">
      <c r="A7" s="158" t="s">
        <v>348</v>
      </c>
      <c r="B7" s="181">
        <f>IFERROR(INDEX(PrecioCompetencia!FcDetalle,MATCH(CONCATENATE('v-cod'!$A$7,"IMPX"),PrecioCompetencia!FcClave,0),FcPartcantREPinicioMes)/12,0)</f>
        <v>0</v>
      </c>
      <c r="C7" s="159">
        <f>IFERROR(B7/SUM(B$3:$B$7),0)</f>
        <v>0</v>
      </c>
      <c r="D7" s="183">
        <f>IFERROR(INDEX(PrecioCompetencia!FcDetalle,MATCH(CONCATENATE('v-cod'!$A$7,"IMPX"),PrecioCompetencia!FcClave,0),FcPartcantINDinicioMes)/12,0)</f>
        <v>0</v>
      </c>
      <c r="E7" s="160">
        <f>IF(ISERROR(D7/SUM($D$3:$D$7)),0,D7/SUM($D$3:$D$7))</f>
        <v>0</v>
      </c>
      <c r="I7" s="158" t="s">
        <v>348</v>
      </c>
      <c r="J7" s="181">
        <f>IFERROR(INDEX(PrecioCompetencia!FcDetalle,MATCH(CONCATENATE('v-rk'!$A$7,"IMPX"),PrecioCompetencia!FcClave,0),FcPartcantREPinicioMes)/12,0)</f>
        <v>0</v>
      </c>
      <c r="K7" s="159">
        <f>IF(ISERROR(J7/SUM($J$3:$J$7)),0,J7/SUM($J$3:$J$7))</f>
        <v>0</v>
      </c>
      <c r="L7" s="183">
        <f>IFERROR(INDEX(PrecioCompetencia!FcDetalle,MATCH(CONCATENATE('v-rk'!$A$7,"IMPX"),PrecioCompetencia!FcClave,0),FcPartcantINDinicioMes)/12,0)</f>
        <v>0</v>
      </c>
      <c r="M7" s="160">
        <f>IF(ISERROR(L7/SUM($L$3:$L$7)),0,L7/SUM($L$3:$L$7))</f>
        <v>0</v>
      </c>
    </row>
    <row r="8" spans="1:31" ht="13.5" thickBot="1" x14ac:dyDescent="0.25">
      <c r="A8" s="161"/>
      <c r="B8" s="162"/>
      <c r="C8" s="161"/>
      <c r="D8" s="161"/>
      <c r="E8" s="161"/>
      <c r="I8" s="161"/>
      <c r="J8" s="162"/>
      <c r="K8" s="161"/>
      <c r="L8" s="161"/>
      <c r="M8" s="161"/>
    </row>
    <row r="9" spans="1:31" ht="13.5" thickBot="1" x14ac:dyDescent="0.25">
      <c r="A9" s="163" t="s">
        <v>349</v>
      </c>
      <c r="B9" s="164">
        <f>SUM(B3:B7)</f>
        <v>0</v>
      </c>
      <c r="C9" s="165"/>
      <c r="D9" s="166">
        <f>SUM(D3:D7)</f>
        <v>0</v>
      </c>
      <c r="E9" s="167"/>
      <c r="I9" s="163" t="s">
        <v>349</v>
      </c>
      <c r="J9" s="164">
        <f>SUM(J3:J7)</f>
        <v>0</v>
      </c>
      <c r="K9" s="165"/>
      <c r="L9" s="166">
        <f>SUM(L3:L7)</f>
        <v>0</v>
      </c>
      <c r="M9" s="167"/>
    </row>
    <row r="11" spans="1:31" s="168" customFormat="1" ht="21" thickBot="1" x14ac:dyDescent="0.35">
      <c r="B11" s="168" t="s">
        <v>17</v>
      </c>
      <c r="I11" s="168" t="s">
        <v>17</v>
      </c>
    </row>
    <row r="12" spans="1:31" ht="13.5" thickBot="1" x14ac:dyDescent="0.25">
      <c r="A12" s="169"/>
      <c r="B12" s="173">
        <v>2009</v>
      </c>
      <c r="C12" s="174">
        <v>2010</v>
      </c>
      <c r="D12" s="174">
        <v>2011</v>
      </c>
      <c r="E12" s="174">
        <v>2012</v>
      </c>
      <c r="F12" s="174">
        <v>2013</v>
      </c>
      <c r="G12" s="175">
        <v>2014</v>
      </c>
      <c r="I12" s="169"/>
      <c r="J12" s="169">
        <v>2009</v>
      </c>
      <c r="K12" s="170">
        <v>2010</v>
      </c>
      <c r="L12" s="170">
        <v>2011</v>
      </c>
      <c r="M12" s="170">
        <v>2012</v>
      </c>
      <c r="N12" s="170">
        <v>2013</v>
      </c>
      <c r="O12" s="171">
        <v>2014</v>
      </c>
      <c r="Q12" s="169"/>
      <c r="R12" s="170">
        <v>2014</v>
      </c>
      <c r="S12" s="170">
        <v>2013</v>
      </c>
      <c r="T12" s="170">
        <v>2012</v>
      </c>
      <c r="U12" s="170">
        <v>2011</v>
      </c>
      <c r="V12" s="170">
        <v>2010</v>
      </c>
      <c r="W12" s="171">
        <v>2009</v>
      </c>
      <c r="Y12" s="169"/>
      <c r="Z12" s="170">
        <v>2014</v>
      </c>
      <c r="AA12" s="170">
        <v>2013</v>
      </c>
      <c r="AB12" s="170">
        <v>2012</v>
      </c>
      <c r="AC12" s="170">
        <v>2011</v>
      </c>
      <c r="AD12" s="170">
        <v>2010</v>
      </c>
      <c r="AE12" s="171">
        <v>2009</v>
      </c>
    </row>
    <row r="13" spans="1:31" x14ac:dyDescent="0.2">
      <c r="A13" s="155" t="s">
        <v>346</v>
      </c>
      <c r="B13" s="185">
        <f>IFERROR(INDEX(Venta!FcDetalle,MATCH(CONCATENATE("B-",'v-cod'!$A$7,"REP"),Venta!FcClave,0),FcInicioCantAnual+0),0)</f>
        <v>0</v>
      </c>
      <c r="C13" s="186">
        <f>IFERROR(INDEX(Venta!FcDetalle,MATCH(CONCATENATE("B-",'v-cod'!$A$7,"REP"),Venta!FcClave,0),FcInicioCantAnual+1),0)</f>
        <v>0</v>
      </c>
      <c r="D13" s="186">
        <f>IFERROR(INDEX(Venta!FcDetalle,MATCH(CONCATENATE("B-",'v-cod'!$A$7,"REP"),Venta!FcClave,0),FcInicioCantAnual+2),0)</f>
        <v>0</v>
      </c>
      <c r="E13" s="186">
        <f>IFERROR(INDEX(Venta!FcDetalle,MATCH(CONCATENATE("B-",'v-cod'!$A$7,"REP"),Venta!FcClave,0),FcInicioCantAnual+3),0)</f>
        <v>0</v>
      </c>
      <c r="F13" s="186">
        <f>IFERROR(INDEX(Venta!FcDetalle,MATCH(CONCATENATE("B-",'v-cod'!$A$7,"REP"),Venta!FcClave,0),FcInicioCantAnual+4),0)</f>
        <v>0</v>
      </c>
      <c r="G13" s="187">
        <f>IFERROR(INDEX(Venta!FcDetalle,MATCH(CONCATENATE("B-",'v-cod'!$A$7,"REP"),Venta!FcClave,0),FcInicioCantAnual+5+IF('v-cod'!FcProyeccion=TRUE,1,0)),0)</f>
        <v>0</v>
      </c>
      <c r="I13" s="155" t="s">
        <v>346</v>
      </c>
      <c r="J13" s="188">
        <f>IFERROR(INDEX(Venta!FcDetalle,MATCH(CONCATENATE("B-",'v-rk'!$A$7,"REP"),Venta!FcClave,0),FcInicioCantAnual+0),0)</f>
        <v>0</v>
      </c>
      <c r="K13" s="182">
        <f>IFERROR(INDEX(Venta!FcDetalle,MATCH(CONCATENATE("B-",'v-rk'!$A$7,"REP"),Venta!FcClave,0),FcInicioCantAnual+1),0)</f>
        <v>0</v>
      </c>
      <c r="L13" s="182">
        <f>IFERROR(INDEX(Venta!FcDetalle,MATCH(CONCATENATE("B-",'v-rk'!$A$7,"REP"),Venta!FcClave,0),FcInicioCantAnual+2),0)</f>
        <v>0</v>
      </c>
      <c r="M13" s="182">
        <f>IFERROR(INDEX(Venta!FcDetalle,MATCH(CONCATENATE("B-",'v-rk'!$A$7,"REP"),Venta!FcClave,0),FcInicioCantAnual+3),0)</f>
        <v>0</v>
      </c>
      <c r="N13" s="182">
        <f>IFERROR(INDEX(Venta!FcDetalle,MATCH(CONCATENATE("B-",'v-rk'!$A$7,"REP"),Venta!FcClave,0),FcInicioCantAnual+4),0)</f>
        <v>0</v>
      </c>
      <c r="O13" s="189">
        <f>IFERROR(INDEX(Venta!FcDetalle,MATCH(CONCATENATE("B-",'v-rk'!$A$7,"REP"),Venta!FcClave,0),FcInicioCantAnual+5+IF('v-rk'!FcProyeccion=TRUE,1,0)),0)</f>
        <v>0</v>
      </c>
      <c r="Q13" s="192" t="s">
        <v>346</v>
      </c>
      <c r="R13" s="182">
        <f>G13</f>
        <v>0</v>
      </c>
      <c r="S13" s="182">
        <f>F13</f>
        <v>0</v>
      </c>
      <c r="T13" s="182">
        <f>E13</f>
        <v>0</v>
      </c>
      <c r="U13" s="182">
        <f>D13</f>
        <v>0</v>
      </c>
      <c r="V13" s="182">
        <f>C13</f>
        <v>0</v>
      </c>
      <c r="W13" s="189">
        <f>B13</f>
        <v>0</v>
      </c>
      <c r="Y13" s="192" t="s">
        <v>346</v>
      </c>
      <c r="Z13" s="182">
        <f>O13</f>
        <v>0</v>
      </c>
      <c r="AA13" s="182">
        <f>N13</f>
        <v>0</v>
      </c>
      <c r="AB13" s="182">
        <f>M13</f>
        <v>0</v>
      </c>
      <c r="AC13" s="182">
        <f>L13</f>
        <v>0</v>
      </c>
      <c r="AD13" s="182">
        <f>K13</f>
        <v>0</v>
      </c>
      <c r="AE13" s="189">
        <f>J13</f>
        <v>0</v>
      </c>
    </row>
    <row r="14" spans="1:31" x14ac:dyDescent="0.2">
      <c r="A14" s="155" t="s">
        <v>45</v>
      </c>
      <c r="B14" s="188">
        <f>IFERROR(INDEX(Venta!FcDetalle,MATCH(CONCATENATE("B-",'v-cod'!$B$7,"REP"),Venta!FcClave,0),FcInicioCantAnual+0),0)</f>
        <v>0</v>
      </c>
      <c r="C14" s="182">
        <f>IFERROR(INDEX(Venta!FcDetalle,MATCH(CONCATENATE("B-",'v-cod'!$B$7,"REP"),Venta!FcClave,0),FcInicioCantAnual+1),0)</f>
        <v>0</v>
      </c>
      <c r="D14" s="182">
        <f>IFERROR(INDEX(Venta!FcDetalle,MATCH(CONCATENATE("B-",'v-cod'!$B$7,"REP"),Venta!FcClave,0),FcInicioCantAnual+2),0)</f>
        <v>0</v>
      </c>
      <c r="E14" s="182">
        <f>IFERROR(INDEX(Venta!FcDetalle,MATCH(CONCATENATE("B-",'v-cod'!$B$7,"REP"),Venta!FcClave,0),FcInicioCantAnual+3),0)</f>
        <v>0</v>
      </c>
      <c r="F14" s="182">
        <f>IFERROR(INDEX(Venta!FcDetalle,MATCH(CONCATENATE("B-",'v-cod'!$B$7,"REP"),Venta!FcClave,0),FcInicioCantAnual+4),0)</f>
        <v>0</v>
      </c>
      <c r="G14" s="189">
        <f>IFERROR(INDEX(Venta!FcDetalle,MATCH(CONCATENATE("B-",'v-cod'!$B$7,"REP"),Venta!FcClave,0),FcInicioCantAnual+5+IF('v-cod'!FcProyeccion=TRUE,1,0)),0)</f>
        <v>0</v>
      </c>
      <c r="I14" s="155" t="s">
        <v>45</v>
      </c>
      <c r="J14" s="188">
        <f>IFERROR(INDEX(Venta!FcDetalle,MATCH(CONCATENATE("B-",'v-rk'!$B$7,"REP"),Venta!FcClave,0),FcInicioCantAnual+0),0)</f>
        <v>0</v>
      </c>
      <c r="K14" s="182">
        <f>IFERROR(INDEX(Venta!FcDetalle,MATCH(CONCATENATE("B-",'v-rk'!$B$7,"REP"),Venta!FcClave,0),FcInicioCantAnual+1),0)</f>
        <v>0</v>
      </c>
      <c r="L14" s="182">
        <f>IFERROR(INDEX(Venta!FcDetalle,MATCH(CONCATENATE("B-",'v-rk'!$B$7,"REP"),Venta!FcClave,0),FcInicioCantAnual+2),0)</f>
        <v>0</v>
      </c>
      <c r="M14" s="182">
        <f>IFERROR(INDEX(Venta!FcDetalle,MATCH(CONCATENATE("B-",'v-rk'!$B$7,"REP"),Venta!FcClave,0),FcInicioCantAnual+3),0)</f>
        <v>0</v>
      </c>
      <c r="N14" s="182">
        <f>IFERROR(INDEX(Venta!FcDetalle,MATCH(CONCATENATE("B-",'v-rk'!$B$7,"REP"),Venta!FcClave,0),FcInicioCantAnual+4),0)</f>
        <v>0</v>
      </c>
      <c r="O14" s="189">
        <f>IFERROR(INDEX(Venta!FcDetalle,MATCH(CONCATENATE("B-",'v-rk'!$B$7,"REP"),Venta!FcClave,0),FcInicioCantAnual+5+IF('v-rk'!FcProyeccion=TRUE,1,0)),0)</f>
        <v>0</v>
      </c>
      <c r="Q14" s="193" t="s">
        <v>45</v>
      </c>
      <c r="R14" s="182">
        <f>G14</f>
        <v>0</v>
      </c>
      <c r="S14" s="182">
        <f>F14</f>
        <v>0</v>
      </c>
      <c r="T14" s="182">
        <f>E14</f>
        <v>0</v>
      </c>
      <c r="U14" s="182">
        <f>D14</f>
        <v>0</v>
      </c>
      <c r="V14" s="182">
        <f>C14</f>
        <v>0</v>
      </c>
      <c r="W14" s="189">
        <f>B14</f>
        <v>0</v>
      </c>
      <c r="Y14" s="193" t="s">
        <v>45</v>
      </c>
      <c r="Z14" s="182">
        <f>O14</f>
        <v>0</v>
      </c>
      <c r="AA14" s="182">
        <f>N14</f>
        <v>0</v>
      </c>
      <c r="AB14" s="182">
        <f>M14</f>
        <v>0</v>
      </c>
      <c r="AC14" s="182">
        <f>L14</f>
        <v>0</v>
      </c>
      <c r="AD14" s="182">
        <f>K14</f>
        <v>0</v>
      </c>
      <c r="AE14" s="189">
        <f>J14</f>
        <v>0</v>
      </c>
    </row>
    <row r="15" spans="1:31" x14ac:dyDescent="0.2">
      <c r="A15" s="155" t="s">
        <v>347</v>
      </c>
      <c r="B15" s="188">
        <f>IFERROR(INDEX(PrecioCompetencia!FcDetalle,MATCH(CONCATENATE('v-cod'!$A$7,"PUR"),PrecioCompetencia!FcClave,0),FcPartcantREPinicioAnual+0),0)</f>
        <v>0</v>
      </c>
      <c r="C15" s="182">
        <f>IFERROR(INDEX(PrecioCompetencia!FcDetalle,MATCH(CONCATENATE('v-cod'!$A$7,"PUR"),PrecioCompetencia!FcClave,0),FcPartcantREPinicioAnual+1),0)</f>
        <v>0</v>
      </c>
      <c r="D15" s="182">
        <f>IFERROR(INDEX(PrecioCompetencia!FcDetalle,MATCH(CONCATENATE('v-cod'!$A$7,"PUR"),PrecioCompetencia!FcClave,0),FcPartcantREPinicioAnual+2),0)</f>
        <v>0</v>
      </c>
      <c r="E15" s="182">
        <f>IFERROR(INDEX(PrecioCompetencia!FcDetalle,MATCH(CONCATENATE('v-cod'!$A$7,"PUR"),PrecioCompetencia!FcClave,0),FcPartcantREPinicioAnual+3),0)</f>
        <v>0</v>
      </c>
      <c r="F15" s="182">
        <f>IFERROR(INDEX(PrecioCompetencia!FcDetalle,MATCH(CONCATENATE('v-cod'!$A$7,"PUR"),PrecioCompetencia!FcClave,0),FcPartcantREPinicioAnual+4),0)</f>
        <v>0</v>
      </c>
      <c r="G15" s="189">
        <f>IFERROR(INDEX(PrecioCompetencia!FcDetalle,MATCH(CONCATENATE('v-cod'!$A$7,"PUR"),PrecioCompetencia!FcClave,0),FcPartcantREPinicioAnual+5+IF('v-cod'!FcProyeccion=TRUE,1,0)),0)</f>
        <v>0</v>
      </c>
      <c r="I15" s="155" t="s">
        <v>347</v>
      </c>
      <c r="J15" s="188">
        <f>IFERROR(INDEX(PrecioCompetencia!FcDetalle,MATCH(CONCATENATE('v-rk'!$A$7,"PUR"),PrecioCompetencia!FcClave,0),FcPartcantREPinicioAnual+0),0)</f>
        <v>0</v>
      </c>
      <c r="K15" s="182">
        <f>IFERROR(INDEX(PrecioCompetencia!FcDetalle,MATCH(CONCATENATE('v-rk'!$A$7,"PUR"),PrecioCompetencia!FcClave,0),FcPartcantREPinicioAnual+1),0)</f>
        <v>0</v>
      </c>
      <c r="L15" s="182">
        <f>IFERROR(INDEX(PrecioCompetencia!FcDetalle,MATCH(CONCATENATE('v-rk'!$A$7,"PUR"),PrecioCompetencia!FcClave,0),FcPartcantREPinicioAnual+2),0)</f>
        <v>0</v>
      </c>
      <c r="M15" s="182">
        <f>IFERROR(INDEX(PrecioCompetencia!FcDetalle,MATCH(CONCATENATE('v-rk'!$A$7,"PUR"),PrecioCompetencia!FcClave,0),FcPartcantREPinicioAnual+3),0)</f>
        <v>0</v>
      </c>
      <c r="N15" s="182">
        <f>IFERROR(INDEX(PrecioCompetencia!FcDetalle,MATCH(CONCATENATE('v-rk'!$A$7,"PUR"),PrecioCompetencia!FcClave,0),FcPartcantREPinicioAnual+4),0)</f>
        <v>0</v>
      </c>
      <c r="O15" s="189">
        <f>IFERROR(INDEX(PrecioCompetencia!FcDetalle,MATCH(CONCATENATE('v-rk'!$A$7,"PUR"),PrecioCompetencia!FcClave,0),FcPartcantREPinicioAnual+5+IF('v-rk'!FcProyeccion=TRUE,1,0)),0)</f>
        <v>0</v>
      </c>
      <c r="Q15" s="193" t="s">
        <v>347</v>
      </c>
      <c r="R15" s="182">
        <f>G15</f>
        <v>0</v>
      </c>
      <c r="S15" s="182">
        <f>F15</f>
        <v>0</v>
      </c>
      <c r="T15" s="182">
        <f>E15</f>
        <v>0</v>
      </c>
      <c r="U15" s="182">
        <f>D15</f>
        <v>0</v>
      </c>
      <c r="V15" s="182">
        <f>C15</f>
        <v>0</v>
      </c>
      <c r="W15" s="189">
        <f>B15</f>
        <v>0</v>
      </c>
      <c r="Y15" s="193" t="s">
        <v>347</v>
      </c>
      <c r="Z15" s="182">
        <f>O15</f>
        <v>0</v>
      </c>
      <c r="AA15" s="182">
        <f>N15</f>
        <v>0</v>
      </c>
      <c r="AB15" s="182">
        <f>M15</f>
        <v>0</v>
      </c>
      <c r="AC15" s="182">
        <f>L15</f>
        <v>0</v>
      </c>
      <c r="AD15" s="182">
        <f>K15</f>
        <v>0</v>
      </c>
      <c r="AE15" s="189">
        <f>J15</f>
        <v>0</v>
      </c>
    </row>
    <row r="16" spans="1:31" x14ac:dyDescent="0.2">
      <c r="A16" s="155" t="s">
        <v>46</v>
      </c>
      <c r="B16" s="188">
        <f>IFERROR(INDEX(PrecioCompetencia!FcDetalle,MATCH(CONCATENATE('v-cod'!$A$7,"WBUS"),PrecioCompetencia!FcClave,0),FcPartcantREPinicioAnual+0),0)</f>
        <v>0</v>
      </c>
      <c r="C16" s="182">
        <f>IFERROR(INDEX(PrecioCompetencia!FcDetalle,MATCH(CONCATENATE('v-cod'!$A$7,"WBUS"),PrecioCompetencia!FcClave,0),FcPartcantREPinicioAnual+1),0)</f>
        <v>0</v>
      </c>
      <c r="D16" s="182">
        <f>IFERROR(INDEX(PrecioCompetencia!FcDetalle,MATCH(CONCATENATE('v-cod'!$A$7,"WBUS"),PrecioCompetencia!FcClave,0),FcPartcantREPinicioAnual+2),0)</f>
        <v>0</v>
      </c>
      <c r="E16" s="182">
        <f>IFERROR(INDEX(PrecioCompetencia!FcDetalle,MATCH(CONCATENATE('v-cod'!$A$7,"WBUS"),PrecioCompetencia!FcClave,0),FcPartcantREPinicioAnual+3),0)</f>
        <v>0</v>
      </c>
      <c r="F16" s="182">
        <f>IFERROR(INDEX(PrecioCompetencia!FcDetalle,MATCH(CONCATENATE('v-cod'!$A$7,"WBUS"),PrecioCompetencia!FcClave,0),FcPartcantREPinicioAnual+4),0)</f>
        <v>0</v>
      </c>
      <c r="G16" s="189">
        <f>IFERROR(INDEX(PrecioCompetencia!FcDetalle,MATCH(CONCATENATE('v-cod'!$A$7,"WBUS"),PrecioCompetencia!FcClave,0),FcPartcantREPinicioAnual+5+IF('v-cod'!FcProyeccion=TRUE,1,0)),0)</f>
        <v>0</v>
      </c>
      <c r="I16" s="155" t="s">
        <v>46</v>
      </c>
      <c r="J16" s="188">
        <f>IFERROR(INDEX(PrecioCompetencia!FcDetalle,MATCH(CONCATENATE('v-rk'!$A$7,"WBUS"),PrecioCompetencia!FcClave,0),FcPartcantREPinicioAnual+0),0)</f>
        <v>0</v>
      </c>
      <c r="K16" s="182">
        <f>IFERROR(INDEX(PrecioCompetencia!FcDetalle,MATCH(CONCATENATE('v-rk'!$A$7,"WBUS"),PrecioCompetencia!FcClave,0),FcPartcantREPinicioAnual+1),0)</f>
        <v>0</v>
      </c>
      <c r="L16" s="182">
        <f>IFERROR(INDEX(PrecioCompetencia!FcDetalle,MATCH(CONCATENATE('v-rk'!$A$7,"WBUS"),PrecioCompetencia!FcClave,0),FcPartcantREPinicioAnual+2),0)</f>
        <v>0</v>
      </c>
      <c r="M16" s="182">
        <f>IFERROR(INDEX(PrecioCompetencia!FcDetalle,MATCH(CONCATENATE('v-rk'!$A$7,"WBUS"),PrecioCompetencia!FcClave,0),FcPartcantREPinicioAnual+3),0)</f>
        <v>0</v>
      </c>
      <c r="N16" s="182">
        <f>IFERROR(INDEX(PrecioCompetencia!FcDetalle,MATCH(CONCATENATE('v-rk'!$A$7,"WBUS"),PrecioCompetencia!FcClave,0),FcPartcantREPinicioAnual+4),0)</f>
        <v>0</v>
      </c>
      <c r="O16" s="189">
        <f>IFERROR(INDEX(PrecioCompetencia!FcDetalle,MATCH(CONCATENATE('v-rk'!$A$7,"WBUS"),PrecioCompetencia!FcClave,0),FcPartcantREPinicioAnual+5+IF('v-rk'!FcProyeccion=TRUE,1,0)),0)</f>
        <v>0</v>
      </c>
      <c r="Q16" s="193" t="s">
        <v>46</v>
      </c>
      <c r="R16" s="182">
        <f>G16</f>
        <v>0</v>
      </c>
      <c r="S16" s="182">
        <f>F16</f>
        <v>0</v>
      </c>
      <c r="T16" s="182">
        <f>E16</f>
        <v>0</v>
      </c>
      <c r="U16" s="182">
        <f>D16</f>
        <v>0</v>
      </c>
      <c r="V16" s="182">
        <f>C16</f>
        <v>0</v>
      </c>
      <c r="W16" s="189">
        <f>B16</f>
        <v>0</v>
      </c>
      <c r="Y16" s="193" t="s">
        <v>46</v>
      </c>
      <c r="Z16" s="182">
        <f>O16</f>
        <v>0</v>
      </c>
      <c r="AA16" s="182">
        <f>N16</f>
        <v>0</v>
      </c>
      <c r="AB16" s="182">
        <f>M16</f>
        <v>0</v>
      </c>
      <c r="AC16" s="182">
        <f>L16</f>
        <v>0</v>
      </c>
      <c r="AD16" s="182">
        <f>K16</f>
        <v>0</v>
      </c>
      <c r="AE16" s="189">
        <f>J16</f>
        <v>0</v>
      </c>
    </row>
    <row r="17" spans="1:31" ht="13.5" thickBot="1" x14ac:dyDescent="0.25">
      <c r="A17" s="158" t="s">
        <v>348</v>
      </c>
      <c r="B17" s="190">
        <f>IFERROR(INDEX(PrecioCompetencia!FcDetalle,MATCH(CONCATENATE('v-cod'!$A$7,"IMPX"),PrecioCompetencia!FcClave,0),FcPartcantREPinicioAnual+0),0)</f>
        <v>0</v>
      </c>
      <c r="C17" s="183">
        <f>IFERROR(INDEX(PrecioCompetencia!FcDetalle,MATCH(CONCATENATE('v-cod'!$A$7,"IMPX"),PrecioCompetencia!FcClave,0),FcPartcantREPinicioAnual+1),0)</f>
        <v>0</v>
      </c>
      <c r="D17" s="183">
        <f>IFERROR(INDEX(PrecioCompetencia!FcDetalle,MATCH(CONCATENATE('v-cod'!$A$7,"IMPX"),PrecioCompetencia!FcClave,0),FcPartcantREPinicioAnual+2),0)</f>
        <v>0</v>
      </c>
      <c r="E17" s="183">
        <f>IFERROR(INDEX(PrecioCompetencia!FcDetalle,MATCH(CONCATENATE('v-cod'!$A$7,"IMPX"),PrecioCompetencia!FcClave,0),FcPartcantREPinicioAnual+3),0)</f>
        <v>0</v>
      </c>
      <c r="F17" s="183">
        <f>IFERROR(INDEX(PrecioCompetencia!FcDetalle,MATCH(CONCATENATE('v-cod'!$A$7,"IMPX"),PrecioCompetencia!FcClave,0),FcPartcantREPinicioAnual+4),0)</f>
        <v>0</v>
      </c>
      <c r="G17" s="191">
        <f>IFERROR(INDEX(PrecioCompetencia!FcDetalle,MATCH(CONCATENATE('v-cod'!$A$7,"IMPX"),PrecioCompetencia!FcClave,0),FcPartcantREPinicioAnual+5+IF('v-cod'!FcProyeccion=TRUE,1,0)),0)</f>
        <v>0</v>
      </c>
      <c r="I17" s="158" t="s">
        <v>348</v>
      </c>
      <c r="J17" s="190">
        <f>IFERROR(INDEX(PrecioCompetencia!FcDetalle,MATCH(CONCATENATE('v-rk'!$A$7,"IMPX"),PrecioCompetencia!FcClave,0),FcPartcantREPinicioAnual+0),0)</f>
        <v>0</v>
      </c>
      <c r="K17" s="183">
        <f>IFERROR(INDEX(PrecioCompetencia!FcDetalle,MATCH(CONCATENATE('v-rk'!$A$7,"IMPX"),PrecioCompetencia!FcClave,0),FcPartcantREPinicioAnual+1),0)</f>
        <v>0</v>
      </c>
      <c r="L17" s="183">
        <f>IFERROR(INDEX(PrecioCompetencia!FcDetalle,MATCH(CONCATENATE('v-rk'!$A$7,"IMPX"),PrecioCompetencia!FcClave,0),FcPartcantREPinicioAnual+2),0)</f>
        <v>0</v>
      </c>
      <c r="M17" s="183">
        <f>IFERROR(INDEX(PrecioCompetencia!FcDetalle,MATCH(CONCATENATE('v-rk'!$A$7,"IMPX"),PrecioCompetencia!FcClave,0),FcPartcantREPinicioAnual+3),0)</f>
        <v>0</v>
      </c>
      <c r="N17" s="183">
        <f>IFERROR(INDEX(PrecioCompetencia!FcDetalle,MATCH(CONCATENATE('v-rk'!$A$7,"IMPX"),PrecioCompetencia!FcClave,0),FcPartcantREPinicioAnual+4),0)</f>
        <v>0</v>
      </c>
      <c r="O17" s="191">
        <f>IFERROR(INDEX(PrecioCompetencia!FcDetalle,MATCH(CONCATENATE('v-rk'!$A$7,"IMPX"),PrecioCompetencia!FcClave,0),FcPartcantREPinicioAnual+5+IF('v-rk'!FcProyeccion=TRUE,1,0)),0)</f>
        <v>0</v>
      </c>
      <c r="Q17" s="194" t="s">
        <v>348</v>
      </c>
      <c r="R17" s="183">
        <f>G17</f>
        <v>0</v>
      </c>
      <c r="S17" s="183">
        <f>F17</f>
        <v>0</v>
      </c>
      <c r="T17" s="183">
        <f>E17</f>
        <v>0</v>
      </c>
      <c r="U17" s="183">
        <f>D17</f>
        <v>0</v>
      </c>
      <c r="V17" s="183">
        <f>C17</f>
        <v>0</v>
      </c>
      <c r="W17" s="191">
        <f>B17</f>
        <v>0</v>
      </c>
      <c r="Y17" s="194" t="s">
        <v>348</v>
      </c>
      <c r="Z17" s="183">
        <f>O17</f>
        <v>0</v>
      </c>
      <c r="AA17" s="183">
        <f>N17</f>
        <v>0</v>
      </c>
      <c r="AB17" s="183">
        <f>M17</f>
        <v>0</v>
      </c>
      <c r="AC17" s="183">
        <f>L17</f>
        <v>0</v>
      </c>
      <c r="AD17" s="183">
        <f>K17</f>
        <v>0</v>
      </c>
      <c r="AE17" s="191">
        <f>J17</f>
        <v>0</v>
      </c>
    </row>
    <row r="19" spans="1:31" x14ac:dyDescent="0.2">
      <c r="N19" s="143"/>
      <c r="O19" s="143"/>
      <c r="P19" s="143"/>
    </row>
    <row r="20" spans="1:31" s="168" customFormat="1" ht="21" thickBot="1" x14ac:dyDescent="0.35">
      <c r="B20" s="168" t="s">
        <v>71</v>
      </c>
      <c r="I20" s="168" t="s">
        <v>71</v>
      </c>
    </row>
    <row r="21" spans="1:31" ht="13.5" thickBot="1" x14ac:dyDescent="0.25">
      <c r="A21" s="172"/>
      <c r="B21" s="169">
        <v>2009</v>
      </c>
      <c r="C21" s="170">
        <v>2010</v>
      </c>
      <c r="D21" s="170">
        <v>2011</v>
      </c>
      <c r="E21" s="170">
        <v>2012</v>
      </c>
      <c r="F21" s="170">
        <v>2013</v>
      </c>
      <c r="G21" s="171">
        <v>2014</v>
      </c>
      <c r="I21" s="169"/>
      <c r="J21" s="169">
        <v>2009</v>
      </c>
      <c r="K21" s="170">
        <v>2010</v>
      </c>
      <c r="L21" s="170">
        <v>2011</v>
      </c>
      <c r="M21" s="170">
        <v>2012</v>
      </c>
      <c r="N21" s="170">
        <v>2013</v>
      </c>
      <c r="O21" s="171">
        <v>2014</v>
      </c>
      <c r="Q21" s="169"/>
      <c r="R21" s="170">
        <v>2014</v>
      </c>
      <c r="S21" s="170">
        <v>2013</v>
      </c>
      <c r="T21" s="170">
        <v>2012</v>
      </c>
      <c r="U21" s="170">
        <v>2011</v>
      </c>
      <c r="V21" s="170">
        <v>2010</v>
      </c>
      <c r="W21" s="171">
        <v>2009</v>
      </c>
      <c r="Y21" s="169"/>
      <c r="Z21" s="170">
        <v>2014</v>
      </c>
      <c r="AA21" s="170">
        <v>2013</v>
      </c>
      <c r="AB21" s="170">
        <v>2012</v>
      </c>
      <c r="AC21" s="170">
        <v>2011</v>
      </c>
      <c r="AD21" s="170">
        <v>2010</v>
      </c>
      <c r="AE21" s="171">
        <v>2009</v>
      </c>
    </row>
    <row r="22" spans="1:31" x14ac:dyDescent="0.2">
      <c r="A22" s="155" t="s">
        <v>346</v>
      </c>
      <c r="B22" s="188">
        <f>IFERROR(INDEX(Venta!FcDetalle,MATCH(CONCATENATE("B-",'v-cod'!$A$7,"ESP"),Venta!FcClave,0),FcInicioCantAnual+0),0)</f>
        <v>0</v>
      </c>
      <c r="C22" s="182">
        <f>IFERROR(INDEX(Venta!FcDetalle,MATCH(CONCATENATE("B-",'v-cod'!$A$7,"ESP"),Venta!FcClave,0),FcInicioCantAnual+1),0)</f>
        <v>0</v>
      </c>
      <c r="D22" s="182">
        <f>IFERROR(INDEX(Venta!FcDetalle,MATCH(CONCATENATE("B-",'v-cod'!$A$7,"ESP"),Venta!FcClave,0),FcInicioCantAnual+2),0)</f>
        <v>0</v>
      </c>
      <c r="E22" s="182">
        <f>IFERROR(INDEX(Venta!FcDetalle,MATCH(CONCATENATE("B-",'v-cod'!$A$7,"ESP"),Venta!FcClave,0),FcInicioCantAnual+3),0)</f>
        <v>0</v>
      </c>
      <c r="F22" s="182">
        <f>IFERROR(INDEX(Venta!FcDetalle,MATCH(CONCATENATE("B-",'v-cod'!$A$7,"ESP"),Venta!FcClave,0),FcInicioCantAnual+4),0)</f>
        <v>0</v>
      </c>
      <c r="G22" s="189">
        <f>IFERROR(INDEX(Venta!FcDetalle,MATCH(CONCATENATE("B-",'v-cod'!$A$7,"ESP"),Venta!FcClave,0),FcInicioCantAnual+5+IF('v-cod'!FcProyeccion=TRUE,1,0)),0)</f>
        <v>0</v>
      </c>
      <c r="I22" s="155" t="s">
        <v>346</v>
      </c>
      <c r="J22" s="188">
        <f>IFERROR(INDEX(Venta!FcDetalle,MATCH(CONCATENATE("B-",'v-rk'!$A$7,"ESP"),Venta!FcClave,0),FcInicioCantAnual+0),0)</f>
        <v>0</v>
      </c>
      <c r="K22" s="182">
        <f>IFERROR(INDEX(Venta!FcDetalle,MATCH(CONCATENATE("B-",'v-rk'!$A$7,"ESP"),Venta!FcClave,0),FcInicioCantAnual+1),0)</f>
        <v>0</v>
      </c>
      <c r="L22" s="182">
        <f>IFERROR(INDEX(Venta!FcDetalle,MATCH(CONCATENATE("B-",'v-rk'!$A$7,"ESP"),Venta!FcClave,0),FcInicioCantAnual+2),0)</f>
        <v>0</v>
      </c>
      <c r="M22" s="182">
        <f>IFERROR(INDEX(Venta!FcDetalle,MATCH(CONCATENATE("B-",'v-rk'!$A$7,"ESP"),Venta!FcClave,0),FcInicioCantAnual+3),0)</f>
        <v>0</v>
      </c>
      <c r="N22" s="182">
        <f>IFERROR(INDEX(Venta!FcDetalle,MATCH(CONCATENATE("B-",'v-rk'!$A$7,"ESP"),Venta!FcClave,0),FcInicioCantAnual+4),0)</f>
        <v>0</v>
      </c>
      <c r="O22" s="189">
        <f>IFERROR(INDEX(Venta!FcDetalle,MATCH(CONCATENATE("B-",'v-rk'!$A$7,"ESP"),Venta!FcClave,0),FcInicioCantAnual+5+IF('v-rk'!FcProyeccion=TRUE,1,0)),0)</f>
        <v>0</v>
      </c>
      <c r="Q22" s="192" t="s">
        <v>346</v>
      </c>
      <c r="R22" s="182">
        <f>G22</f>
        <v>0</v>
      </c>
      <c r="S22" s="182">
        <f>F22</f>
        <v>0</v>
      </c>
      <c r="T22" s="182">
        <f>E22</f>
        <v>0</v>
      </c>
      <c r="U22" s="182">
        <f>D22</f>
        <v>0</v>
      </c>
      <c r="V22" s="182">
        <f>C22</f>
        <v>0</v>
      </c>
      <c r="W22" s="189">
        <f>B22</f>
        <v>0</v>
      </c>
      <c r="Y22" s="192" t="s">
        <v>346</v>
      </c>
      <c r="Z22" s="182">
        <f>O22</f>
        <v>0</v>
      </c>
      <c r="AA22" s="182">
        <f>N22</f>
        <v>0</v>
      </c>
      <c r="AB22" s="182">
        <f>M22</f>
        <v>0</v>
      </c>
      <c r="AC22" s="182">
        <f>L22</f>
        <v>0</v>
      </c>
      <c r="AD22" s="182">
        <f>K22</f>
        <v>0</v>
      </c>
      <c r="AE22" s="189">
        <f>J22</f>
        <v>0</v>
      </c>
    </row>
    <row r="23" spans="1:31" x14ac:dyDescent="0.2">
      <c r="A23" s="155" t="s">
        <v>45</v>
      </c>
      <c r="B23" s="188">
        <f>IFERROR(INDEX(Venta!FcDetalle,MATCH(CONCATENATE("B-",'v-cod'!$B$7,"ESP"),Venta!FcClave,0),FcInicioCantAnual+0),0)</f>
        <v>0</v>
      </c>
      <c r="C23" s="182">
        <f>IFERROR(INDEX(Venta!FcDetalle,MATCH(CONCATENATE("B-",'v-cod'!$B$7,"ESP"),Venta!FcClave,0),FcInicioCantAnual+1),0)</f>
        <v>0</v>
      </c>
      <c r="D23" s="182">
        <f>IFERROR(INDEX(Venta!FcDetalle,MATCH(CONCATENATE("B-",'v-cod'!$B$7,"ESP"),Venta!FcClave,0),FcInicioCantAnual+2),0)</f>
        <v>0</v>
      </c>
      <c r="E23" s="182">
        <f>IFERROR(INDEX(Venta!FcDetalle,MATCH(CONCATENATE("B-",'v-cod'!$B$7,"ESP"),Venta!FcClave,0),FcInicioCantAnual+3),0)</f>
        <v>0</v>
      </c>
      <c r="F23" s="182">
        <f>IFERROR(INDEX(Venta!FcDetalle,MATCH(CONCATENATE("B-",'v-cod'!$B$7,"ESP"),Venta!FcClave,0),FcInicioCantAnual+4),0)</f>
        <v>0</v>
      </c>
      <c r="G23" s="189">
        <f>IFERROR(INDEX(Venta!FcDetalle,MATCH(CONCATENATE("B-",'v-cod'!$B$7,"ESP"),Venta!FcClave,0),FcInicioCantAnual+5+IF('v-cod'!FcProyeccion=TRUE,1,0)),0)</f>
        <v>0</v>
      </c>
      <c r="I23" s="155" t="s">
        <v>45</v>
      </c>
      <c r="J23" s="188">
        <f>IFERROR(INDEX(Venta!FcDetalle,MATCH(CONCATENATE("B-",'v-rk'!$B$7,"ESP"),Venta!FcClave,0),FcInicioCantAnual+0),0)</f>
        <v>0</v>
      </c>
      <c r="K23" s="182">
        <f>IFERROR(INDEX(Venta!FcDetalle,MATCH(CONCATENATE("B-",'v-rk'!$B$7,"ESP"),Venta!FcClave,0),FcInicioCantAnual+1),0)</f>
        <v>0</v>
      </c>
      <c r="L23" s="182">
        <f>IFERROR(INDEX(Venta!FcDetalle,MATCH(CONCATENATE("B-",'v-rk'!$B$7,"ESP"),Venta!FcClave,0),FcInicioCantAnual+2),0)</f>
        <v>0</v>
      </c>
      <c r="M23" s="182">
        <f>IFERROR(INDEX(Venta!FcDetalle,MATCH(CONCATENATE("B-",'v-rk'!$B$7,"ESP"),Venta!FcClave,0),FcInicioCantAnual+3),0)</f>
        <v>0</v>
      </c>
      <c r="N23" s="182">
        <f>IFERROR(INDEX(Venta!FcDetalle,MATCH(CONCATENATE("B-",'v-rk'!$B$7,"ESP"),Venta!FcClave,0),FcInicioCantAnual+4),0)</f>
        <v>0</v>
      </c>
      <c r="O23" s="189">
        <f>IFERROR(INDEX(Venta!FcDetalle,MATCH(CONCATENATE("B-",'v-rk'!$B$7,"ESP"),Venta!FcClave,0),FcInicioCantAnual+5+IF('v-rk'!FcProyeccion=TRUE,1,0)),0)</f>
        <v>0</v>
      </c>
      <c r="Q23" s="193" t="s">
        <v>45</v>
      </c>
      <c r="R23" s="182">
        <f>G23</f>
        <v>0</v>
      </c>
      <c r="S23" s="182">
        <f>F23</f>
        <v>0</v>
      </c>
      <c r="T23" s="182">
        <f>E23</f>
        <v>0</v>
      </c>
      <c r="U23" s="182">
        <f>D23</f>
        <v>0</v>
      </c>
      <c r="V23" s="182">
        <f>C23</f>
        <v>0</v>
      </c>
      <c r="W23" s="189">
        <f>B23</f>
        <v>0</v>
      </c>
      <c r="Y23" s="193" t="s">
        <v>45</v>
      </c>
      <c r="Z23" s="182">
        <f>O23</f>
        <v>0</v>
      </c>
      <c r="AA23" s="182">
        <f>N23</f>
        <v>0</v>
      </c>
      <c r="AB23" s="182">
        <f>M23</f>
        <v>0</v>
      </c>
      <c r="AC23" s="182">
        <f>L23</f>
        <v>0</v>
      </c>
      <c r="AD23" s="182">
        <f>K23</f>
        <v>0</v>
      </c>
      <c r="AE23" s="189">
        <f>J23</f>
        <v>0</v>
      </c>
    </row>
    <row r="24" spans="1:31" x14ac:dyDescent="0.2">
      <c r="A24" s="155" t="s">
        <v>347</v>
      </c>
      <c r="B24" s="188">
        <f>IFERROR(INDEX(PrecioCompetencia!FcDetalle,MATCH(CONCATENATE('v-cod'!$A$7,"PUR"),PrecioCompetencia!FcClave,0),FcPartcantINDinicioAnual+0),0)</f>
        <v>0</v>
      </c>
      <c r="C24" s="182">
        <f>IFERROR(INDEX(PrecioCompetencia!FcDetalle,MATCH(CONCATENATE('v-cod'!$A$7,"PUR"),PrecioCompetencia!FcClave,0),FcPartcantINDinicioAnual+1),0)</f>
        <v>0</v>
      </c>
      <c r="D24" s="182">
        <f>IFERROR(INDEX(PrecioCompetencia!FcDetalle,MATCH(CONCATENATE('v-cod'!$A$7,"PUR"),PrecioCompetencia!FcClave,0),FcPartcantINDinicioAnual+2),0)</f>
        <v>0</v>
      </c>
      <c r="E24" s="182">
        <f>IFERROR(INDEX(PrecioCompetencia!FcDetalle,MATCH(CONCATENATE('v-cod'!$A$7,"PUR"),PrecioCompetencia!FcClave,0),FcPartcantINDinicioAnual+3),0)</f>
        <v>0</v>
      </c>
      <c r="F24" s="182">
        <f>IFERROR(INDEX(PrecioCompetencia!FcDetalle,MATCH(CONCATENATE('v-cod'!$A$7,"PUR"),PrecioCompetencia!FcClave,0),FcPartcantINDinicioAnual+4),0)</f>
        <v>0</v>
      </c>
      <c r="G24" s="189">
        <f>IFERROR(INDEX(PrecioCompetencia!FcDetalle,MATCH(CONCATENATE('v-cod'!$A$7,"PUR"),PrecioCompetencia!FcClave,0),FcPartcantINDinicioAnual+5+IF('v-cod'!FcProyeccion=TRUE,1,0)),0)</f>
        <v>0</v>
      </c>
      <c r="I24" s="155" t="s">
        <v>347</v>
      </c>
      <c r="J24" s="188">
        <f>IFERROR(INDEX(PrecioCompetencia!FcDetalle,MATCH(CONCATENATE('v-rk'!$A$7,"PUR"),PrecioCompetencia!FcClave,0),FcPartcantINDinicioAnual+0),0)</f>
        <v>0</v>
      </c>
      <c r="K24" s="182">
        <f>IFERROR(INDEX(PrecioCompetencia!FcDetalle,MATCH(CONCATENATE('v-rk'!$A$7,"PUR"),PrecioCompetencia!FcClave,0),FcPartcantINDinicioAnual+1),0)</f>
        <v>0</v>
      </c>
      <c r="L24" s="182">
        <f>IFERROR(INDEX(PrecioCompetencia!FcDetalle,MATCH(CONCATENATE('v-rk'!$A$7,"PUR"),PrecioCompetencia!FcClave,0),FcPartcantINDinicioAnual+2),0)</f>
        <v>0</v>
      </c>
      <c r="M24" s="182">
        <f>IFERROR(INDEX(PrecioCompetencia!FcDetalle,MATCH(CONCATENATE('v-rk'!$A$7,"PUR"),PrecioCompetencia!FcClave,0),FcPartcantINDinicioAnual+3),0)</f>
        <v>0</v>
      </c>
      <c r="N24" s="182">
        <f>IFERROR(INDEX(PrecioCompetencia!FcDetalle,MATCH(CONCATENATE('v-rk'!$A$7,"PUR"),PrecioCompetencia!FcClave,0),FcPartcantINDinicioAnual+4),0)</f>
        <v>0</v>
      </c>
      <c r="O24" s="189">
        <f>IFERROR(INDEX(PrecioCompetencia!FcDetalle,MATCH(CONCATENATE('v-rk'!$A$7,"PUR"),PrecioCompetencia!FcClave,0),FcPartcantINDinicioAnual+5+IF('v-rk'!FcProyeccion=TRUE,1,0)),0)</f>
        <v>0</v>
      </c>
      <c r="Q24" s="193" t="s">
        <v>347</v>
      </c>
      <c r="R24" s="182">
        <f>G24</f>
        <v>0</v>
      </c>
      <c r="S24" s="182">
        <f>F24</f>
        <v>0</v>
      </c>
      <c r="T24" s="182">
        <f>E24</f>
        <v>0</v>
      </c>
      <c r="U24" s="182">
        <f>D24</f>
        <v>0</v>
      </c>
      <c r="V24" s="182">
        <f>C24</f>
        <v>0</v>
      </c>
      <c r="W24" s="189">
        <f>B24</f>
        <v>0</v>
      </c>
      <c r="Y24" s="193" t="s">
        <v>347</v>
      </c>
      <c r="Z24" s="182">
        <f>O24</f>
        <v>0</v>
      </c>
      <c r="AA24" s="182">
        <f>N24</f>
        <v>0</v>
      </c>
      <c r="AB24" s="182">
        <f>M24</f>
        <v>0</v>
      </c>
      <c r="AC24" s="182">
        <f>L24</f>
        <v>0</v>
      </c>
      <c r="AD24" s="182">
        <f>K24</f>
        <v>0</v>
      </c>
      <c r="AE24" s="189">
        <f>J24</f>
        <v>0</v>
      </c>
    </row>
    <row r="25" spans="1:31" x14ac:dyDescent="0.2">
      <c r="A25" s="155" t="s">
        <v>46</v>
      </c>
      <c r="B25" s="188">
        <f>IFERROR(INDEX(PrecioCompetencia!FcDetalle,MATCH(CONCATENATE('v-cod'!$A$7,"WBUS"),PrecioCompetencia!FcClave,0),FcPartcantINDinicioAnual+0),0)</f>
        <v>0</v>
      </c>
      <c r="C25" s="182">
        <f>IFERROR(INDEX(PrecioCompetencia!FcDetalle,MATCH(CONCATENATE('v-cod'!$A$7,"WBUS"),PrecioCompetencia!FcClave,0),FcPartcantINDinicioAnual+1),0)</f>
        <v>0</v>
      </c>
      <c r="D25" s="182">
        <f>IFERROR(INDEX(PrecioCompetencia!FcDetalle,MATCH(CONCATENATE('v-cod'!$A$7,"WBUS"),PrecioCompetencia!FcClave,0),FcPartcantINDinicioAnual+2),0)</f>
        <v>0</v>
      </c>
      <c r="E25" s="182">
        <f>IFERROR(INDEX(PrecioCompetencia!FcDetalle,MATCH(CONCATENATE('v-cod'!$A$7,"WBUS"),PrecioCompetencia!FcClave,0),FcPartcantINDinicioAnual+3),0)</f>
        <v>0</v>
      </c>
      <c r="F25" s="182">
        <f>IFERROR(INDEX(PrecioCompetencia!FcDetalle,MATCH(CONCATENATE('v-cod'!$A$7,"WBUS"),PrecioCompetencia!FcClave,0),FcPartcantINDinicioAnual+4),0)</f>
        <v>0</v>
      </c>
      <c r="G25" s="189">
        <f>IFERROR(INDEX(PrecioCompetencia!FcDetalle,MATCH(CONCATENATE('v-cod'!$A$7,"WBUS"),PrecioCompetencia!FcClave,0),FcPartcantINDinicioAnual+5+IF('v-cod'!FcProyeccion=TRUE,1,0)),0)</f>
        <v>0</v>
      </c>
      <c r="I25" s="155" t="s">
        <v>46</v>
      </c>
      <c r="J25" s="188">
        <f>IFERROR(INDEX(PrecioCompetencia!FcDetalle,MATCH(CONCATENATE('v-rk'!$A$7,"WBUS"),PrecioCompetencia!FcClave,0),FcPartcantINDinicioAnual+0),0)</f>
        <v>0</v>
      </c>
      <c r="K25" s="182">
        <f>IFERROR(INDEX(PrecioCompetencia!FcDetalle,MATCH(CONCATENATE('v-rk'!$A$7,"WBUS"),PrecioCompetencia!FcClave,0),FcPartcantINDinicioAnual+1),0)</f>
        <v>0</v>
      </c>
      <c r="L25" s="182">
        <f>IFERROR(INDEX(PrecioCompetencia!FcDetalle,MATCH(CONCATENATE('v-rk'!$A$7,"WBUS"),PrecioCompetencia!FcClave,0),FcPartcantINDinicioAnual+2),0)</f>
        <v>0</v>
      </c>
      <c r="M25" s="182">
        <f>IFERROR(INDEX(PrecioCompetencia!FcDetalle,MATCH(CONCATENATE('v-rk'!$A$7,"WBUS"),PrecioCompetencia!FcClave,0),FcPartcantINDinicioAnual+3),0)</f>
        <v>0</v>
      </c>
      <c r="N25" s="182">
        <f>IFERROR(INDEX(PrecioCompetencia!FcDetalle,MATCH(CONCATENATE('v-rk'!$A$7,"WBUS"),PrecioCompetencia!FcClave,0),FcPartcantINDinicioAnual+4),0)</f>
        <v>0</v>
      </c>
      <c r="O25" s="189">
        <f>IFERROR(INDEX(PrecioCompetencia!FcDetalle,MATCH(CONCATENATE('v-rk'!$A$7,"WBUS"),PrecioCompetencia!FcClave,0),FcPartcantINDinicioAnual+5+IF('v-rk'!FcProyeccion=TRUE,1,0)),0)</f>
        <v>0</v>
      </c>
      <c r="Q25" s="193" t="s">
        <v>46</v>
      </c>
      <c r="R25" s="182">
        <f>G25</f>
        <v>0</v>
      </c>
      <c r="S25" s="182">
        <f>F25</f>
        <v>0</v>
      </c>
      <c r="T25" s="182">
        <f>E25</f>
        <v>0</v>
      </c>
      <c r="U25" s="182">
        <f>D25</f>
        <v>0</v>
      </c>
      <c r="V25" s="182">
        <f>C25</f>
        <v>0</v>
      </c>
      <c r="W25" s="189">
        <f>B25</f>
        <v>0</v>
      </c>
      <c r="Y25" s="193" t="s">
        <v>46</v>
      </c>
      <c r="Z25" s="182">
        <f>O25</f>
        <v>0</v>
      </c>
      <c r="AA25" s="182">
        <f>N25</f>
        <v>0</v>
      </c>
      <c r="AB25" s="182">
        <f>M25</f>
        <v>0</v>
      </c>
      <c r="AC25" s="182">
        <f>L25</f>
        <v>0</v>
      </c>
      <c r="AD25" s="182">
        <f>K25</f>
        <v>0</v>
      </c>
      <c r="AE25" s="189">
        <f>J25</f>
        <v>0</v>
      </c>
    </row>
    <row r="26" spans="1:31" ht="13.5" thickBot="1" x14ac:dyDescent="0.25">
      <c r="A26" s="158" t="s">
        <v>348</v>
      </c>
      <c r="B26" s="190">
        <f>IFERROR(INDEX(PrecioCompetencia!FcDetalle,MATCH(CONCATENATE('v-cod'!$A$7,"IMPX"),PrecioCompetencia!FcClave,0),FcPartcantINDinicioAnual+0),0)</f>
        <v>0</v>
      </c>
      <c r="C26" s="183">
        <f>IFERROR(INDEX(PrecioCompetencia!FcDetalle,MATCH(CONCATENATE('v-cod'!$A$7,"IMPX"),PrecioCompetencia!FcClave,0),FcPartcantINDinicioAnual+1),0)</f>
        <v>0</v>
      </c>
      <c r="D26" s="183">
        <f>IFERROR(INDEX(PrecioCompetencia!FcDetalle,MATCH(CONCATENATE('v-cod'!$A$7,"IMPX"),PrecioCompetencia!FcClave,0),FcPartcantINDinicioAnual+2),0)</f>
        <v>0</v>
      </c>
      <c r="E26" s="183">
        <f>IFERROR(INDEX(PrecioCompetencia!FcDetalle,MATCH(CONCATENATE('v-cod'!$A$7,"IMPX"),PrecioCompetencia!FcClave,0),FcPartcantINDinicioAnual+3),0)</f>
        <v>0</v>
      </c>
      <c r="F26" s="183">
        <f>IFERROR(INDEX(PrecioCompetencia!FcDetalle,MATCH(CONCATENATE('v-cod'!$A$7,"IMPX"),PrecioCompetencia!FcClave,0),FcPartcantINDinicioAnual+4),0)</f>
        <v>0</v>
      </c>
      <c r="G26" s="191">
        <f>IFERROR(INDEX(PrecioCompetencia!FcDetalle,MATCH(CONCATENATE('v-cod'!$A$7,"IMPX"),PrecioCompetencia!FcClave,0),FcPartcantINDinicioAnual+5+IF('v-cod'!FcProyeccion=TRUE,1,0)),0)</f>
        <v>0</v>
      </c>
      <c r="I26" s="158" t="s">
        <v>348</v>
      </c>
      <c r="J26" s="190">
        <f>IFERROR(INDEX(PrecioCompetencia!FcDetalle,MATCH(CONCATENATE('v-rk'!$A$7,"IMPX"),PrecioCompetencia!FcClave,0),FcPartcantINDinicioAnual+0),0)</f>
        <v>0</v>
      </c>
      <c r="K26" s="183">
        <f>IFERROR(INDEX(PrecioCompetencia!FcDetalle,MATCH(CONCATENATE('v-rk'!$A$7,"IMPX"),PrecioCompetencia!FcClave,0),FcPartcantINDinicioAnual+1),0)</f>
        <v>0</v>
      </c>
      <c r="L26" s="183">
        <f>IFERROR(INDEX(PrecioCompetencia!FcDetalle,MATCH(CONCATENATE('v-rk'!$A$7,"IMPX"),PrecioCompetencia!FcClave,0),FcPartcantINDinicioAnual+2),0)</f>
        <v>0</v>
      </c>
      <c r="M26" s="183">
        <f>IFERROR(INDEX(PrecioCompetencia!FcDetalle,MATCH(CONCATENATE('v-rk'!$A$7,"IMPX"),PrecioCompetencia!FcClave,0),FcPartcantINDinicioAnual+3),0)</f>
        <v>0</v>
      </c>
      <c r="N26" s="183">
        <f>IFERROR(INDEX(PrecioCompetencia!FcDetalle,MATCH(CONCATENATE('v-rk'!$A$7,"IMPX"),PrecioCompetencia!FcClave,0),FcPartcantINDinicioAnual+4),0)</f>
        <v>0</v>
      </c>
      <c r="O26" s="191">
        <f>IFERROR(INDEX(PrecioCompetencia!FcDetalle,MATCH(CONCATENATE('v-rk'!$A$7,"IMPX"),PrecioCompetencia!FcClave,0),FcPartcantINDinicioAnual+5+IF('v-rk'!FcProyeccion=TRUE,1,0)),0)</f>
        <v>0</v>
      </c>
      <c r="Q26" s="194" t="s">
        <v>348</v>
      </c>
      <c r="R26" s="183">
        <f>G26</f>
        <v>0</v>
      </c>
      <c r="S26" s="183">
        <f>F26</f>
        <v>0</v>
      </c>
      <c r="T26" s="183">
        <f>E26</f>
        <v>0</v>
      </c>
      <c r="U26" s="183">
        <f>D26</f>
        <v>0</v>
      </c>
      <c r="V26" s="183">
        <f>C26</f>
        <v>0</v>
      </c>
      <c r="W26" s="191">
        <f>B26</f>
        <v>0</v>
      </c>
      <c r="Y26" s="194" t="s">
        <v>348</v>
      </c>
      <c r="Z26" s="183">
        <f>O26</f>
        <v>0</v>
      </c>
      <c r="AA26" s="183">
        <f>N26</f>
        <v>0</v>
      </c>
      <c r="AB26" s="183">
        <f>M26</f>
        <v>0</v>
      </c>
      <c r="AC26" s="183">
        <f>L26</f>
        <v>0</v>
      </c>
      <c r="AD26" s="183">
        <f>K26</f>
        <v>0</v>
      </c>
      <c r="AE26" s="191">
        <f>J26</f>
        <v>0</v>
      </c>
    </row>
  </sheetData>
  <mergeCells count="2">
    <mergeCell ref="Q2:R2"/>
    <mergeCell ref="S2:V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tacometro"/>
  <dimension ref="A1:M28"/>
  <sheetViews>
    <sheetView zoomScale="70" zoomScaleNormal="70" workbookViewId="0">
      <selection activeCell="B21" sqref="B21"/>
    </sheetView>
  </sheetViews>
  <sheetFormatPr baseColWidth="10" defaultRowHeight="12.75" x14ac:dyDescent="0.2"/>
  <cols>
    <col min="1" max="2" width="11.42578125" style="142"/>
    <col min="3" max="3" width="8.42578125" style="142" customWidth="1"/>
    <col min="4" max="4" width="11.42578125" style="142"/>
    <col min="5" max="5" width="26" style="142" customWidth="1"/>
    <col min="6" max="6" width="9.42578125" style="142" customWidth="1"/>
    <col min="7" max="7" width="26" style="142" customWidth="1"/>
    <col min="8" max="8" width="9" style="142" customWidth="1"/>
    <col min="9" max="9" width="3.7109375" style="142" customWidth="1"/>
    <col min="10" max="10" width="26" style="142" customWidth="1"/>
    <col min="11" max="11" width="9.42578125" style="142" customWidth="1"/>
    <col min="12" max="12" width="26" style="142" customWidth="1"/>
    <col min="13" max="13" width="9" style="142" customWidth="1"/>
    <col min="14" max="14" width="26.5703125" style="142" customWidth="1"/>
    <col min="15" max="16384" width="11.42578125" style="142"/>
  </cols>
  <sheetData>
    <row r="1" spans="1:13" customFormat="1" ht="13.5" thickBot="1" x14ac:dyDescent="0.25">
      <c r="E1" s="222" t="s">
        <v>7</v>
      </c>
      <c r="F1" s="230"/>
      <c r="G1" s="222" t="s">
        <v>8</v>
      </c>
      <c r="H1" s="223"/>
      <c r="I1" s="123"/>
      <c r="J1" s="222" t="s">
        <v>7</v>
      </c>
      <c r="K1" s="223"/>
      <c r="L1" s="222" t="s">
        <v>8</v>
      </c>
      <c r="M1" s="223"/>
    </row>
    <row r="2" spans="1:13" customFormat="1" x14ac:dyDescent="0.2">
      <c r="A2" s="236"/>
      <c r="B2" s="237" t="s">
        <v>10</v>
      </c>
      <c r="E2" s="224" t="s">
        <v>3</v>
      </c>
      <c r="F2" s="231">
        <f>SUM('v-cod'!C10:N10)</f>
        <v>0</v>
      </c>
      <c r="G2" s="224" t="s">
        <v>3</v>
      </c>
      <c r="H2" s="225">
        <f>SUM('v-cod'!C11:N11)</f>
        <v>0</v>
      </c>
      <c r="I2" s="123"/>
      <c r="J2" s="224" t="s">
        <v>3</v>
      </c>
      <c r="K2" s="225">
        <f>SUM('v-rk'!C10:N10)</f>
        <v>0</v>
      </c>
      <c r="L2" s="224" t="s">
        <v>3</v>
      </c>
      <c r="M2" s="225">
        <f>SUM('v-rk'!C11:N11)</f>
        <v>0</v>
      </c>
    </row>
    <row r="3" spans="1:13" customFormat="1" ht="13.5" thickBot="1" x14ac:dyDescent="0.25">
      <c r="A3" s="238">
        <v>0</v>
      </c>
      <c r="B3" s="239">
        <v>1</v>
      </c>
      <c r="E3" s="226" t="s">
        <v>9</v>
      </c>
      <c r="F3" s="232">
        <f>SUM('v-cod'!C14:N14)</f>
        <v>0</v>
      </c>
      <c r="G3" s="226" t="s">
        <v>9</v>
      </c>
      <c r="H3" s="227">
        <f>SUM('v-cod'!C15:N15)</f>
        <v>0</v>
      </c>
      <c r="I3" s="123"/>
      <c r="J3" s="226" t="s">
        <v>9</v>
      </c>
      <c r="K3" s="227">
        <f>SUM('v-rk'!C14:N14)</f>
        <v>0</v>
      </c>
      <c r="L3" s="226" t="s">
        <v>9</v>
      </c>
      <c r="M3" s="227">
        <f>SUM('v-rk'!C15:N15)</f>
        <v>0</v>
      </c>
    </row>
    <row r="4" spans="1:13" customFormat="1" ht="21" thickBot="1" x14ac:dyDescent="0.35">
      <c r="A4" s="238">
        <v>0.1</v>
      </c>
      <c r="B4" s="239">
        <v>1</v>
      </c>
      <c r="E4" s="304" t="s">
        <v>17</v>
      </c>
      <c r="F4" s="305"/>
      <c r="G4" s="304" t="s">
        <v>71</v>
      </c>
      <c r="H4" s="305"/>
      <c r="I4" s="123"/>
      <c r="J4" s="304" t="s">
        <v>17</v>
      </c>
      <c r="K4" s="305"/>
      <c r="L4" s="304" t="s">
        <v>71</v>
      </c>
      <c r="M4" s="305"/>
    </row>
    <row r="5" spans="1:13" customFormat="1" ht="15.75" thickBot="1" x14ac:dyDescent="0.35">
      <c r="A5" s="238">
        <v>0.2</v>
      </c>
      <c r="B5" s="239">
        <v>1</v>
      </c>
      <c r="E5" s="220" t="s">
        <v>1</v>
      </c>
      <c r="F5" s="221">
        <f>IF(ISERROR(F2/F3),0,F2/F3)</f>
        <v>0</v>
      </c>
      <c r="G5" s="220" t="s">
        <v>1</v>
      </c>
      <c r="H5" s="221">
        <f>IF(ISERROR(H2/H3),0,H2/H3)</f>
        <v>0</v>
      </c>
      <c r="I5" s="123"/>
      <c r="J5" s="220" t="s">
        <v>1</v>
      </c>
      <c r="K5" s="221">
        <f>IF(ISERROR(K2/K3),0,K2/K3)</f>
        <v>0</v>
      </c>
      <c r="L5" s="220" t="s">
        <v>1</v>
      </c>
      <c r="M5" s="221">
        <f>IF(ISERROR(M2/M3),0,M2/M3)</f>
        <v>0</v>
      </c>
    </row>
    <row r="6" spans="1:13" customFormat="1" x14ac:dyDescent="0.2">
      <c r="A6" s="238">
        <v>0.3</v>
      </c>
      <c r="B6" s="239">
        <v>1</v>
      </c>
      <c r="E6" s="222"/>
      <c r="F6" s="230"/>
      <c r="G6" s="222"/>
      <c r="H6" s="223"/>
      <c r="I6" s="123"/>
      <c r="J6" s="222"/>
      <c r="K6" s="223"/>
      <c r="L6" s="222"/>
      <c r="M6" s="223"/>
    </row>
    <row r="7" spans="1:13" customFormat="1" x14ac:dyDescent="0.2">
      <c r="A7" s="238">
        <v>0.4</v>
      </c>
      <c r="B7" s="239">
        <v>1</v>
      </c>
      <c r="E7" s="224" t="s">
        <v>4</v>
      </c>
      <c r="F7" s="233" t="s">
        <v>5</v>
      </c>
      <c r="G7" s="224" t="s">
        <v>4</v>
      </c>
      <c r="H7" s="228" t="s">
        <v>5</v>
      </c>
      <c r="I7" s="123"/>
      <c r="J7" s="224" t="s">
        <v>4</v>
      </c>
      <c r="K7" s="228" t="s">
        <v>5</v>
      </c>
      <c r="L7" s="224" t="s">
        <v>4</v>
      </c>
      <c r="M7" s="228" t="s">
        <v>5</v>
      </c>
    </row>
    <row r="8" spans="1:13" customFormat="1" x14ac:dyDescent="0.2">
      <c r="A8" s="238">
        <v>0.5</v>
      </c>
      <c r="B8" s="239">
        <v>1</v>
      </c>
      <c r="E8" s="224">
        <v>0</v>
      </c>
      <c r="F8" s="233">
        <v>0</v>
      </c>
      <c r="G8" s="224">
        <v>0</v>
      </c>
      <c r="H8" s="228">
        <v>0</v>
      </c>
      <c r="I8" s="123"/>
      <c r="J8" s="224">
        <v>0</v>
      </c>
      <c r="K8" s="228">
        <v>0</v>
      </c>
      <c r="L8" s="224">
        <v>0</v>
      </c>
      <c r="M8" s="228">
        <v>0</v>
      </c>
    </row>
    <row r="9" spans="1:13" customFormat="1" x14ac:dyDescent="0.2">
      <c r="A9" s="238">
        <v>0.6</v>
      </c>
      <c r="B9" s="239">
        <v>1</v>
      </c>
      <c r="E9" s="224">
        <f>-COS(F5*PI())/F11</f>
        <v>-1</v>
      </c>
      <c r="F9" s="233">
        <f>SIN(F5*PI())/F11</f>
        <v>0</v>
      </c>
      <c r="G9" s="224">
        <f>-COS(H5*PI())/H11</f>
        <v>-1</v>
      </c>
      <c r="H9" s="228">
        <f>SIN(H5*PI())/H11</f>
        <v>0</v>
      </c>
      <c r="I9" s="123"/>
      <c r="J9" s="224">
        <f>-COS(K5*PI())/K11</f>
        <v>-1</v>
      </c>
      <c r="K9" s="228">
        <f>SIN(K5*PI())/K11</f>
        <v>0</v>
      </c>
      <c r="L9" s="224">
        <f>-COS(M5*PI())/M11</f>
        <v>-1</v>
      </c>
      <c r="M9" s="228">
        <f>SIN(M5*PI())/M11</f>
        <v>0</v>
      </c>
    </row>
    <row r="10" spans="1:13" customFormat="1" x14ac:dyDescent="0.2">
      <c r="A10" s="238">
        <v>0.7</v>
      </c>
      <c r="B10" s="239">
        <v>1</v>
      </c>
      <c r="E10" s="224"/>
      <c r="F10" s="233"/>
      <c r="G10" s="224"/>
      <c r="H10" s="228"/>
      <c r="I10" s="123"/>
      <c r="J10" s="224"/>
      <c r="K10" s="228"/>
      <c r="L10" s="224"/>
      <c r="M10" s="228"/>
    </row>
    <row r="11" spans="1:13" customFormat="1" x14ac:dyDescent="0.2">
      <c r="A11" s="238">
        <v>0.8</v>
      </c>
      <c r="B11" s="239">
        <v>1</v>
      </c>
      <c r="E11" s="224" t="s">
        <v>6</v>
      </c>
      <c r="F11" s="233">
        <v>1</v>
      </c>
      <c r="G11" s="224" t="s">
        <v>6</v>
      </c>
      <c r="H11" s="228">
        <v>1</v>
      </c>
      <c r="I11" s="123"/>
      <c r="J11" s="224" t="s">
        <v>6</v>
      </c>
      <c r="K11" s="228">
        <v>1</v>
      </c>
      <c r="L11" s="224" t="s">
        <v>6</v>
      </c>
      <c r="M11" s="228">
        <v>1</v>
      </c>
    </row>
    <row r="12" spans="1:13" customFormat="1" x14ac:dyDescent="0.2">
      <c r="A12" s="238">
        <v>0.9</v>
      </c>
      <c r="B12" s="239">
        <v>1</v>
      </c>
      <c r="E12" s="224"/>
      <c r="F12" s="233"/>
      <c r="G12" s="224"/>
      <c r="H12" s="228"/>
      <c r="I12" s="123"/>
      <c r="J12" s="224"/>
      <c r="K12" s="228"/>
      <c r="L12" s="224"/>
      <c r="M12" s="228"/>
    </row>
    <row r="13" spans="1:13" customFormat="1" ht="13.5" thickBot="1" x14ac:dyDescent="0.25">
      <c r="A13" s="240">
        <v>1</v>
      </c>
      <c r="B13" s="241">
        <v>10</v>
      </c>
      <c r="E13" s="226"/>
      <c r="F13" s="234"/>
      <c r="G13" s="226"/>
      <c r="H13" s="229"/>
      <c r="I13" s="123"/>
      <c r="J13" s="226"/>
      <c r="K13" s="229"/>
      <c r="L13" s="226"/>
      <c r="M13" s="229"/>
    </row>
    <row r="16" spans="1:13" x14ac:dyDescent="0.2">
      <c r="D16" s="217"/>
    </row>
    <row r="18" spans="1:13" ht="16.5" thickBot="1" x14ac:dyDescent="0.3">
      <c r="A18" s="216" t="s">
        <v>355</v>
      </c>
    </row>
    <row r="19" spans="1:13" customFormat="1" x14ac:dyDescent="0.2">
      <c r="A19" s="218" t="s">
        <v>356</v>
      </c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7"/>
    </row>
    <row r="20" spans="1:13" customFormat="1" x14ac:dyDescent="0.2">
      <c r="A20" s="198">
        <f>'v-cod'!B9</f>
        <v>41548</v>
      </c>
      <c r="B20" s="199">
        <f>'v-cod'!C9</f>
        <v>41579</v>
      </c>
      <c r="C20" s="199">
        <f>'v-cod'!D9</f>
        <v>41609</v>
      </c>
      <c r="D20" s="199">
        <f>'v-cod'!E9</f>
        <v>41640</v>
      </c>
      <c r="E20" s="199">
        <f>'v-cod'!F9</f>
        <v>41671</v>
      </c>
      <c r="F20" s="199">
        <f>'v-cod'!G9</f>
        <v>41699</v>
      </c>
      <c r="G20" s="199">
        <f>'v-cod'!H9</f>
        <v>41730</v>
      </c>
      <c r="H20" s="199">
        <f>'v-cod'!I9</f>
        <v>41760</v>
      </c>
      <c r="I20" s="199">
        <f>'v-cod'!J9</f>
        <v>41791</v>
      </c>
      <c r="J20" s="199">
        <f>'v-cod'!K9</f>
        <v>41821</v>
      </c>
      <c r="K20" s="199">
        <f>'v-cod'!L9</f>
        <v>41852</v>
      </c>
      <c r="L20" s="199">
        <f>'v-cod'!M9</f>
        <v>41883</v>
      </c>
      <c r="M20" s="200">
        <f>'v-cod'!N9</f>
        <v>41913</v>
      </c>
    </row>
    <row r="21" spans="1:13" customFormat="1" x14ac:dyDescent="0.2">
      <c r="A21" s="201" t="str">
        <f>IFERROR(IF('v-cod'!FcRBUNeg=1,'v-cod'!B10,IF('v-cod'!FcRBUNeg=2,'v-cod'!B11,'v-cod'!B12)),0)</f>
        <v/>
      </c>
      <c r="B21" s="202" t="str">
        <f>IFERROR(IF('v-cod'!FcRBUNeg=1,'v-cod'!C10,IF('v-cod'!FcRBUNeg=2,'v-cod'!C11,'v-cod'!C12)),0)</f>
        <v/>
      </c>
      <c r="C21" s="202" t="str">
        <f>IFERROR(IF('v-cod'!FcRBUNeg=1,'v-cod'!D10,IF('v-cod'!FcRBUNeg=2,'v-cod'!D11,'v-cod'!D12)),0)</f>
        <v/>
      </c>
      <c r="D21" s="202" t="str">
        <f>IFERROR(IF('v-cod'!FcRBUNeg=1,'v-cod'!E10,IF('v-cod'!FcRBUNeg=2,'v-cod'!E11,'v-cod'!E12)),0)</f>
        <v/>
      </c>
      <c r="E21" s="202" t="str">
        <f>IFERROR(IF('v-cod'!FcRBUNeg=1,'v-cod'!F10,IF('v-cod'!FcRBUNeg=2,'v-cod'!F11,'v-cod'!F12)),0)</f>
        <v/>
      </c>
      <c r="F21" s="202" t="str">
        <f>IFERROR(IF('v-cod'!FcRBUNeg=1,'v-cod'!G10,IF('v-cod'!FcRBUNeg=2,'v-cod'!G11,'v-cod'!G12)),0)</f>
        <v/>
      </c>
      <c r="G21" s="202" t="str">
        <f>IFERROR(IF('v-cod'!FcRBUNeg=1,'v-cod'!H10,IF('v-cod'!FcRBUNeg=2,'v-cod'!H11,'v-cod'!H12)),0)</f>
        <v/>
      </c>
      <c r="H21" s="202" t="str">
        <f>IFERROR(IF('v-cod'!FcRBUNeg=1,'v-cod'!I10,IF('v-cod'!FcRBUNeg=2,'v-cod'!I11,'v-cod'!I12)),0)</f>
        <v/>
      </c>
      <c r="I21" s="202" t="str">
        <f>IFERROR(IF('v-cod'!FcRBUNeg=1,'v-cod'!J10,IF('v-cod'!FcRBUNeg=2,'v-cod'!J11,'v-cod'!J12)),0)</f>
        <v/>
      </c>
      <c r="J21" s="202" t="str">
        <f>IFERROR(IF('v-cod'!FcRBUNeg=1,'v-cod'!K10,IF('v-cod'!FcRBUNeg=2,'v-cod'!K11,'v-cod'!K12)),0)</f>
        <v/>
      </c>
      <c r="K21" s="202" t="str">
        <f>IFERROR(IF('v-cod'!FcRBUNeg=1,'v-cod'!L10,IF('v-cod'!FcRBUNeg=2,'v-cod'!L11,'v-cod'!L12)),0)</f>
        <v/>
      </c>
      <c r="L21" s="202" t="str">
        <f>IFERROR(IF('v-cod'!FcRBUNeg=1,'v-cod'!M10,IF('v-cod'!FcRBUNeg=2,'v-cod'!M11,'v-cod'!M12)),0)</f>
        <v/>
      </c>
      <c r="M21" s="203" t="str">
        <f>IFERROR(IF('v-cod'!FcRBUNeg=1,'v-cod'!N10,IF('v-cod'!FcRBUNeg=2,'v-cod'!N11,'v-cod'!N12)),0)</f>
        <v/>
      </c>
    </row>
    <row r="22" spans="1:13" customFormat="1" ht="13.5" thickBot="1" x14ac:dyDescent="0.25">
      <c r="A22" s="204" t="str">
        <f>IFERROR(IF('v-cod'!FcRBUNeg=1,'v-cod'!B14,IF('v-cod'!FcRBUNeg=2,'v-cod'!B15,'v-cod'!B16)),0)</f>
        <v/>
      </c>
      <c r="B22" s="205" t="str">
        <f>IFERROR(IF('v-cod'!FcRBUNeg=1,'v-cod'!C14,IF('v-cod'!FcRBUNeg=2,'v-cod'!C15,'v-cod'!C16)),0)</f>
        <v/>
      </c>
      <c r="C22" s="205" t="str">
        <f>IFERROR(IF('v-cod'!FcRBUNeg=1,'v-cod'!D14,IF('v-cod'!FcRBUNeg=2,'v-cod'!D15,'v-cod'!D16)),0)</f>
        <v/>
      </c>
      <c r="D22" s="205" t="str">
        <f>IFERROR(IF('v-cod'!FcRBUNeg=1,'v-cod'!E14,IF('v-cod'!FcRBUNeg=2,'v-cod'!E15,'v-cod'!E16)),0)</f>
        <v/>
      </c>
      <c r="E22" s="205" t="str">
        <f>IFERROR(IF('v-cod'!FcRBUNeg=1,'v-cod'!F14,IF('v-cod'!FcRBUNeg=2,'v-cod'!F15,'v-cod'!F16)),0)</f>
        <v/>
      </c>
      <c r="F22" s="205" t="str">
        <f>IFERROR(IF('v-cod'!FcRBUNeg=1,'v-cod'!G14,IF('v-cod'!FcRBUNeg=2,'v-cod'!G15,'v-cod'!G16)),0)</f>
        <v/>
      </c>
      <c r="G22" s="205" t="str">
        <f>IFERROR(IF('v-cod'!FcRBUNeg=1,'v-cod'!H14,IF('v-cod'!FcRBUNeg=2,'v-cod'!H15,'v-cod'!H16)),0)</f>
        <v/>
      </c>
      <c r="H22" s="205" t="str">
        <f>IFERROR(IF('v-cod'!FcRBUNeg=1,'v-cod'!I14,IF('v-cod'!FcRBUNeg=2,'v-cod'!I15,'v-cod'!I16)),0)</f>
        <v/>
      </c>
      <c r="I22" s="205" t="str">
        <f>IFERROR(IF('v-cod'!FcRBUNeg=1,'v-cod'!J14,IF('v-cod'!FcRBUNeg=2,'v-cod'!J15,'v-cod'!J16)),0)</f>
        <v/>
      </c>
      <c r="J22" s="205" t="str">
        <f>IFERROR(IF('v-cod'!FcRBUNeg=1,'v-cod'!K14,IF('v-cod'!FcRBUNeg=2,'v-cod'!K15,'v-cod'!K16)),0)</f>
        <v/>
      </c>
      <c r="K22" s="205" t="str">
        <f>IFERROR(IF('v-cod'!FcRBUNeg=1,'v-cod'!L14,IF('v-cod'!FcRBUNeg=2,'v-cod'!L15,'v-cod'!L16)),0)</f>
        <v/>
      </c>
      <c r="L22" s="205" t="str">
        <f>IFERROR(IF('v-cod'!FcRBUNeg=1,'v-cod'!M14,IF('v-cod'!FcRBUNeg=2,'v-cod'!M15,'v-cod'!M16)),0)</f>
        <v/>
      </c>
      <c r="M22" s="206" t="str">
        <f>IFERROR(IF('v-cod'!FcRBUNeg=1,'v-cod'!N14,IF('v-cod'!FcRBUNeg=2,'v-cod'!N15,'v-cod'!N16)),0)</f>
        <v/>
      </c>
    </row>
    <row r="24" spans="1:13" ht="13.5" thickBot="1" x14ac:dyDescent="0.25"/>
    <row r="25" spans="1:13" customFormat="1" x14ac:dyDescent="0.2">
      <c r="A25" s="218" t="s">
        <v>357</v>
      </c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7"/>
    </row>
    <row r="26" spans="1:13" s="78" customFormat="1" x14ac:dyDescent="0.2">
      <c r="A26" s="207">
        <f>'v-rk'!B9</f>
        <v>41548</v>
      </c>
      <c r="B26" s="208">
        <f>'v-rk'!C9</f>
        <v>41579</v>
      </c>
      <c r="C26" s="208">
        <f>'v-rk'!D9</f>
        <v>41609</v>
      </c>
      <c r="D26" s="208">
        <f>'v-rk'!E9</f>
        <v>41640</v>
      </c>
      <c r="E26" s="208">
        <f>'v-rk'!F9</f>
        <v>41671</v>
      </c>
      <c r="F26" s="208">
        <f>'v-rk'!G9</f>
        <v>41699</v>
      </c>
      <c r="G26" s="208">
        <f>'v-rk'!H9</f>
        <v>41730</v>
      </c>
      <c r="H26" s="208">
        <f>'v-rk'!I9</f>
        <v>41760</v>
      </c>
      <c r="I26" s="208">
        <f>'v-rk'!J9</f>
        <v>41791</v>
      </c>
      <c r="J26" s="208">
        <f>'v-rk'!K9</f>
        <v>41821</v>
      </c>
      <c r="K26" s="208">
        <f>'v-rk'!L9</f>
        <v>41852</v>
      </c>
      <c r="L26" s="208">
        <f>'v-rk'!M9</f>
        <v>41883</v>
      </c>
      <c r="M26" s="209">
        <f>'v-rk'!N9</f>
        <v>41913</v>
      </c>
    </row>
    <row r="27" spans="1:13" customFormat="1" x14ac:dyDescent="0.2">
      <c r="A27" s="210" t="str">
        <f>IFERROR(IF('v-rk'!FcRBUNeg=1,'v-rk'!B10,IF('v-rk'!FcRBUNeg=2,'v-rk'!B11,'v-rk'!B12)),0)</f>
        <v/>
      </c>
      <c r="B27" s="211" t="str">
        <f>IFERROR(IF('v-rk'!FcRBUNeg=1,'v-rk'!C10,IF('v-rk'!FcRBUNeg=2,'v-rk'!C11,'v-rk'!C12)),0)</f>
        <v/>
      </c>
      <c r="C27" s="211" t="str">
        <f>IFERROR(IF('v-rk'!FcRBUNeg=1,'v-rk'!D10,IF('v-rk'!FcRBUNeg=2,'v-rk'!D11,'v-rk'!D12)),0)</f>
        <v/>
      </c>
      <c r="D27" s="211" t="str">
        <f>IFERROR(IF('v-rk'!FcRBUNeg=1,'v-rk'!E10,IF('v-rk'!FcRBUNeg=2,'v-rk'!E11,'v-rk'!E12)),0)</f>
        <v/>
      </c>
      <c r="E27" s="211" t="str">
        <f>IFERROR(IF('v-rk'!FcRBUNeg=1,'v-rk'!F10,IF('v-rk'!FcRBUNeg=2,'v-rk'!F11,'v-rk'!F12)),0)</f>
        <v/>
      </c>
      <c r="F27" s="211" t="str">
        <f>IFERROR(IF('v-rk'!FcRBUNeg=1,'v-rk'!G10,IF('v-rk'!FcRBUNeg=2,'v-rk'!G11,'v-rk'!G12)),0)</f>
        <v/>
      </c>
      <c r="G27" s="211" t="str">
        <f>IFERROR(IF('v-rk'!FcRBUNeg=1,'v-rk'!H10,IF('v-rk'!FcRBUNeg=2,'v-rk'!H11,'v-rk'!H12)),0)</f>
        <v/>
      </c>
      <c r="H27" s="211" t="str">
        <f>IFERROR(IF('v-rk'!FcRBUNeg=1,'v-rk'!I10,IF('v-rk'!FcRBUNeg=2,'v-rk'!I11,'v-rk'!I12)),0)</f>
        <v/>
      </c>
      <c r="I27" s="211" t="str">
        <f>IFERROR(IF('v-rk'!FcRBUNeg=1,'v-rk'!J10,IF('v-rk'!FcRBUNeg=2,'v-rk'!J11,'v-rk'!J12)),0)</f>
        <v/>
      </c>
      <c r="J27" s="211" t="str">
        <f>IFERROR(IF('v-rk'!FcRBUNeg=1,'v-rk'!K10,IF('v-rk'!FcRBUNeg=2,'v-rk'!K11,'v-rk'!K12)),0)</f>
        <v/>
      </c>
      <c r="K27" s="211" t="str">
        <f>IFERROR(IF('v-rk'!FcRBUNeg=1,'v-rk'!L10,IF('v-rk'!FcRBUNeg=2,'v-rk'!L11,'v-rk'!L12)),0)</f>
        <v/>
      </c>
      <c r="L27" s="211" t="str">
        <f>IFERROR(IF('v-rk'!FcRBUNeg=1,'v-rk'!M10,IF('v-rk'!FcRBUNeg=2,'v-rk'!M11,'v-rk'!M12)),0)</f>
        <v/>
      </c>
      <c r="M27" s="212" t="str">
        <f>IFERROR(IF('v-rk'!FcRBUNeg=1,'v-rk'!N10,IF('v-rk'!FcRBUNeg=2,'v-rk'!N11,'v-rk'!N12)),0)</f>
        <v/>
      </c>
    </row>
    <row r="28" spans="1:13" customFormat="1" ht="13.5" thickBot="1" x14ac:dyDescent="0.25">
      <c r="A28" s="213" t="str">
        <f>IFERROR(IF('v-rk'!FcRBUNeg=1,'v-rk'!B14,IF('v-rk'!FcRBUNeg=2,'v-rk'!B15,'v-rk'!B16)),0)</f>
        <v/>
      </c>
      <c r="B28" s="214" t="str">
        <f>IFERROR(IF('v-rk'!FcRBUNeg=1,'v-rk'!C14,IF('v-rk'!FcRBUNeg=2,'v-rk'!C15,'v-rk'!C16)),0)</f>
        <v/>
      </c>
      <c r="C28" s="214" t="str">
        <f>IFERROR(IF('v-rk'!FcRBUNeg=1,'v-rk'!D14,IF('v-rk'!FcRBUNeg=2,'v-rk'!D15,'v-rk'!D16)),0)</f>
        <v/>
      </c>
      <c r="D28" s="214" t="str">
        <f>IFERROR(IF('v-rk'!FcRBUNeg=1,'v-rk'!E14,IF('v-rk'!FcRBUNeg=2,'v-rk'!E15,'v-rk'!E16)),0)</f>
        <v/>
      </c>
      <c r="E28" s="214" t="str">
        <f>IFERROR(IF('v-rk'!FcRBUNeg=1,'v-rk'!F14,IF('v-rk'!FcRBUNeg=2,'v-rk'!F15,'v-rk'!F16)),0)</f>
        <v/>
      </c>
      <c r="F28" s="214" t="str">
        <f>IFERROR(IF('v-rk'!FcRBUNeg=1,'v-rk'!G14,IF('v-rk'!FcRBUNeg=2,'v-rk'!G15,'v-rk'!G16)),0)</f>
        <v/>
      </c>
      <c r="G28" s="214" t="str">
        <f>IFERROR(IF('v-rk'!FcRBUNeg=1,'v-rk'!H14,IF('v-rk'!FcRBUNeg=2,'v-rk'!H15,'v-rk'!H16)),0)</f>
        <v/>
      </c>
      <c r="H28" s="214" t="str">
        <f>IFERROR(IF('v-rk'!FcRBUNeg=1,'v-rk'!I14,IF('v-rk'!FcRBUNeg=2,'v-rk'!I15,'v-rk'!I16)),0)</f>
        <v/>
      </c>
      <c r="I28" s="214" t="str">
        <f>IFERROR(IF('v-rk'!FcRBUNeg=1,'v-rk'!J14,IF('v-rk'!FcRBUNeg=2,'v-rk'!J15,'v-rk'!J16)),0)</f>
        <v/>
      </c>
      <c r="J28" s="214" t="str">
        <f>IFERROR(IF('v-rk'!FcRBUNeg=1,'v-rk'!K14,IF('v-rk'!FcRBUNeg=2,'v-rk'!K15,'v-rk'!K16)),0)</f>
        <v/>
      </c>
      <c r="K28" s="214" t="str">
        <f>IFERROR(IF('v-rk'!FcRBUNeg=1,'v-rk'!L14,IF('v-rk'!FcRBUNeg=2,'v-rk'!L15,'v-rk'!L16)),0)</f>
        <v/>
      </c>
      <c r="L28" s="214" t="str">
        <f>IFERROR(IF('v-rk'!FcRBUNeg=1,'v-rk'!M14,IF('v-rk'!FcRBUNeg=2,'v-rk'!M15,'v-rk'!M16)),0)</f>
        <v/>
      </c>
      <c r="M28" s="215" t="str">
        <f>IFERROR(IF('v-rk'!FcRBUNeg=1,'v-rk'!N14,IF('v-rk'!FcRBUNeg=2,'v-rk'!N15,'v-rk'!N16)),0)</f>
        <v/>
      </c>
    </row>
  </sheetData>
  <mergeCells count="4">
    <mergeCell ref="E4:F4"/>
    <mergeCell ref="G4:H4"/>
    <mergeCell ref="J4:K4"/>
    <mergeCell ref="L4:M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maestro"/>
  <dimension ref="A1:AN2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13" customWidth="1"/>
    <col min="3" max="3" width="6.42578125" customWidth="1"/>
    <col min="4" max="4" width="5.5703125" customWidth="1"/>
    <col min="5" max="5" width="6.7109375" customWidth="1"/>
    <col min="6" max="6" width="9.7109375" customWidth="1"/>
    <col min="7" max="7" width="6.28515625" customWidth="1"/>
    <col min="8" max="8" width="6" customWidth="1"/>
    <col min="9" max="9" width="6.7109375" customWidth="1"/>
    <col min="11" max="11" width="8" customWidth="1"/>
    <col min="12" max="12" width="7.42578125" customWidth="1"/>
    <col min="13" max="16" width="10.28515625" customWidth="1"/>
    <col min="18" max="18" width="11.140625" customWidth="1"/>
    <col min="39" max="39" width="12" customWidth="1"/>
  </cols>
  <sheetData>
    <row r="1" spans="1:40" x14ac:dyDescent="0.2">
      <c r="A1" s="138" t="s">
        <v>81</v>
      </c>
      <c r="B1" s="138" t="s">
        <v>82</v>
      </c>
      <c r="C1" s="138" t="s">
        <v>83</v>
      </c>
      <c r="D1" s="138" t="s">
        <v>84</v>
      </c>
      <c r="E1" s="138" t="s">
        <v>85</v>
      </c>
      <c r="F1" s="138" t="s">
        <v>86</v>
      </c>
      <c r="G1" s="138" t="s">
        <v>62</v>
      </c>
      <c r="H1" s="138" t="s">
        <v>69</v>
      </c>
      <c r="I1" s="138" t="s">
        <v>27</v>
      </c>
      <c r="J1" s="138" t="s">
        <v>87</v>
      </c>
      <c r="K1" s="138" t="s">
        <v>88</v>
      </c>
      <c r="L1" s="138" t="s">
        <v>89</v>
      </c>
      <c r="M1" s="138" t="s">
        <v>110</v>
      </c>
      <c r="N1" s="138" t="s">
        <v>111</v>
      </c>
      <c r="O1" s="138" t="s">
        <v>112</v>
      </c>
      <c r="P1" s="138" t="s">
        <v>113</v>
      </c>
      <c r="Q1" s="138" t="s">
        <v>20</v>
      </c>
      <c r="R1" s="138" t="s">
        <v>21</v>
      </c>
      <c r="S1" s="138" t="s">
        <v>90</v>
      </c>
      <c r="T1" s="138" t="s">
        <v>91</v>
      </c>
      <c r="U1" s="138" t="s">
        <v>92</v>
      </c>
      <c r="V1" s="138" t="s">
        <v>93</v>
      </c>
      <c r="W1" s="138" t="s">
        <v>94</v>
      </c>
      <c r="X1" s="138" t="s">
        <v>95</v>
      </c>
      <c r="Y1" s="138" t="s">
        <v>96</v>
      </c>
      <c r="Z1" s="138" t="s">
        <v>97</v>
      </c>
      <c r="AA1" s="138" t="s">
        <v>98</v>
      </c>
      <c r="AB1" s="138" t="s">
        <v>99</v>
      </c>
      <c r="AC1" s="138" t="s">
        <v>100</v>
      </c>
      <c r="AD1" s="138" t="s">
        <v>101</v>
      </c>
      <c r="AE1" s="138" t="s">
        <v>102</v>
      </c>
      <c r="AF1" s="138" t="s">
        <v>103</v>
      </c>
      <c r="AG1" s="138" t="s">
        <v>104</v>
      </c>
      <c r="AH1" s="138" t="s">
        <v>105</v>
      </c>
      <c r="AI1" s="138" t="s">
        <v>106</v>
      </c>
      <c r="AJ1" s="138" t="s">
        <v>107</v>
      </c>
      <c r="AK1" s="138" t="s">
        <v>108</v>
      </c>
      <c r="AL1" s="138" t="s">
        <v>109</v>
      </c>
      <c r="AM1" s="255" t="s">
        <v>363</v>
      </c>
      <c r="AN1" s="255" t="s">
        <v>364</v>
      </c>
    </row>
    <row r="2" spans="1:40" x14ac:dyDescent="0.2">
      <c r="A2" s="143"/>
      <c r="AM2">
        <f>IFERROR(INDEX(Venta!FcDetalle,MATCH(A2,Venta!FcClaveItem,0),35),0)</f>
        <v>0</v>
      </c>
      <c r="AN2">
        <f>IFERROR(RANK(AM2,FcImporteRK,0),0)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venta"/>
  <dimension ref="A1:DE3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9.5703125" customWidth="1"/>
    <col min="3" max="3" width="6.28515625" customWidth="1"/>
    <col min="4" max="4" width="5.85546875" customWidth="1"/>
    <col min="5" max="5" width="3.85546875" customWidth="1"/>
    <col min="6" max="6" width="14.5703125" customWidth="1"/>
  </cols>
  <sheetData>
    <row r="1" spans="1:109" x14ac:dyDescent="0.2">
      <c r="A1" s="139" t="s">
        <v>125</v>
      </c>
      <c r="B1" s="139" t="s">
        <v>81</v>
      </c>
      <c r="C1" s="139" t="s">
        <v>114</v>
      </c>
      <c r="D1" s="139" t="s">
        <v>212</v>
      </c>
      <c r="E1" s="139" t="s">
        <v>115</v>
      </c>
      <c r="F1" s="139" t="s">
        <v>116</v>
      </c>
      <c r="G1" s="140" t="s">
        <v>117</v>
      </c>
      <c r="H1" s="140" t="s">
        <v>118</v>
      </c>
      <c r="I1" s="140" t="s">
        <v>119</v>
      </c>
      <c r="J1" s="140" t="s">
        <v>120</v>
      </c>
      <c r="K1" s="140" t="s">
        <v>121</v>
      </c>
      <c r="L1" s="140" t="s">
        <v>122</v>
      </c>
      <c r="M1" s="140" t="s">
        <v>123</v>
      </c>
      <c r="N1" s="140" t="s">
        <v>124</v>
      </c>
      <c r="O1" s="140" t="s">
        <v>126</v>
      </c>
      <c r="P1" s="140" t="s">
        <v>127</v>
      </c>
      <c r="Q1" s="140" t="s">
        <v>128</v>
      </c>
      <c r="R1" s="140" t="s">
        <v>129</v>
      </c>
      <c r="S1" s="140" t="s">
        <v>130</v>
      </c>
      <c r="T1" s="140" t="s">
        <v>350</v>
      </c>
      <c r="U1" s="141" t="s">
        <v>131</v>
      </c>
      <c r="V1" s="141" t="s">
        <v>132</v>
      </c>
      <c r="W1" s="141" t="s">
        <v>133</v>
      </c>
      <c r="X1" s="141" t="s">
        <v>134</v>
      </c>
      <c r="Y1" s="141" t="s">
        <v>135</v>
      </c>
      <c r="Z1" s="141" t="s">
        <v>136</v>
      </c>
      <c r="AA1" s="141" t="s">
        <v>137</v>
      </c>
      <c r="AB1" s="141" t="s">
        <v>138</v>
      </c>
      <c r="AC1" s="141" t="s">
        <v>139</v>
      </c>
      <c r="AD1" s="141" t="s">
        <v>140</v>
      </c>
      <c r="AE1" s="141" t="s">
        <v>141</v>
      </c>
      <c r="AF1" s="141" t="s">
        <v>142</v>
      </c>
      <c r="AG1" s="141" t="s">
        <v>143</v>
      </c>
      <c r="AH1" s="141" t="s">
        <v>144</v>
      </c>
      <c r="AI1" s="141" t="s">
        <v>145</v>
      </c>
      <c r="AJ1" s="140" t="s">
        <v>146</v>
      </c>
      <c r="AK1" s="140" t="s">
        <v>147</v>
      </c>
      <c r="AL1" s="140" t="s">
        <v>148</v>
      </c>
      <c r="AM1" s="140" t="s">
        <v>149</v>
      </c>
      <c r="AN1" s="140" t="s">
        <v>150</v>
      </c>
      <c r="AO1" s="140" t="s">
        <v>151</v>
      </c>
      <c r="AP1" s="140" t="s">
        <v>152</v>
      </c>
      <c r="AQ1" s="140" t="s">
        <v>153</v>
      </c>
      <c r="AR1" s="140" t="s">
        <v>154</v>
      </c>
      <c r="AS1" s="140" t="s">
        <v>155</v>
      </c>
      <c r="AT1" s="140" t="s">
        <v>156</v>
      </c>
      <c r="AU1" s="140" t="s">
        <v>157</v>
      </c>
      <c r="AV1" s="140" t="s">
        <v>158</v>
      </c>
      <c r="AW1" s="141" t="s">
        <v>159</v>
      </c>
      <c r="AX1" s="141" t="s">
        <v>160</v>
      </c>
      <c r="AY1" s="141" t="s">
        <v>161</v>
      </c>
      <c r="AZ1" s="141" t="s">
        <v>162</v>
      </c>
      <c r="BA1" s="141" t="s">
        <v>163</v>
      </c>
      <c r="BB1" s="141" t="s">
        <v>164</v>
      </c>
      <c r="BC1" s="141" t="s">
        <v>165</v>
      </c>
      <c r="BD1" s="141" t="s">
        <v>166</v>
      </c>
      <c r="BE1" s="141" t="s">
        <v>167</v>
      </c>
      <c r="BF1" s="141" t="s">
        <v>168</v>
      </c>
      <c r="BG1" s="141" t="s">
        <v>169</v>
      </c>
      <c r="BH1" s="141" t="s">
        <v>170</v>
      </c>
      <c r="BI1" s="141" t="s">
        <v>171</v>
      </c>
      <c r="BJ1" s="140" t="s">
        <v>172</v>
      </c>
      <c r="BK1" s="140" t="s">
        <v>173</v>
      </c>
      <c r="BL1" s="140" t="s">
        <v>174</v>
      </c>
      <c r="BM1" s="140" t="s">
        <v>175</v>
      </c>
      <c r="BN1" s="140" t="s">
        <v>176</v>
      </c>
      <c r="BO1" s="140" t="s">
        <v>177</v>
      </c>
      <c r="BP1" s="140" t="s">
        <v>178</v>
      </c>
      <c r="BQ1" s="140" t="s">
        <v>179</v>
      </c>
      <c r="BR1" s="140" t="s">
        <v>180</v>
      </c>
      <c r="BS1" s="140" t="s">
        <v>181</v>
      </c>
      <c r="BT1" s="140" t="s">
        <v>182</v>
      </c>
      <c r="BU1" s="140" t="s">
        <v>183</v>
      </c>
      <c r="BV1" s="140" t="s">
        <v>184</v>
      </c>
      <c r="BW1" s="140" t="s">
        <v>185</v>
      </c>
      <c r="BX1" s="140" t="s">
        <v>186</v>
      </c>
      <c r="BY1" s="140" t="s">
        <v>187</v>
      </c>
      <c r="BZ1" s="140" t="s">
        <v>188</v>
      </c>
      <c r="CA1" s="140" t="s">
        <v>189</v>
      </c>
      <c r="CB1" s="140" t="s">
        <v>213</v>
      </c>
      <c r="CC1" s="140" t="s">
        <v>190</v>
      </c>
      <c r="CD1" s="141" t="s">
        <v>191</v>
      </c>
      <c r="CE1" s="141" t="s">
        <v>192</v>
      </c>
      <c r="CF1" s="141" t="s">
        <v>193</v>
      </c>
      <c r="CG1" s="141" t="s">
        <v>194</v>
      </c>
      <c r="CH1" s="141" t="s">
        <v>195</v>
      </c>
      <c r="CI1" s="141" t="s">
        <v>214</v>
      </c>
      <c r="CJ1" s="141" t="s">
        <v>196</v>
      </c>
      <c r="CK1" s="140" t="s">
        <v>197</v>
      </c>
      <c r="CL1" s="140" t="s">
        <v>198</v>
      </c>
      <c r="CM1" s="140" t="s">
        <v>199</v>
      </c>
      <c r="CN1" s="140" t="s">
        <v>200</v>
      </c>
      <c r="CO1" s="140" t="s">
        <v>201</v>
      </c>
      <c r="CP1" s="140" t="s">
        <v>215</v>
      </c>
      <c r="CQ1" s="140" t="s">
        <v>196</v>
      </c>
      <c r="CR1" s="141" t="s">
        <v>202</v>
      </c>
      <c r="CS1" s="141" t="s">
        <v>203</v>
      </c>
      <c r="CT1" s="141" t="s">
        <v>204</v>
      </c>
      <c r="CU1" s="141" t="s">
        <v>205</v>
      </c>
      <c r="CV1" s="141" t="s">
        <v>206</v>
      </c>
      <c r="CW1" s="141" t="s">
        <v>216</v>
      </c>
      <c r="CX1" s="141" t="s">
        <v>196</v>
      </c>
      <c r="CY1" s="140" t="s">
        <v>207</v>
      </c>
      <c r="CZ1" s="140" t="s">
        <v>208</v>
      </c>
      <c r="DA1" s="140" t="s">
        <v>209</v>
      </c>
      <c r="DB1" s="140" t="s">
        <v>210</v>
      </c>
      <c r="DC1" s="140" t="s">
        <v>211</v>
      </c>
      <c r="DD1" s="140" t="s">
        <v>217</v>
      </c>
      <c r="DE1" s="140" t="s">
        <v>196</v>
      </c>
    </row>
    <row r="2" spans="1:109" x14ac:dyDescent="0.2">
      <c r="B2" s="143"/>
      <c r="C2" s="143"/>
      <c r="D2" s="143"/>
      <c r="E2" s="143"/>
      <c r="F2" s="143"/>
    </row>
    <row r="3" spans="1:109" x14ac:dyDescent="0.2">
      <c r="B3" s="143"/>
      <c r="F3" s="1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proy"/>
  <dimension ref="A1:Q1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10" customWidth="1"/>
    <col min="3" max="3" width="6" customWidth="1"/>
  </cols>
  <sheetData>
    <row r="1" spans="1:17" x14ac:dyDescent="0.2">
      <c r="A1" s="138" t="s">
        <v>218</v>
      </c>
      <c r="B1" s="138" t="s">
        <v>81</v>
      </c>
      <c r="C1" s="138" t="s">
        <v>219</v>
      </c>
      <c r="D1" s="138" t="s">
        <v>116</v>
      </c>
      <c r="E1" s="140" t="s">
        <v>117</v>
      </c>
      <c r="F1" s="140" t="s">
        <v>118</v>
      </c>
      <c r="G1" s="140" t="s">
        <v>119</v>
      </c>
      <c r="H1" s="140" t="s">
        <v>120</v>
      </c>
      <c r="I1" s="140" t="s">
        <v>121</v>
      </c>
      <c r="J1" s="140" t="s">
        <v>122</v>
      </c>
      <c r="K1" s="140" t="s">
        <v>123</v>
      </c>
      <c r="L1" s="140" t="s">
        <v>124</v>
      </c>
      <c r="M1" s="140" t="s">
        <v>126</v>
      </c>
      <c r="N1" s="140" t="s">
        <v>127</v>
      </c>
      <c r="O1" s="140" t="s">
        <v>128</v>
      </c>
      <c r="P1" s="140" t="s">
        <v>129</v>
      </c>
      <c r="Q1" s="140" t="s">
        <v>130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g"/>
  <dimension ref="A1:O2"/>
  <sheetViews>
    <sheetView zoomScale="85" zoomScaleNormal="85" workbookViewId="0">
      <selection activeCell="A2" sqref="A2"/>
    </sheetView>
  </sheetViews>
  <sheetFormatPr baseColWidth="10" defaultRowHeight="12.75" x14ac:dyDescent="0.2"/>
  <sheetData>
    <row r="1" spans="1:15" x14ac:dyDescent="0.2">
      <c r="A1" s="138" t="s">
        <v>220</v>
      </c>
      <c r="B1" s="138" t="s">
        <v>81</v>
      </c>
      <c r="C1" s="140" t="s">
        <v>221</v>
      </c>
      <c r="D1" s="140" t="s">
        <v>222</v>
      </c>
      <c r="E1" s="140" t="s">
        <v>223</v>
      </c>
      <c r="F1" s="140" t="s">
        <v>224</v>
      </c>
      <c r="G1" s="140" t="s">
        <v>225</v>
      </c>
      <c r="H1" s="140" t="s">
        <v>226</v>
      </c>
      <c r="I1" s="140" t="s">
        <v>227</v>
      </c>
      <c r="J1" s="140" t="s">
        <v>228</v>
      </c>
      <c r="K1" s="140" t="s">
        <v>229</v>
      </c>
      <c r="L1" s="140" t="s">
        <v>230</v>
      </c>
      <c r="M1" s="140" t="s">
        <v>231</v>
      </c>
      <c r="N1" s="140" t="s">
        <v>232</v>
      </c>
      <c r="O1" s="140" t="s">
        <v>233</v>
      </c>
    </row>
    <row r="2" spans="1:15" x14ac:dyDescent="0.2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stockbo"/>
  <dimension ref="A1:BB1"/>
  <sheetViews>
    <sheetView zoomScale="85" zoomScaleNormal="85" workbookViewId="0">
      <selection activeCell="F1" sqref="F1"/>
    </sheetView>
  </sheetViews>
  <sheetFormatPr baseColWidth="10" defaultRowHeight="12.75" x14ac:dyDescent="0.2"/>
  <cols>
    <col min="1" max="1" width="8" customWidth="1"/>
    <col min="2" max="2" width="9.28515625" customWidth="1"/>
    <col min="3" max="15" width="8.7109375" customWidth="1"/>
    <col min="16" max="28" width="7.7109375" customWidth="1"/>
    <col min="29" max="54" width="8.7109375" customWidth="1"/>
  </cols>
  <sheetData>
    <row r="1" spans="1:54" x14ac:dyDescent="0.2">
      <c r="A1" s="144" t="s">
        <v>220</v>
      </c>
      <c r="B1" s="144" t="s">
        <v>81</v>
      </c>
      <c r="C1" s="140" t="s">
        <v>234</v>
      </c>
      <c r="D1" s="140" t="s">
        <v>235</v>
      </c>
      <c r="E1" s="140" t="s">
        <v>236</v>
      </c>
      <c r="F1" s="140" t="s">
        <v>237</v>
      </c>
      <c r="G1" s="140" t="s">
        <v>238</v>
      </c>
      <c r="H1" s="140" t="s">
        <v>239</v>
      </c>
      <c r="I1" s="140" t="s">
        <v>240</v>
      </c>
      <c r="J1" s="140" t="s">
        <v>241</v>
      </c>
      <c r="K1" s="140" t="s">
        <v>242</v>
      </c>
      <c r="L1" s="140" t="s">
        <v>243</v>
      </c>
      <c r="M1" s="140" t="s">
        <v>244</v>
      </c>
      <c r="N1" s="140" t="s">
        <v>245</v>
      </c>
      <c r="O1" s="140" t="s">
        <v>246</v>
      </c>
      <c r="P1" s="145" t="s">
        <v>247</v>
      </c>
      <c r="Q1" s="145" t="s">
        <v>248</v>
      </c>
      <c r="R1" s="145" t="s">
        <v>249</v>
      </c>
      <c r="S1" s="145" t="s">
        <v>250</v>
      </c>
      <c r="T1" s="145" t="s">
        <v>251</v>
      </c>
      <c r="U1" s="145" t="s">
        <v>252</v>
      </c>
      <c r="V1" s="145" t="s">
        <v>253</v>
      </c>
      <c r="W1" s="145" t="s">
        <v>254</v>
      </c>
      <c r="X1" s="145" t="s">
        <v>255</v>
      </c>
      <c r="Y1" s="145" t="s">
        <v>256</v>
      </c>
      <c r="Z1" s="145" t="s">
        <v>257</v>
      </c>
      <c r="AA1" s="145" t="s">
        <v>258</v>
      </c>
      <c r="AB1" s="145" t="s">
        <v>259</v>
      </c>
      <c r="AC1" s="146" t="s">
        <v>260</v>
      </c>
      <c r="AD1" s="146" t="s">
        <v>261</v>
      </c>
      <c r="AE1" s="146" t="s">
        <v>262</v>
      </c>
      <c r="AF1" s="146" t="s">
        <v>263</v>
      </c>
      <c r="AG1" s="146" t="s">
        <v>264</v>
      </c>
      <c r="AH1" s="146" t="s">
        <v>265</v>
      </c>
      <c r="AI1" s="146" t="s">
        <v>266</v>
      </c>
      <c r="AJ1" s="146" t="s">
        <v>267</v>
      </c>
      <c r="AK1" s="146" t="s">
        <v>268</v>
      </c>
      <c r="AL1" s="146" t="s">
        <v>269</v>
      </c>
      <c r="AM1" s="146" t="s">
        <v>270</v>
      </c>
      <c r="AN1" s="146" t="s">
        <v>271</v>
      </c>
      <c r="AO1" s="146" t="s">
        <v>272</v>
      </c>
      <c r="AP1" s="147" t="s">
        <v>273</v>
      </c>
      <c r="AQ1" s="147" t="s">
        <v>274</v>
      </c>
      <c r="AR1" s="147" t="s">
        <v>275</v>
      </c>
      <c r="AS1" s="147" t="s">
        <v>276</v>
      </c>
      <c r="AT1" s="147" t="s">
        <v>277</v>
      </c>
      <c r="AU1" s="147" t="s">
        <v>278</v>
      </c>
      <c r="AV1" s="147" t="s">
        <v>279</v>
      </c>
      <c r="AW1" s="147" t="s">
        <v>280</v>
      </c>
      <c r="AX1" s="147" t="s">
        <v>281</v>
      </c>
      <c r="AY1" s="147" t="s">
        <v>282</v>
      </c>
      <c r="AZ1" s="147" t="s">
        <v>283</v>
      </c>
      <c r="BA1" s="147" t="s">
        <v>284</v>
      </c>
      <c r="BB1" s="147" t="s">
        <v>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tipoprom"/>
  <dimension ref="A1:AB1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10.28515625" customWidth="1"/>
    <col min="2" max="2" width="11.7109375" customWidth="1"/>
    <col min="3" max="15" width="7.7109375" customWidth="1"/>
    <col min="16" max="28" width="8.7109375" customWidth="1"/>
  </cols>
  <sheetData>
    <row r="1" spans="1:28" x14ac:dyDescent="0.2">
      <c r="A1" s="138" t="s">
        <v>220</v>
      </c>
      <c r="B1" s="138" t="s">
        <v>81</v>
      </c>
      <c r="C1" s="140" t="s">
        <v>221</v>
      </c>
      <c r="D1" s="140" t="s">
        <v>222</v>
      </c>
      <c r="E1" s="140" t="s">
        <v>223</v>
      </c>
      <c r="F1" s="140" t="s">
        <v>224</v>
      </c>
      <c r="G1" s="140" t="s">
        <v>225</v>
      </c>
      <c r="H1" s="140" t="s">
        <v>226</v>
      </c>
      <c r="I1" s="140" t="s">
        <v>227</v>
      </c>
      <c r="J1" s="140" t="s">
        <v>228</v>
      </c>
      <c r="K1" s="140" t="s">
        <v>229</v>
      </c>
      <c r="L1" s="140" t="s">
        <v>230</v>
      </c>
      <c r="M1" s="140" t="s">
        <v>231</v>
      </c>
      <c r="N1" s="140" t="s">
        <v>232</v>
      </c>
      <c r="O1" s="140" t="s">
        <v>233</v>
      </c>
      <c r="P1" s="235" t="s">
        <v>221</v>
      </c>
      <c r="Q1" s="235" t="s">
        <v>222</v>
      </c>
      <c r="R1" s="235" t="s">
        <v>223</v>
      </c>
      <c r="S1" s="235" t="s">
        <v>224</v>
      </c>
      <c r="T1" s="235" t="s">
        <v>225</v>
      </c>
      <c r="U1" s="235" t="s">
        <v>226</v>
      </c>
      <c r="V1" s="235" t="s">
        <v>227</v>
      </c>
      <c r="W1" s="235" t="s">
        <v>228</v>
      </c>
      <c r="X1" s="235" t="s">
        <v>229</v>
      </c>
      <c r="Y1" s="235" t="s">
        <v>230</v>
      </c>
      <c r="Z1" s="235" t="s">
        <v>231</v>
      </c>
      <c r="AA1" s="235" t="s">
        <v>232</v>
      </c>
      <c r="AB1" s="235" t="s">
        <v>233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preciocomp"/>
  <dimension ref="A1:CT1"/>
  <sheetViews>
    <sheetView zoomScale="85" zoomScaleNormal="85" workbookViewId="0">
      <selection activeCell="L3" sqref="L3"/>
    </sheetView>
  </sheetViews>
  <sheetFormatPr baseColWidth="10" defaultRowHeight="12.75" x14ac:dyDescent="0.2"/>
  <sheetData>
    <row r="1" spans="1:98" x14ac:dyDescent="0.2">
      <c r="A1" s="148" t="s">
        <v>286</v>
      </c>
      <c r="B1" s="148" t="s">
        <v>287</v>
      </c>
      <c r="C1" s="148" t="s">
        <v>288</v>
      </c>
      <c r="D1" s="148" t="s">
        <v>289</v>
      </c>
      <c r="E1" s="141" t="s">
        <v>290</v>
      </c>
      <c r="F1" s="141" t="s">
        <v>291</v>
      </c>
      <c r="G1" s="141" t="s">
        <v>292</v>
      </c>
      <c r="H1" s="141" t="s">
        <v>293</v>
      </c>
      <c r="I1" s="141" t="s">
        <v>294</v>
      </c>
      <c r="J1" s="141" t="s">
        <v>295</v>
      </c>
      <c r="K1" s="141" t="s">
        <v>296</v>
      </c>
      <c r="L1" s="141" t="s">
        <v>297</v>
      </c>
      <c r="M1" s="141" t="s">
        <v>298</v>
      </c>
      <c r="N1" s="141" t="s">
        <v>299</v>
      </c>
      <c r="O1" s="141" t="s">
        <v>300</v>
      </c>
      <c r="P1" s="141" t="s">
        <v>301</v>
      </c>
      <c r="Q1" s="141" t="s">
        <v>302</v>
      </c>
      <c r="R1" s="140" t="s">
        <v>303</v>
      </c>
      <c r="S1" s="140" t="s">
        <v>304</v>
      </c>
      <c r="T1" s="140" t="s">
        <v>305</v>
      </c>
      <c r="U1" s="140" t="s">
        <v>306</v>
      </c>
      <c r="V1" s="140" t="s">
        <v>307</v>
      </c>
      <c r="W1" s="140" t="s">
        <v>308</v>
      </c>
      <c r="X1" s="140" t="s">
        <v>309</v>
      </c>
      <c r="Y1" s="140" t="s">
        <v>310</v>
      </c>
      <c r="Z1" s="140" t="s">
        <v>311</v>
      </c>
      <c r="AA1" s="140" t="s">
        <v>312</v>
      </c>
      <c r="AB1" s="140" t="s">
        <v>313</v>
      </c>
      <c r="AC1" s="140" t="s">
        <v>314</v>
      </c>
      <c r="AD1" s="140" t="s">
        <v>315</v>
      </c>
      <c r="AE1" s="141" t="s">
        <v>316</v>
      </c>
      <c r="AF1" s="141" t="s">
        <v>317</v>
      </c>
      <c r="AG1" s="141" t="s">
        <v>318</v>
      </c>
      <c r="AH1" s="141" t="s">
        <v>319</v>
      </c>
      <c r="AI1" s="141" t="s">
        <v>320</v>
      </c>
      <c r="AJ1" s="141" t="s">
        <v>321</v>
      </c>
      <c r="AK1" s="141" t="s">
        <v>322</v>
      </c>
      <c r="AL1" s="141" t="s">
        <v>323</v>
      </c>
      <c r="AM1" s="141" t="s">
        <v>324</v>
      </c>
      <c r="AN1" s="141" t="s">
        <v>325</v>
      </c>
      <c r="AO1" s="141" t="s">
        <v>326</v>
      </c>
      <c r="AP1" s="141" t="s">
        <v>327</v>
      </c>
      <c r="AQ1" s="141" t="s">
        <v>328</v>
      </c>
      <c r="AR1" s="140" t="s">
        <v>329</v>
      </c>
      <c r="AS1" s="140" t="s">
        <v>330</v>
      </c>
      <c r="AT1" s="140" t="s">
        <v>331</v>
      </c>
      <c r="AU1" s="140" t="s">
        <v>332</v>
      </c>
      <c r="AV1" s="140" t="s">
        <v>333</v>
      </c>
      <c r="AW1" s="140" t="s">
        <v>334</v>
      </c>
      <c r="AX1" s="140" t="s">
        <v>335</v>
      </c>
      <c r="AY1" s="140" t="s">
        <v>336</v>
      </c>
      <c r="AZ1" s="140" t="s">
        <v>337</v>
      </c>
      <c r="BA1" s="140" t="s">
        <v>338</v>
      </c>
      <c r="BB1" s="140" t="s">
        <v>339</v>
      </c>
      <c r="BC1" s="140" t="s">
        <v>340</v>
      </c>
      <c r="BD1" s="140" t="s">
        <v>341</v>
      </c>
      <c r="BE1" s="140" t="s">
        <v>351</v>
      </c>
      <c r="BF1" s="140" t="s">
        <v>118</v>
      </c>
      <c r="BG1" s="140" t="s">
        <v>119</v>
      </c>
      <c r="BH1" s="140" t="s">
        <v>120</v>
      </c>
      <c r="BI1" s="140" t="s">
        <v>121</v>
      </c>
      <c r="BJ1" s="140" t="s">
        <v>122</v>
      </c>
      <c r="BK1" s="140" t="s">
        <v>123</v>
      </c>
      <c r="BL1" s="140" t="s">
        <v>124</v>
      </c>
      <c r="BM1" s="140" t="s">
        <v>126</v>
      </c>
      <c r="BN1" s="140" t="s">
        <v>127</v>
      </c>
      <c r="BO1" s="140" t="s">
        <v>128</v>
      </c>
      <c r="BP1" s="140" t="s">
        <v>129</v>
      </c>
      <c r="BQ1" s="140" t="s">
        <v>130</v>
      </c>
      <c r="BR1" s="140" t="s">
        <v>350</v>
      </c>
      <c r="BS1" s="195" t="s">
        <v>352</v>
      </c>
      <c r="BT1" s="195" t="s">
        <v>118</v>
      </c>
      <c r="BU1" s="195" t="s">
        <v>119</v>
      </c>
      <c r="BV1" s="195" t="s">
        <v>120</v>
      </c>
      <c r="BW1" s="195" t="s">
        <v>121</v>
      </c>
      <c r="BX1" s="195" t="s">
        <v>122</v>
      </c>
      <c r="BY1" s="195" t="s">
        <v>123</v>
      </c>
      <c r="BZ1" s="195" t="s">
        <v>124</v>
      </c>
      <c r="CA1" s="195" t="s">
        <v>126</v>
      </c>
      <c r="CB1" s="195" t="s">
        <v>127</v>
      </c>
      <c r="CC1" s="195" t="s">
        <v>128</v>
      </c>
      <c r="CD1" s="195" t="s">
        <v>129</v>
      </c>
      <c r="CE1" s="195" t="s">
        <v>130</v>
      </c>
      <c r="CF1" s="195" t="s">
        <v>350</v>
      </c>
      <c r="CG1" s="140" t="s">
        <v>353</v>
      </c>
      <c r="CH1" s="140" t="s">
        <v>186</v>
      </c>
      <c r="CI1" s="140" t="s">
        <v>187</v>
      </c>
      <c r="CJ1" s="140" t="s">
        <v>188</v>
      </c>
      <c r="CK1" s="140" t="s">
        <v>189</v>
      </c>
      <c r="CL1" s="140" t="s">
        <v>213</v>
      </c>
      <c r="CM1" s="140" t="s">
        <v>358</v>
      </c>
      <c r="CN1" s="195" t="s">
        <v>354</v>
      </c>
      <c r="CO1" s="195" t="s">
        <v>186</v>
      </c>
      <c r="CP1" s="195" t="s">
        <v>187</v>
      </c>
      <c r="CQ1" s="195" t="s">
        <v>188</v>
      </c>
      <c r="CR1" s="195" t="s">
        <v>189</v>
      </c>
      <c r="CS1" s="195" t="s">
        <v>213</v>
      </c>
      <c r="CT1" s="195" t="s">
        <v>358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50</vt:i4>
      </vt:variant>
    </vt:vector>
  </HeadingPairs>
  <TitlesOfParts>
    <vt:vector size="53" baseType="lpstr">
      <vt:lpstr>v-cod</vt:lpstr>
      <vt:lpstr>v-rk</vt:lpstr>
      <vt:lpstr>rk-Personalizado</vt:lpstr>
      <vt:lpstr>maestro!FcClave</vt:lpstr>
      <vt:lpstr>PrecioCompetencia!FcClave</vt:lpstr>
      <vt:lpstr>Proy!FcClave</vt:lpstr>
      <vt:lpstr>RG!FcClave</vt:lpstr>
      <vt:lpstr>StockBO!FcClave</vt:lpstr>
      <vt:lpstr>TipoProm!FcClave</vt:lpstr>
      <vt:lpstr>Venta!FcClave</vt:lpstr>
      <vt:lpstr>Venta!FcClaveItem</vt:lpstr>
      <vt:lpstr>maestro!FcDetalle</vt:lpstr>
      <vt:lpstr>PrecioCompetencia!FcDetalle</vt:lpstr>
      <vt:lpstr>Proy!FcDetalle</vt:lpstr>
      <vt:lpstr>RG!FcDetalle</vt:lpstr>
      <vt:lpstr>StockBO!FcDetalle</vt:lpstr>
      <vt:lpstr>TipoProm!FcDetalle</vt:lpstr>
      <vt:lpstr>Venta!FcDetalle</vt:lpstr>
      <vt:lpstr>'v-cod'!FcFecha</vt:lpstr>
      <vt:lpstr>'v-rk'!FcFecha</vt:lpstr>
      <vt:lpstr>'v-cod'!FcIgv</vt:lpstr>
      <vt:lpstr>'v-rk'!FcIgv</vt:lpstr>
      <vt:lpstr>'v-cod'!FcIGVMon</vt:lpstr>
      <vt:lpstr>'v-rk'!FcIGVMon</vt:lpstr>
      <vt:lpstr>maestro!FcImporteRK</vt:lpstr>
      <vt:lpstr>GraficoPart!FcInicioCant12Mes</vt:lpstr>
      <vt:lpstr>GraficoPart!FcInicioCantAnual</vt:lpstr>
      <vt:lpstr>'v-cod'!FcInicioCantAnual</vt:lpstr>
      <vt:lpstr>'v-rk'!FcInicioCantAnual</vt:lpstr>
      <vt:lpstr>'v-cod'!FcInicioCantMes</vt:lpstr>
      <vt:lpstr>'v-rk'!FcInicioCantMes</vt:lpstr>
      <vt:lpstr>'v-cod'!FcInicioPrecioComp</vt:lpstr>
      <vt:lpstr>'v-rk'!FcInicioPrecioComp</vt:lpstr>
      <vt:lpstr>'v-cod'!FcInicioProyMes</vt:lpstr>
      <vt:lpstr>'v-rk'!FcInicioProyMes</vt:lpstr>
      <vt:lpstr>'v-cod'!FcInicioVtaAnual</vt:lpstr>
      <vt:lpstr>'v-rk'!FcInicioVtaAnual</vt:lpstr>
      <vt:lpstr>'v-cod'!FcInicioVtaMes</vt:lpstr>
      <vt:lpstr>'v-rk'!FcInicioVtaMes</vt:lpstr>
      <vt:lpstr>'v-cod'!FcItem</vt:lpstr>
      <vt:lpstr>'v-rk'!FcItem</vt:lpstr>
      <vt:lpstr>'v-cod'!FcMoneda</vt:lpstr>
      <vt:lpstr>'v-rk'!FcMoneda</vt:lpstr>
      <vt:lpstr>GraficoPart!FcPartcantINDinicioAnual</vt:lpstr>
      <vt:lpstr>GraficoPart!FcPartcantINDinicioMes</vt:lpstr>
      <vt:lpstr>GraficoPart!FcPartcantREPinicioAnual</vt:lpstr>
      <vt:lpstr>GraficoPart!FcPartcantREPinicioMes</vt:lpstr>
      <vt:lpstr>'v-cod'!FcProyeccion</vt:lpstr>
      <vt:lpstr>'v-rk'!FcProyeccion</vt:lpstr>
      <vt:lpstr>maestro!FcRanking</vt:lpstr>
      <vt:lpstr>maestro!FcRankinRK</vt:lpstr>
      <vt:lpstr>'v-cod'!FcRBUNeg</vt:lpstr>
      <vt:lpstr>'v-rk'!FcRBUNeg</vt:lpstr>
    </vt:vector>
  </TitlesOfParts>
  <Manager>Pedro Bermúdez</Manager>
  <Company>Filtros Lys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Modelo de Demanda</dc:title>
  <dc:subject>Marketing</dc:subject>
  <dc:creator>Piero Mercado</dc:creator>
  <cp:lastModifiedBy>Miguel Angel Montero Minaya</cp:lastModifiedBy>
  <cp:lastPrinted>2014-10-14T15:08:24Z</cp:lastPrinted>
  <dcterms:created xsi:type="dcterms:W3CDTF">2001-04-04T00:26:05Z</dcterms:created>
  <dcterms:modified xsi:type="dcterms:W3CDTF">2014-11-27T00:20:46Z</dcterms:modified>
</cp:coreProperties>
</file>