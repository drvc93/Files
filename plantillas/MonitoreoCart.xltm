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Fuentes\NuevoComercial\Plantilla\"/>
    </mc:Choice>
  </mc:AlternateContent>
  <bookViews>
    <workbookView xWindow="0" yWindow="0" windowWidth="15360" windowHeight="7755" tabRatio="834"/>
  </bookViews>
  <sheets>
    <sheet name="RESUMEN" sheetId="13" r:id="rId1"/>
    <sheet name="FILTROS" sheetId="15" state="veryHidden" r:id="rId2"/>
  </sheets>
  <definedNames>
    <definedName name="_xlnm._FilterDatabase" localSheetId="0" hidden="1">RESUMEN!$A$3:$BE$4</definedName>
    <definedName name="FcDetalle" localSheetId="0">RESUMEN!$A$4:$BA$4</definedName>
    <definedName name="FcMeses" localSheetId="0">RESUMEN!$N$3:$AA$3</definedName>
    <definedName name="FcPeriodo" localSheetId="0">RESUMEN!$Q$1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5" l="1"/>
  <c r="G5" i="15" s="1"/>
  <c r="F6" i="15"/>
  <c r="G6" i="15" s="1"/>
  <c r="F7" i="15"/>
  <c r="G7" i="15" s="1"/>
  <c r="F8" i="15"/>
  <c r="G8" i="15" s="1"/>
  <c r="F9" i="15"/>
  <c r="G9" i="15" s="1"/>
  <c r="F10" i="15"/>
  <c r="G10" i="15" s="1"/>
  <c r="F11" i="15"/>
  <c r="G11" i="15" s="1"/>
  <c r="F12" i="15"/>
  <c r="G12" i="15" s="1"/>
  <c r="F13" i="15"/>
  <c r="G13" i="15" s="1"/>
  <c r="F14" i="15"/>
  <c r="G14" i="15" s="1"/>
  <c r="F15" i="15"/>
  <c r="G15" i="15" s="1"/>
  <c r="F16" i="15"/>
  <c r="G16" i="15" s="1"/>
  <c r="F17" i="15"/>
  <c r="G17" i="15" s="1"/>
  <c r="F18" i="15"/>
  <c r="G18" i="15" s="1"/>
  <c r="F19" i="15"/>
  <c r="G19" i="15" s="1"/>
  <c r="F20" i="15"/>
  <c r="G20" i="15" s="1"/>
  <c r="F21" i="15"/>
  <c r="G21" i="15" s="1"/>
  <c r="F22" i="15"/>
  <c r="G22" i="15" s="1"/>
  <c r="F23" i="15"/>
  <c r="G23" i="15" s="1"/>
  <c r="F24" i="15"/>
  <c r="G24" i="15" s="1"/>
  <c r="F25" i="15"/>
  <c r="G25" i="15" s="1"/>
  <c r="F26" i="15"/>
  <c r="G26" i="15" s="1"/>
  <c r="F27" i="15"/>
  <c r="G27" i="15" s="1"/>
  <c r="F28" i="15"/>
  <c r="G28" i="15" s="1"/>
  <c r="F4" i="15"/>
  <c r="G4" i="15" s="1"/>
  <c r="BE4" i="13"/>
  <c r="BD4" i="13" l="1"/>
  <c r="BC4" i="13"/>
  <c r="BB4" i="13"/>
  <c r="E5" i="15" l="1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E4" i="15"/>
  <c r="D4" i="15"/>
  <c r="B4" i="15"/>
  <c r="C4" i="15"/>
  <c r="B3" i="15"/>
</calcChain>
</file>

<file path=xl/sharedStrings.xml><?xml version="1.0" encoding="utf-8"?>
<sst xmlns="http://schemas.openxmlformats.org/spreadsheetml/2006/main" count="67" uniqueCount="54">
  <si>
    <t>Vendedor</t>
  </si>
  <si>
    <t>Zona</t>
  </si>
  <si>
    <t>Ranking</t>
  </si>
  <si>
    <t>Contado</t>
  </si>
  <si>
    <t>Grafico</t>
  </si>
  <si>
    <t>Usuario</t>
  </si>
  <si>
    <t>Segmento</t>
  </si>
  <si>
    <t>Cartera</t>
  </si>
  <si>
    <t>Grupo</t>
  </si>
  <si>
    <t>Categoria</t>
  </si>
  <si>
    <t>Promedio</t>
  </si>
  <si>
    <t>Quejas</t>
  </si>
  <si>
    <t>Objetivos/Acuerdos</t>
  </si>
  <si>
    <t>Razon Social</t>
  </si>
  <si>
    <t>Dscto.</t>
  </si>
  <si>
    <t>Linea Créd</t>
  </si>
  <si>
    <t>Obj.Prom
Mensual</t>
  </si>
  <si>
    <t>Credito</t>
  </si>
  <si>
    <t>Acciones a 
Tomar</t>
  </si>
  <si>
    <t>Obj.Men01</t>
  </si>
  <si>
    <t>Obj.Men02</t>
  </si>
  <si>
    <t>Obj.Men03</t>
  </si>
  <si>
    <t>Cont01</t>
  </si>
  <si>
    <t>Cont02</t>
  </si>
  <si>
    <t>Cont03</t>
  </si>
  <si>
    <t>Cred01</t>
  </si>
  <si>
    <t>Cred02</t>
  </si>
  <si>
    <t>Cred03</t>
  </si>
  <si>
    <t>Vend</t>
  </si>
  <si>
    <t>NombUsu</t>
  </si>
  <si>
    <t>Area</t>
  </si>
  <si>
    <t>Zona Nomb</t>
  </si>
  <si>
    <t>Importe
Rankgin</t>
  </si>
  <si>
    <t>Reg.Unico
Usuario</t>
  </si>
  <si>
    <t>Reg.Unico
Segmento</t>
  </si>
  <si>
    <t>Reg.Unico
Zona</t>
  </si>
  <si>
    <t>Cod.
Grupo</t>
  </si>
  <si>
    <t>Cod.
Cliente</t>
  </si>
  <si>
    <t>Vendedores</t>
  </si>
  <si>
    <t>Nombre</t>
  </si>
  <si>
    <t>Codigo</t>
  </si>
  <si>
    <t>VENDEDOR</t>
  </si>
  <si>
    <t>-</t>
  </si>
  <si>
    <t xml:space="preserve">Segmento  </t>
  </si>
  <si>
    <t xml:space="preserve">Zona  </t>
  </si>
  <si>
    <t>Usuario
Solicitado</t>
  </si>
  <si>
    <t>Segmento
Solicitado</t>
  </si>
  <si>
    <t>Zona
Solicitado</t>
  </si>
  <si>
    <t>Formato</t>
  </si>
  <si>
    <t>Reg.Unico
Formato</t>
  </si>
  <si>
    <t>Cod</t>
  </si>
  <si>
    <t>Formato
Solicitado</t>
  </si>
  <si>
    <t>Obj.Prom.Mensual: Máximo promedio de cada 4 meses(Facturado), Contado-Crédito: Compras por Forma de Pagos cada 4 meses(Promedio).</t>
  </si>
  <si>
    <t xml:space="preserve">Periodo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</si>
</sst>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_ ;[Red]\-#,##0.00\ "/>
    <numFmt numFmtId="165" formatCode="#,##0_ ;[Red]\-#,##0\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0" xfId="0" applyBorder="1"/>
    <xf numFmtId="22" fontId="0" fillId="0" borderId="12" xfId="0" applyNumberFormat="1" applyBorder="1"/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17" fontId="0" fillId="2" borderId="2" xfId="0" applyNumberFormat="1" applyFill="1" applyBorder="1" applyAlignment="1">
      <alignment horizontal="center"/>
    </xf>
    <xf numFmtId="4" fontId="0" fillId="0" borderId="12" xfId="0" applyNumberFormat="1" applyBorder="1" applyAlignment="1">
      <alignment horizontal="right"/>
    </xf>
    <xf numFmtId="164" fontId="0" fillId="0" borderId="12" xfId="0" applyNumberFormat="1" applyBorder="1"/>
    <xf numFmtId="0" fontId="0" fillId="0" borderId="15" xfId="0" applyBorder="1"/>
    <xf numFmtId="0" fontId="0" fillId="0" borderId="3" xfId="0" applyBorder="1"/>
    <xf numFmtId="0" fontId="1" fillId="0" borderId="0" xfId="0" applyFont="1" applyAlignment="1">
      <alignment horizontal="right"/>
    </xf>
    <xf numFmtId="0" fontId="0" fillId="0" borderId="13" xfId="0" quotePrefix="1" applyBorder="1"/>
    <xf numFmtId="0" fontId="0" fillId="0" borderId="2" xfId="0" quotePrefix="1" applyBorder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 wrapText="1"/>
    </xf>
    <xf numFmtId="0" fontId="0" fillId="0" borderId="7" xfId="0" quotePrefix="1" applyBorder="1"/>
    <xf numFmtId="0" fontId="0" fillId="5" borderId="1" xfId="0" applyFill="1" applyBorder="1" applyAlignment="1">
      <alignment horizontal="center" vertical="center"/>
    </xf>
    <xf numFmtId="0" fontId="0" fillId="0" borderId="13" xfId="0" applyFill="1" applyBorder="1"/>
    <xf numFmtId="0" fontId="0" fillId="0" borderId="0" xfId="0" applyFill="1" applyBorder="1" applyAlignment="1"/>
    <xf numFmtId="0" fontId="0" fillId="2" borderId="1" xfId="0" applyFill="1" applyBorder="1" applyAlignment="1"/>
    <xf numFmtId="0" fontId="3" fillId="0" borderId="0" xfId="0" applyFont="1"/>
    <xf numFmtId="165" fontId="0" fillId="0" borderId="12" xfId="0" applyNumberFormat="1" applyBorder="1"/>
    <xf numFmtId="17" fontId="1" fillId="6" borderId="1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</cellXfs>
  <cellStyles count="3">
    <cellStyle name="Normal" xfId="0" builtinId="0"/>
    <cellStyle name="Normal 10 2" xfId="1"/>
    <cellStyle name="Porcentaje 2" xfId="2"/>
  </cellStyles>
  <dxfs count="0"/>
  <tableStyles count="0" defaultTableStyle="TableStyleMedium2" defaultPivotStyle="PivotStyleLight16"/>
  <colors>
    <mruColors>
      <color rgb="FF0000CC"/>
      <color rgb="FFFFFF99"/>
      <color rgb="FFFF9C85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esumen"/>
  <dimension ref="A1:BE4"/>
  <sheetViews>
    <sheetView tabSelected="1" zoomScale="85" zoomScaleNormal="85" workbookViewId="0">
      <pane ySplit="3" topLeftCell="A4" activePane="bottomLeft" state="frozen"/>
      <selection pane="bottomLeft" activeCell="A4" sqref="A4"/>
    </sheetView>
  </sheetViews>
  <sheetFormatPr baseColWidth="10" defaultRowHeight="15" x14ac:dyDescent="0.25"/>
  <cols>
    <col min="1" max="1" width="9.140625" customWidth="1"/>
    <col min="2" max="2" width="9.28515625" customWidth="1"/>
    <col min="3" max="3" width="8.140625" customWidth="1"/>
    <col min="4" max="4" width="18.85546875" customWidth="1"/>
    <col min="5" max="5" width="9.140625" customWidth="1"/>
    <col min="6" max="6" width="20.42578125" customWidth="1"/>
    <col min="7" max="7" width="16.5703125" customWidth="1"/>
    <col min="8" max="8" width="10.85546875" customWidth="1"/>
    <col min="9" max="9" width="9.85546875" customWidth="1"/>
    <col min="29" max="29" width="14.5703125" customWidth="1"/>
    <col min="30" max="30" width="18.140625" customWidth="1"/>
    <col min="31" max="31" width="24.140625" customWidth="1"/>
    <col min="32" max="32" width="23.7109375" customWidth="1"/>
    <col min="33" max="53" width="11.42578125" hidden="1" customWidth="1"/>
    <col min="54" max="56" width="0" style="22" hidden="1" customWidth="1"/>
    <col min="57" max="57" width="11.85546875" hidden="1" customWidth="1"/>
  </cols>
  <sheetData>
    <row r="1" spans="1:57" x14ac:dyDescent="0.25">
      <c r="A1" s="1" t="s">
        <v>0</v>
      </c>
      <c r="B1" s="32" t="s">
        <v>42</v>
      </c>
      <c r="C1" s="33"/>
      <c r="D1" s="34"/>
      <c r="F1" s="19" t="s">
        <v>43</v>
      </c>
      <c r="G1" s="28" t="s">
        <v>42</v>
      </c>
      <c r="H1" s="27"/>
      <c r="I1" s="19" t="s">
        <v>44</v>
      </c>
      <c r="J1" s="32" t="s">
        <v>42</v>
      </c>
      <c r="K1" s="34"/>
      <c r="M1" s="1" t="s">
        <v>48</v>
      </c>
      <c r="N1" s="28" t="s">
        <v>42</v>
      </c>
      <c r="O1" s="27"/>
      <c r="P1" s="19" t="s">
        <v>53</v>
      </c>
      <c r="Q1" s="31"/>
    </row>
    <row r="2" spans="1:57" x14ac:dyDescent="0.25">
      <c r="A2" s="29" t="s">
        <v>52</v>
      </c>
    </row>
    <row r="3" spans="1:57" ht="31.9" customHeight="1" x14ac:dyDescent="0.25">
      <c r="A3" s="12" t="s">
        <v>2</v>
      </c>
      <c r="B3" s="12" t="s">
        <v>7</v>
      </c>
      <c r="C3" s="13" t="s">
        <v>36</v>
      </c>
      <c r="D3" s="12" t="s">
        <v>8</v>
      </c>
      <c r="E3" s="13" t="s">
        <v>37</v>
      </c>
      <c r="F3" s="12" t="s">
        <v>13</v>
      </c>
      <c r="G3" s="12" t="s">
        <v>6</v>
      </c>
      <c r="H3" s="12" t="s">
        <v>9</v>
      </c>
      <c r="I3" s="12" t="s">
        <v>14</v>
      </c>
      <c r="J3" s="12" t="s">
        <v>15</v>
      </c>
      <c r="K3" s="13" t="s">
        <v>16</v>
      </c>
      <c r="L3" s="12" t="s">
        <v>17</v>
      </c>
      <c r="M3" s="12" t="s">
        <v>3</v>
      </c>
      <c r="N3" s="14">
        <v>41640</v>
      </c>
      <c r="O3" s="14">
        <v>41671</v>
      </c>
      <c r="P3" s="14">
        <v>41699</v>
      </c>
      <c r="Q3" s="14">
        <v>41730</v>
      </c>
      <c r="R3" s="14">
        <v>41760</v>
      </c>
      <c r="S3" s="14">
        <v>41791</v>
      </c>
      <c r="T3" s="14">
        <v>41821</v>
      </c>
      <c r="U3" s="14">
        <v>41852</v>
      </c>
      <c r="V3" s="14">
        <v>41883</v>
      </c>
      <c r="W3" s="14">
        <v>41913</v>
      </c>
      <c r="X3" s="14">
        <v>41944</v>
      </c>
      <c r="Y3" s="14">
        <v>41974</v>
      </c>
      <c r="Z3" s="14">
        <v>42005</v>
      </c>
      <c r="AA3" s="14">
        <v>42036</v>
      </c>
      <c r="AB3" s="12" t="s">
        <v>10</v>
      </c>
      <c r="AC3" s="12" t="s">
        <v>4</v>
      </c>
      <c r="AD3" s="12" t="s">
        <v>11</v>
      </c>
      <c r="AE3" s="12" t="s">
        <v>12</v>
      </c>
      <c r="AF3" s="13" t="s">
        <v>18</v>
      </c>
      <c r="AG3" s="12" t="s">
        <v>19</v>
      </c>
      <c r="AH3" s="12" t="s">
        <v>20</v>
      </c>
      <c r="AI3" s="12" t="s">
        <v>21</v>
      </c>
      <c r="AJ3" s="12" t="s">
        <v>22</v>
      </c>
      <c r="AK3" s="12" t="s">
        <v>23</v>
      </c>
      <c r="AL3" s="12" t="s">
        <v>24</v>
      </c>
      <c r="AM3" s="12" t="s">
        <v>25</v>
      </c>
      <c r="AN3" s="12" t="s">
        <v>26</v>
      </c>
      <c r="AO3" s="12" t="s">
        <v>27</v>
      </c>
      <c r="AP3" s="12" t="s">
        <v>28</v>
      </c>
      <c r="AQ3" s="12" t="s">
        <v>5</v>
      </c>
      <c r="AR3" s="12" t="s">
        <v>29</v>
      </c>
      <c r="AS3" s="12" t="s">
        <v>30</v>
      </c>
      <c r="AT3" s="12" t="s">
        <v>1</v>
      </c>
      <c r="AU3" s="12" t="s">
        <v>31</v>
      </c>
      <c r="AV3" s="13" t="s">
        <v>32</v>
      </c>
      <c r="AW3" s="13" t="s">
        <v>48</v>
      </c>
      <c r="AX3" s="13" t="s">
        <v>33</v>
      </c>
      <c r="AY3" s="13" t="s">
        <v>34</v>
      </c>
      <c r="AZ3" s="13" t="s">
        <v>35</v>
      </c>
      <c r="BA3" s="13" t="s">
        <v>49</v>
      </c>
      <c r="BB3" s="23" t="s">
        <v>45</v>
      </c>
      <c r="BC3" s="23" t="s">
        <v>46</v>
      </c>
      <c r="BD3" s="23" t="s">
        <v>47</v>
      </c>
      <c r="BE3" s="23" t="s">
        <v>51</v>
      </c>
    </row>
    <row r="4" spans="1:57" x14ac:dyDescent="0.25">
      <c r="A4" s="8"/>
      <c r="B4" s="8"/>
      <c r="C4" s="8"/>
      <c r="D4" s="8"/>
      <c r="E4" s="8"/>
      <c r="F4" s="8"/>
      <c r="G4" s="10"/>
      <c r="H4" s="8"/>
      <c r="I4" s="15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8"/>
      <c r="AD4" s="8"/>
      <c r="AE4" s="8"/>
      <c r="AF4" s="8"/>
      <c r="AG4" s="16"/>
      <c r="AH4" s="16"/>
      <c r="AI4" s="16"/>
      <c r="AJ4" s="16"/>
      <c r="AK4" s="16"/>
      <c r="AL4" s="16"/>
      <c r="AM4" s="16"/>
      <c r="AN4" s="16"/>
      <c r="AO4" s="16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22" t="str">
        <f>IF(OR($B$1="-",$B$1=AR4),"OK","-")</f>
        <v>OK</v>
      </c>
      <c r="BC4" s="22" t="str">
        <f>IF(OR($G$1="-",$G$1=G4),"OK","-")</f>
        <v>OK</v>
      </c>
      <c r="BD4" s="22" t="str">
        <f>IF(OR($J$1="-",$J$1=AU4),"OK","-")</f>
        <v>OK</v>
      </c>
      <c r="BE4" t="str">
        <f>IF(OR($N$1="-",AND($N$1="Resumido",AW4="B"),AND($N$1="Detallado",AW4="A")),"OK","-")</f>
        <v>OK</v>
      </c>
    </row>
  </sheetData>
  <autoFilter ref="A3:BE4"/>
  <mergeCells count="2">
    <mergeCell ref="B1:D1"/>
    <mergeCell ref="J1:K1"/>
  </mergeCells>
  <dataValidations count="1">
    <dataValidation showInputMessage="1" showErrorMessage="1" sqref="O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FILTROS!$C$3:$C$28</xm:f>
          </x14:formula1>
          <xm:sqref>B1:D1</xm:sqref>
        </x14:dataValidation>
        <x14:dataValidation type="list" showInputMessage="1" showErrorMessage="1">
          <x14:formula1>
            <xm:f>FILTROS!$D$3:$D$12</xm:f>
          </x14:formula1>
          <xm:sqref>G1</xm:sqref>
        </x14:dataValidation>
        <x14:dataValidation type="list" showInputMessage="1" showErrorMessage="1">
          <x14:formula1>
            <xm:f>FILTROS!$E$3:$E$22</xm:f>
          </x14:formula1>
          <xm:sqref>J1</xm:sqref>
        </x14:dataValidation>
        <x14:dataValidation type="list" showInputMessage="1" showErrorMessage="1">
          <x14:formula1>
            <xm:f>FILTROS!$G$3:$G$5</xm:f>
          </x14:formula1>
          <xm:sqref>N1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RESUMEN!N4:AA4</xm:f>
              <xm:sqref>AC4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filtro"/>
  <dimension ref="A1:G28"/>
  <sheetViews>
    <sheetView zoomScale="85" zoomScaleNormal="85" workbookViewId="0">
      <selection activeCell="G5" sqref="G5"/>
    </sheetView>
  </sheetViews>
  <sheetFormatPr baseColWidth="10" defaultRowHeight="15" x14ac:dyDescent="0.25"/>
  <cols>
    <col min="1" max="1" width="12.5703125" style="2" customWidth="1"/>
    <col min="2" max="2" width="11.7109375" style="2" customWidth="1"/>
    <col min="3" max="3" width="37.140625" style="2" bestFit="1" customWidth="1"/>
    <col min="4" max="4" width="16" style="2" customWidth="1"/>
    <col min="5" max="5" width="39.42578125" style="2" bestFit="1" customWidth="1"/>
    <col min="6" max="6" width="10.42578125" style="2" customWidth="1"/>
    <col min="7" max="16384" width="11.42578125" style="2"/>
  </cols>
  <sheetData>
    <row r="1" spans="1:7" customFormat="1" x14ac:dyDescent="0.25">
      <c r="A1" s="35" t="s">
        <v>41</v>
      </c>
      <c r="B1" s="35"/>
      <c r="C1" s="35"/>
      <c r="D1" s="36" t="s">
        <v>6</v>
      </c>
      <c r="E1" s="38" t="s">
        <v>1</v>
      </c>
      <c r="F1" s="40" t="s">
        <v>48</v>
      </c>
      <c r="G1" s="41"/>
    </row>
    <row r="2" spans="1:7" customFormat="1" x14ac:dyDescent="0.25">
      <c r="A2" s="11" t="s">
        <v>38</v>
      </c>
      <c r="B2" s="11" t="s">
        <v>40</v>
      </c>
      <c r="C2" s="11" t="s">
        <v>39</v>
      </c>
      <c r="D2" s="37"/>
      <c r="E2" s="39"/>
      <c r="F2" s="25" t="s">
        <v>50</v>
      </c>
      <c r="G2" s="25" t="s">
        <v>39</v>
      </c>
    </row>
    <row r="3" spans="1:7" customFormat="1" x14ac:dyDescent="0.25">
      <c r="A3" s="3">
        <v>0</v>
      </c>
      <c r="B3" s="8" t="str">
        <f>IFERROR(INDEX(RESUMEN!$AQ:$AQ,MATCH(A3-2,RESUMEN!$AX:$AX,0),1),"")</f>
        <v/>
      </c>
      <c r="C3" s="20" t="s">
        <v>42</v>
      </c>
      <c r="D3" s="21" t="s">
        <v>42</v>
      </c>
      <c r="E3" s="24" t="s">
        <v>42</v>
      </c>
      <c r="F3" s="21" t="s">
        <v>42</v>
      </c>
      <c r="G3" s="26" t="s">
        <v>42</v>
      </c>
    </row>
    <row r="4" spans="1:7" customFormat="1" x14ac:dyDescent="0.25">
      <c r="A4" s="4">
        <v>1</v>
      </c>
      <c r="B4" s="2" t="str">
        <f>IFERROR(INDEX(RESUMEN!$AQ:$AQ,MATCH(A4,RESUMEN!$AX:$AX,0),1),"")</f>
        <v/>
      </c>
      <c r="C4" s="5" t="str">
        <f>IFERROR(INDEX(RESUMEN!$AR:$AR,MATCH(A4,RESUMEN!$AX:$AX,0),1),"")</f>
        <v/>
      </c>
      <c r="D4" s="17" t="str">
        <f>IFERROR(INDEX(RESUMEN!$G:$G,MATCH(A4,RESUMEN!$AY:$AY,0),1),"")</f>
        <v/>
      </c>
      <c r="E4" s="4" t="str">
        <f>IFERROR(INDEX(RESUMEN!$AU:$AU,MATCH(A4,RESUMEN!$AZ:$AZ,0),1),"")</f>
        <v/>
      </c>
      <c r="F4" s="17" t="str">
        <f>IFERROR(INDEX(RESUMEN!$AW:$AW,MATCH(A4,RESUMEN!$BA:$BA,0),1),"")</f>
        <v/>
      </c>
      <c r="G4" s="5" t="str">
        <f>IF(F4="B","Resumido",IF(F4="A","Detallado",""))</f>
        <v/>
      </c>
    </row>
    <row r="5" spans="1:7" customFormat="1" x14ac:dyDescent="0.25">
      <c r="A5" s="4">
        <v>2</v>
      </c>
      <c r="B5" s="2" t="str">
        <f>IFERROR(INDEX(RESUMEN!$AQ:$AQ,MATCH(A5,RESUMEN!$AX:$AX,0),1),"")</f>
        <v/>
      </c>
      <c r="C5" s="5" t="str">
        <f>IFERROR(INDEX(RESUMEN!$AR:$AR,MATCH(A5,RESUMEN!$AX:$AX,0),1),"")</f>
        <v/>
      </c>
      <c r="D5" s="17" t="str">
        <f>IFERROR(INDEX(RESUMEN!$G:$G,MATCH(A5,RESUMEN!$AY:$AY,0),1),"")</f>
        <v/>
      </c>
      <c r="E5" s="4" t="str">
        <f>IFERROR(INDEX(RESUMEN!$AU:$AU,MATCH(A5,RESUMEN!$AZ:$AZ,0),1),"")</f>
        <v/>
      </c>
      <c r="F5" s="17" t="str">
        <f>IFERROR(INDEX(RESUMEN!$AW:$AW,MATCH(A5,RESUMEN!$BA:$BA,0),1),"")</f>
        <v/>
      </c>
      <c r="G5" s="5" t="str">
        <f t="shared" ref="G5:G28" si="0">IF(F5="B","Resumido",IF(F5="A","Detallado",""))</f>
        <v/>
      </c>
    </row>
    <row r="6" spans="1:7" customFormat="1" x14ac:dyDescent="0.25">
      <c r="A6" s="4">
        <v>3</v>
      </c>
      <c r="B6" s="2" t="str">
        <f>IFERROR(INDEX(RESUMEN!$AQ:$AQ,MATCH(A6,RESUMEN!$AX:$AX,0),1),"")</f>
        <v/>
      </c>
      <c r="C6" s="5" t="str">
        <f>IFERROR(INDEX(RESUMEN!$AR:$AR,MATCH(A6,RESUMEN!$AX:$AX,0),1),"")</f>
        <v/>
      </c>
      <c r="D6" s="17" t="str">
        <f>IFERROR(INDEX(RESUMEN!$G:$G,MATCH(A6,RESUMEN!$AY:$AY,0),1),"")</f>
        <v/>
      </c>
      <c r="E6" s="4" t="str">
        <f>IFERROR(INDEX(RESUMEN!$AU:$AU,MATCH(A6,RESUMEN!$AZ:$AZ,0),1),"")</f>
        <v/>
      </c>
      <c r="F6" s="17" t="str">
        <f>IFERROR(INDEX(RESUMEN!$AW:$AW,MATCH(A6,RESUMEN!$BA:$BA,0),1),"")</f>
        <v/>
      </c>
      <c r="G6" s="5" t="str">
        <f t="shared" si="0"/>
        <v/>
      </c>
    </row>
    <row r="7" spans="1:7" customFormat="1" x14ac:dyDescent="0.25">
      <c r="A7" s="4">
        <v>4</v>
      </c>
      <c r="B7" s="2" t="str">
        <f>IFERROR(INDEX(RESUMEN!$AQ:$AQ,MATCH(A7,RESUMEN!$AX:$AX,0),1),"")</f>
        <v/>
      </c>
      <c r="C7" s="5" t="str">
        <f>IFERROR(INDEX(RESUMEN!$AR:$AR,MATCH(A7,RESUMEN!$AX:$AX,0),1),"")</f>
        <v/>
      </c>
      <c r="D7" s="17" t="str">
        <f>IFERROR(INDEX(RESUMEN!$G:$G,MATCH(A7,RESUMEN!$AY:$AY,0),1),"")</f>
        <v/>
      </c>
      <c r="E7" s="4" t="str">
        <f>IFERROR(INDEX(RESUMEN!$AU:$AU,MATCH(A7,RESUMEN!$AZ:$AZ,0),1),"")</f>
        <v/>
      </c>
      <c r="F7" s="17" t="str">
        <f>IFERROR(INDEX(RESUMEN!$AW:$AW,MATCH(A7,RESUMEN!$BA:$BA,0),1),"")</f>
        <v/>
      </c>
      <c r="G7" s="5" t="str">
        <f t="shared" si="0"/>
        <v/>
      </c>
    </row>
    <row r="8" spans="1:7" customFormat="1" x14ac:dyDescent="0.25">
      <c r="A8" s="4">
        <v>5</v>
      </c>
      <c r="B8" s="2" t="str">
        <f>IFERROR(INDEX(RESUMEN!$AQ:$AQ,MATCH(A8,RESUMEN!$AX:$AX,0),1),"")</f>
        <v/>
      </c>
      <c r="C8" s="5" t="str">
        <f>IFERROR(INDEX(RESUMEN!$AR:$AR,MATCH(A8,RESUMEN!$AX:$AX,0),1),"")</f>
        <v/>
      </c>
      <c r="D8" s="17" t="str">
        <f>IFERROR(INDEX(RESUMEN!$G:$G,MATCH(A8,RESUMEN!$AY:$AY,0),1),"")</f>
        <v/>
      </c>
      <c r="E8" s="4" t="str">
        <f>IFERROR(INDEX(RESUMEN!$AU:$AU,MATCH(A8,RESUMEN!$AZ:$AZ,0),1),"")</f>
        <v/>
      </c>
      <c r="F8" s="17" t="str">
        <f>IFERROR(INDEX(RESUMEN!$AW:$AW,MATCH(A8,RESUMEN!$BA:$BA,0),1),"")</f>
        <v/>
      </c>
      <c r="G8" s="5" t="str">
        <f t="shared" si="0"/>
        <v/>
      </c>
    </row>
    <row r="9" spans="1:7" customFormat="1" x14ac:dyDescent="0.25">
      <c r="A9" s="4">
        <v>6</v>
      </c>
      <c r="B9" s="2" t="str">
        <f>IFERROR(INDEX(RESUMEN!$AQ:$AQ,MATCH(A9,RESUMEN!$AX:$AX,0),1),"")</f>
        <v/>
      </c>
      <c r="C9" s="5" t="str">
        <f>IFERROR(INDEX(RESUMEN!$AR:$AR,MATCH(A9,RESUMEN!$AX:$AX,0),1),"")</f>
        <v/>
      </c>
      <c r="D9" s="17" t="str">
        <f>IFERROR(INDEX(RESUMEN!$G:$G,MATCH(A9,RESUMEN!$AY:$AY,0),1),"")</f>
        <v/>
      </c>
      <c r="E9" s="4" t="str">
        <f>IFERROR(INDEX(RESUMEN!$AU:$AU,MATCH(A9,RESUMEN!$AZ:$AZ,0),1),"")</f>
        <v/>
      </c>
      <c r="F9" s="17" t="str">
        <f>IFERROR(INDEX(RESUMEN!$AW:$AW,MATCH(A9,RESUMEN!$BA:$BA,0),1),"")</f>
        <v/>
      </c>
      <c r="G9" s="5" t="str">
        <f t="shared" si="0"/>
        <v/>
      </c>
    </row>
    <row r="10" spans="1:7" customFormat="1" x14ac:dyDescent="0.25">
      <c r="A10" s="4">
        <v>7</v>
      </c>
      <c r="B10" s="2" t="str">
        <f>IFERROR(INDEX(RESUMEN!$AQ:$AQ,MATCH(A10,RESUMEN!$AX:$AX,0),1),"")</f>
        <v/>
      </c>
      <c r="C10" s="5" t="str">
        <f>IFERROR(INDEX(RESUMEN!$AR:$AR,MATCH(A10,RESUMEN!$AX:$AX,0),1),"")</f>
        <v/>
      </c>
      <c r="D10" s="17" t="str">
        <f>IFERROR(INDEX(RESUMEN!$G:$G,MATCH(A10,RESUMEN!$AY:$AY,0),1),"")</f>
        <v/>
      </c>
      <c r="E10" s="4" t="str">
        <f>IFERROR(INDEX(RESUMEN!$AU:$AU,MATCH(A10,RESUMEN!$AZ:$AZ,0),1),"")</f>
        <v/>
      </c>
      <c r="F10" s="17" t="str">
        <f>IFERROR(INDEX(RESUMEN!$AW:$AW,MATCH(A10,RESUMEN!$BA:$BA,0),1),"")</f>
        <v/>
      </c>
      <c r="G10" s="5" t="str">
        <f t="shared" si="0"/>
        <v/>
      </c>
    </row>
    <row r="11" spans="1:7" customFormat="1" x14ac:dyDescent="0.25">
      <c r="A11" s="4">
        <v>8</v>
      </c>
      <c r="B11" s="2" t="str">
        <f>IFERROR(INDEX(RESUMEN!$AQ:$AQ,MATCH(A11,RESUMEN!$AX:$AX,0),1),"")</f>
        <v/>
      </c>
      <c r="C11" s="5" t="str">
        <f>IFERROR(INDEX(RESUMEN!$AR:$AR,MATCH(A11,RESUMEN!$AX:$AX,0),1),"")</f>
        <v/>
      </c>
      <c r="D11" s="17" t="str">
        <f>IFERROR(INDEX(RESUMEN!$G:$G,MATCH(A11,RESUMEN!$AY:$AY,0),1),"")</f>
        <v/>
      </c>
      <c r="E11" s="4" t="str">
        <f>IFERROR(INDEX(RESUMEN!$AU:$AU,MATCH(A11,RESUMEN!$AZ:$AZ,0),1),"")</f>
        <v/>
      </c>
      <c r="F11" s="17" t="str">
        <f>IFERROR(INDEX(RESUMEN!$AW:$AW,MATCH(A11,RESUMEN!$BA:$BA,0),1),"")</f>
        <v/>
      </c>
      <c r="G11" s="5" t="str">
        <f t="shared" si="0"/>
        <v/>
      </c>
    </row>
    <row r="12" spans="1:7" customFormat="1" x14ac:dyDescent="0.25">
      <c r="A12" s="4">
        <v>9</v>
      </c>
      <c r="B12" s="2" t="str">
        <f>IFERROR(INDEX(RESUMEN!$AQ:$AQ,MATCH(A12,RESUMEN!$AX:$AX,0),1),"")</f>
        <v/>
      </c>
      <c r="C12" s="5" t="str">
        <f>IFERROR(INDEX(RESUMEN!$AR:$AR,MATCH(A12,RESUMEN!$AX:$AX,0),1),"")</f>
        <v/>
      </c>
      <c r="D12" s="17" t="str">
        <f>IFERROR(INDEX(RESUMEN!$G:$G,MATCH(A12,RESUMEN!$AY:$AY,0),1),"")</f>
        <v/>
      </c>
      <c r="E12" s="4" t="str">
        <f>IFERROR(INDEX(RESUMEN!$AU:$AU,MATCH(A12,RESUMEN!$AZ:$AZ,0),1),"")</f>
        <v/>
      </c>
      <c r="F12" s="17" t="str">
        <f>IFERROR(INDEX(RESUMEN!$AW:$AW,MATCH(A12,RESUMEN!$BA:$BA,0),1),"")</f>
        <v/>
      </c>
      <c r="G12" s="5" t="str">
        <f t="shared" si="0"/>
        <v/>
      </c>
    </row>
    <row r="13" spans="1:7" customFormat="1" x14ac:dyDescent="0.25">
      <c r="A13" s="4">
        <v>10</v>
      </c>
      <c r="B13" s="2" t="str">
        <f>IFERROR(INDEX(RESUMEN!$AQ:$AQ,MATCH(A13,RESUMEN!$AX:$AX,0),1),"")</f>
        <v/>
      </c>
      <c r="C13" s="5" t="str">
        <f>IFERROR(INDEX(RESUMEN!$AR:$AR,MATCH(A13,RESUMEN!$AX:$AX,0),1),"")</f>
        <v/>
      </c>
      <c r="D13" s="17" t="str">
        <f>IFERROR(INDEX(RESUMEN!$G:$G,MATCH(A13,RESUMEN!$AY:$AY,0),1),"")</f>
        <v/>
      </c>
      <c r="E13" s="4" t="str">
        <f>IFERROR(INDEX(RESUMEN!$AU:$AU,MATCH(A13,RESUMEN!$AZ:$AZ,0),1),"")</f>
        <v/>
      </c>
      <c r="F13" s="17" t="str">
        <f>IFERROR(INDEX(RESUMEN!$AW:$AW,MATCH(A13,RESUMEN!$BA:$BA,0),1),"")</f>
        <v/>
      </c>
      <c r="G13" s="5" t="str">
        <f t="shared" si="0"/>
        <v/>
      </c>
    </row>
    <row r="14" spans="1:7" customFormat="1" x14ac:dyDescent="0.25">
      <c r="A14" s="4">
        <v>11</v>
      </c>
      <c r="B14" s="2" t="str">
        <f>IFERROR(INDEX(RESUMEN!$AQ:$AQ,MATCH(A14,RESUMEN!$AX:$AX,0),1),"")</f>
        <v/>
      </c>
      <c r="C14" s="5" t="str">
        <f>IFERROR(INDEX(RESUMEN!$AR:$AR,MATCH(A14,RESUMEN!$AX:$AX,0),1),"")</f>
        <v/>
      </c>
      <c r="D14" s="17" t="str">
        <f>IFERROR(INDEX(RESUMEN!$G:$G,MATCH(A14,RESUMEN!$AY:$AY,0),1),"")</f>
        <v/>
      </c>
      <c r="E14" s="4" t="str">
        <f>IFERROR(INDEX(RESUMEN!$AU:$AU,MATCH(A14,RESUMEN!$AZ:$AZ,0),1),"")</f>
        <v/>
      </c>
      <c r="F14" s="17" t="str">
        <f>IFERROR(INDEX(RESUMEN!$AW:$AW,MATCH(A14,RESUMEN!$BA:$BA,0),1),"")</f>
        <v/>
      </c>
      <c r="G14" s="5" t="str">
        <f t="shared" si="0"/>
        <v/>
      </c>
    </row>
    <row r="15" spans="1:7" customFormat="1" x14ac:dyDescent="0.25">
      <c r="A15" s="4">
        <v>12</v>
      </c>
      <c r="B15" s="2" t="str">
        <f>IFERROR(INDEX(RESUMEN!$AQ:$AQ,MATCH(A15,RESUMEN!$AX:$AX,0),1),"")</f>
        <v/>
      </c>
      <c r="C15" s="5" t="str">
        <f>IFERROR(INDEX(RESUMEN!$AR:$AR,MATCH(A15,RESUMEN!$AX:$AX,0),1),"")</f>
        <v/>
      </c>
      <c r="D15" s="17" t="str">
        <f>IFERROR(INDEX(RESUMEN!$G:$G,MATCH(A15,RESUMEN!$AY:$AY,0),1),"")</f>
        <v/>
      </c>
      <c r="E15" s="4" t="str">
        <f>IFERROR(INDEX(RESUMEN!$AU:$AU,MATCH(A15,RESUMEN!$AZ:$AZ,0),1),"")</f>
        <v/>
      </c>
      <c r="F15" s="17" t="str">
        <f>IFERROR(INDEX(RESUMEN!$AW:$AW,MATCH(A15,RESUMEN!$BA:$BA,0),1),"")</f>
        <v/>
      </c>
      <c r="G15" s="5" t="str">
        <f t="shared" si="0"/>
        <v/>
      </c>
    </row>
    <row r="16" spans="1:7" customFormat="1" x14ac:dyDescent="0.25">
      <c r="A16" s="4">
        <v>13</v>
      </c>
      <c r="B16" s="2" t="str">
        <f>IFERROR(INDEX(RESUMEN!$AQ:$AQ,MATCH(A16,RESUMEN!$AX:$AX,0),1),"")</f>
        <v/>
      </c>
      <c r="C16" s="5" t="str">
        <f>IFERROR(INDEX(RESUMEN!$AR:$AR,MATCH(A16,RESUMEN!$AX:$AX,0),1),"")</f>
        <v/>
      </c>
      <c r="D16" s="17" t="str">
        <f>IFERROR(INDEX(RESUMEN!$G:$G,MATCH(A16,RESUMEN!$AY:$AY,0),1),"")</f>
        <v/>
      </c>
      <c r="E16" s="4" t="str">
        <f>IFERROR(INDEX(RESUMEN!$AU:$AU,MATCH(A16,RESUMEN!$AZ:$AZ,0),1),"")</f>
        <v/>
      </c>
      <c r="F16" s="17" t="str">
        <f>IFERROR(INDEX(RESUMEN!$AW:$AW,MATCH(A16,RESUMEN!$BA:$BA,0),1),"")</f>
        <v/>
      </c>
      <c r="G16" s="5" t="str">
        <f t="shared" si="0"/>
        <v/>
      </c>
    </row>
    <row r="17" spans="1:7" customFormat="1" x14ac:dyDescent="0.25">
      <c r="A17" s="4">
        <v>14</v>
      </c>
      <c r="B17" s="2" t="str">
        <f>IFERROR(INDEX(RESUMEN!$AQ:$AQ,MATCH(A17,RESUMEN!$AX:$AX,0),1),"")</f>
        <v/>
      </c>
      <c r="C17" s="5" t="str">
        <f>IFERROR(INDEX(RESUMEN!$AR:$AR,MATCH(A17,RESUMEN!$AX:$AX,0),1),"")</f>
        <v/>
      </c>
      <c r="D17" s="17" t="str">
        <f>IFERROR(INDEX(RESUMEN!$G:$G,MATCH(A17,RESUMEN!$AY:$AY,0),1),"")</f>
        <v/>
      </c>
      <c r="E17" s="4" t="str">
        <f>IFERROR(INDEX(RESUMEN!$AU:$AU,MATCH(A17,RESUMEN!$AZ:$AZ,0),1),"")</f>
        <v/>
      </c>
      <c r="F17" s="17" t="str">
        <f>IFERROR(INDEX(RESUMEN!$AW:$AW,MATCH(A17,RESUMEN!$BA:$BA,0),1),"")</f>
        <v/>
      </c>
      <c r="G17" s="5" t="str">
        <f t="shared" si="0"/>
        <v/>
      </c>
    </row>
    <row r="18" spans="1:7" customFormat="1" x14ac:dyDescent="0.25">
      <c r="A18" s="4">
        <v>15</v>
      </c>
      <c r="B18" s="2" t="str">
        <f>IFERROR(INDEX(RESUMEN!$AQ:$AQ,MATCH(A18,RESUMEN!$AX:$AX,0),1),"")</f>
        <v/>
      </c>
      <c r="C18" s="5" t="str">
        <f>IFERROR(INDEX(RESUMEN!$AR:$AR,MATCH(A18,RESUMEN!$AX:$AX,0),1),"")</f>
        <v/>
      </c>
      <c r="D18" s="17" t="str">
        <f>IFERROR(INDEX(RESUMEN!$G:$G,MATCH(A18,RESUMEN!$AY:$AY,0),1),"")</f>
        <v/>
      </c>
      <c r="E18" s="4" t="str">
        <f>IFERROR(INDEX(RESUMEN!$AU:$AU,MATCH(A18,RESUMEN!$AZ:$AZ,0),1),"")</f>
        <v/>
      </c>
      <c r="F18" s="17" t="str">
        <f>IFERROR(INDEX(RESUMEN!$AW:$AW,MATCH(A18,RESUMEN!$BA:$BA,0),1),"")</f>
        <v/>
      </c>
      <c r="G18" s="5" t="str">
        <f t="shared" si="0"/>
        <v/>
      </c>
    </row>
    <row r="19" spans="1:7" customFormat="1" x14ac:dyDescent="0.25">
      <c r="A19" s="4">
        <v>16</v>
      </c>
      <c r="B19" s="2" t="str">
        <f>IFERROR(INDEX(RESUMEN!$AQ:$AQ,MATCH(A19,RESUMEN!$AX:$AX,0),1),"")</f>
        <v/>
      </c>
      <c r="C19" s="5" t="str">
        <f>IFERROR(INDEX(RESUMEN!$AR:$AR,MATCH(A19,RESUMEN!$AX:$AX,0),1),"")</f>
        <v/>
      </c>
      <c r="D19" s="17" t="str">
        <f>IFERROR(INDEX(RESUMEN!$G:$G,MATCH(A19,RESUMEN!$AY:$AY,0),1),"")</f>
        <v/>
      </c>
      <c r="E19" s="4" t="str">
        <f>IFERROR(INDEX(RESUMEN!$AU:$AU,MATCH(A19,RESUMEN!$AZ:$AZ,0),1),"")</f>
        <v/>
      </c>
      <c r="F19" s="17" t="str">
        <f>IFERROR(INDEX(RESUMEN!$AW:$AW,MATCH(A19,RESUMEN!$BA:$BA,0),1),"")</f>
        <v/>
      </c>
      <c r="G19" s="5" t="str">
        <f t="shared" si="0"/>
        <v/>
      </c>
    </row>
    <row r="20" spans="1:7" customFormat="1" x14ac:dyDescent="0.25">
      <c r="A20" s="4">
        <v>17</v>
      </c>
      <c r="B20" s="2" t="str">
        <f>IFERROR(INDEX(RESUMEN!$AQ:$AQ,MATCH(A20,RESUMEN!$AX:$AX,0),1),"")</f>
        <v/>
      </c>
      <c r="C20" s="5" t="str">
        <f>IFERROR(INDEX(RESUMEN!$AR:$AR,MATCH(A20,RESUMEN!$AX:$AX,0),1),"")</f>
        <v/>
      </c>
      <c r="D20" s="17" t="str">
        <f>IFERROR(INDEX(RESUMEN!$G:$G,MATCH(A20,RESUMEN!$AY:$AY,0),1),"")</f>
        <v/>
      </c>
      <c r="E20" s="4" t="str">
        <f>IFERROR(INDEX(RESUMEN!$AU:$AU,MATCH(A20,RESUMEN!$AZ:$AZ,0),1),"")</f>
        <v/>
      </c>
      <c r="F20" s="17" t="str">
        <f>IFERROR(INDEX(RESUMEN!$AW:$AW,MATCH(A20,RESUMEN!$BA:$BA,0),1),"")</f>
        <v/>
      </c>
      <c r="G20" s="5" t="str">
        <f t="shared" si="0"/>
        <v/>
      </c>
    </row>
    <row r="21" spans="1:7" customFormat="1" x14ac:dyDescent="0.25">
      <c r="A21" s="4">
        <v>18</v>
      </c>
      <c r="B21" s="2" t="str">
        <f>IFERROR(INDEX(RESUMEN!$AQ:$AQ,MATCH(A21,RESUMEN!$AX:$AX,0),1),"")</f>
        <v/>
      </c>
      <c r="C21" s="5" t="str">
        <f>IFERROR(INDEX(RESUMEN!$AR:$AR,MATCH(A21,RESUMEN!$AX:$AX,0),1),"")</f>
        <v/>
      </c>
      <c r="D21" s="17" t="str">
        <f>IFERROR(INDEX(RESUMEN!$G:$G,MATCH(A21,RESUMEN!$AY:$AY,0),1),"")</f>
        <v/>
      </c>
      <c r="E21" s="4" t="str">
        <f>IFERROR(INDEX(RESUMEN!$AU:$AU,MATCH(A21,RESUMEN!$AZ:$AZ,0),1),"")</f>
        <v/>
      </c>
      <c r="F21" s="17" t="str">
        <f>IFERROR(INDEX(RESUMEN!$AW:$AW,MATCH(A21,RESUMEN!$BA:$BA,0),1),"")</f>
        <v/>
      </c>
      <c r="G21" s="5" t="str">
        <f t="shared" si="0"/>
        <v/>
      </c>
    </row>
    <row r="22" spans="1:7" customFormat="1" x14ac:dyDescent="0.25">
      <c r="A22" s="4">
        <v>19</v>
      </c>
      <c r="B22" s="2" t="str">
        <f>IFERROR(INDEX(RESUMEN!$AQ:$AQ,MATCH(A22,RESUMEN!$AX:$AX,0),1),"")</f>
        <v/>
      </c>
      <c r="C22" s="5" t="str">
        <f>IFERROR(INDEX(RESUMEN!$AR:$AR,MATCH(A22,RESUMEN!$AX:$AX,0),1),"")</f>
        <v/>
      </c>
      <c r="D22" s="17" t="str">
        <f>IFERROR(INDEX(RESUMEN!$G:$G,MATCH(A22,RESUMEN!$AY:$AY,0),1),"")</f>
        <v/>
      </c>
      <c r="E22" s="4" t="str">
        <f>IFERROR(INDEX(RESUMEN!$AU:$AU,MATCH(A22,RESUMEN!$AZ:$AZ,0),1),"")</f>
        <v/>
      </c>
      <c r="F22" s="17" t="str">
        <f>IFERROR(INDEX(RESUMEN!$AW:$AW,MATCH(A22,RESUMEN!$BA:$BA,0),1),"")</f>
        <v/>
      </c>
      <c r="G22" s="5" t="str">
        <f t="shared" si="0"/>
        <v/>
      </c>
    </row>
    <row r="23" spans="1:7" customFormat="1" x14ac:dyDescent="0.25">
      <c r="A23" s="4">
        <v>20</v>
      </c>
      <c r="B23" s="2" t="str">
        <f>IFERROR(INDEX(RESUMEN!$AQ:$AQ,MATCH(A23,RESUMEN!$AX:$AX,0),1),"")</f>
        <v/>
      </c>
      <c r="C23" s="5" t="str">
        <f>IFERROR(INDEX(RESUMEN!$AR:$AR,MATCH(A23,RESUMEN!$AX:$AX,0),1),"")</f>
        <v/>
      </c>
      <c r="D23" s="17" t="str">
        <f>IFERROR(INDEX(RESUMEN!$G:$G,MATCH(A23,RESUMEN!$AY:$AY,0),1),"")</f>
        <v/>
      </c>
      <c r="E23" s="4" t="str">
        <f>IFERROR(INDEX(RESUMEN!$AU:$AU,MATCH(A23,RESUMEN!$AZ:$AZ,0),1),"")</f>
        <v/>
      </c>
      <c r="F23" s="17" t="str">
        <f>IFERROR(INDEX(RESUMEN!$AW:$AW,MATCH(A23,RESUMEN!$BA:$BA,0),1),"")</f>
        <v/>
      </c>
      <c r="G23" s="5" t="str">
        <f t="shared" si="0"/>
        <v/>
      </c>
    </row>
    <row r="24" spans="1:7" customFormat="1" x14ac:dyDescent="0.25">
      <c r="A24" s="4">
        <v>21</v>
      </c>
      <c r="B24" s="2" t="str">
        <f>IFERROR(INDEX(RESUMEN!$AQ:$AQ,MATCH(A24,RESUMEN!$AX:$AX,0),1),"")</f>
        <v/>
      </c>
      <c r="C24" s="5" t="str">
        <f>IFERROR(INDEX(RESUMEN!$AR:$AR,MATCH(A24,RESUMEN!$AX:$AX,0),1),"")</f>
        <v/>
      </c>
      <c r="D24" s="17" t="str">
        <f>IFERROR(INDEX(RESUMEN!$G:$G,MATCH(A24,RESUMEN!$AY:$AY,0),1),"")</f>
        <v/>
      </c>
      <c r="E24" s="4" t="str">
        <f>IFERROR(INDEX(RESUMEN!$AU:$AU,MATCH(A24,RESUMEN!$AZ:$AZ,0),1),"")</f>
        <v/>
      </c>
      <c r="F24" s="17" t="str">
        <f>IFERROR(INDEX(RESUMEN!$AW:$AW,MATCH(A24,RESUMEN!$BA:$BA,0),1),"")</f>
        <v/>
      </c>
      <c r="G24" s="5" t="str">
        <f t="shared" si="0"/>
        <v/>
      </c>
    </row>
    <row r="25" spans="1:7" customFormat="1" x14ac:dyDescent="0.25">
      <c r="A25" s="4">
        <v>22</v>
      </c>
      <c r="B25" s="2" t="str">
        <f>IFERROR(INDEX(RESUMEN!$AQ:$AQ,MATCH(A25,RESUMEN!$AX:$AX,0),1),"")</f>
        <v/>
      </c>
      <c r="C25" s="5" t="str">
        <f>IFERROR(INDEX(RESUMEN!$AR:$AR,MATCH(A25,RESUMEN!$AX:$AX,0),1),"")</f>
        <v/>
      </c>
      <c r="D25" s="17" t="str">
        <f>IFERROR(INDEX(RESUMEN!$G:$G,MATCH(A25,RESUMEN!$AY:$AY,0),1),"")</f>
        <v/>
      </c>
      <c r="E25" s="4" t="str">
        <f>IFERROR(INDEX(RESUMEN!$AU:$AU,MATCH(A25,RESUMEN!$AZ:$AZ,0),1),"")</f>
        <v/>
      </c>
      <c r="F25" s="17" t="str">
        <f>IFERROR(INDEX(RESUMEN!$AW:$AW,MATCH(A25,RESUMEN!$BA:$BA,0),1),"")</f>
        <v/>
      </c>
      <c r="G25" s="5" t="str">
        <f t="shared" si="0"/>
        <v/>
      </c>
    </row>
    <row r="26" spans="1:7" customFormat="1" x14ac:dyDescent="0.25">
      <c r="A26" s="4">
        <v>23</v>
      </c>
      <c r="B26" s="2" t="str">
        <f>IFERROR(INDEX(RESUMEN!$AQ:$AQ,MATCH(A26,RESUMEN!$AX:$AX,0),1),"")</f>
        <v/>
      </c>
      <c r="C26" s="5" t="str">
        <f>IFERROR(INDEX(RESUMEN!$AR:$AR,MATCH(A26,RESUMEN!$AX:$AX,0),1),"")</f>
        <v/>
      </c>
      <c r="D26" s="17" t="str">
        <f>IFERROR(INDEX(RESUMEN!$G:$G,MATCH(A26,RESUMEN!$AY:$AY,0),1),"")</f>
        <v/>
      </c>
      <c r="E26" s="4" t="str">
        <f>IFERROR(INDEX(RESUMEN!$AU:$AU,MATCH(A26,RESUMEN!$AZ:$AZ,0),1),"")</f>
        <v/>
      </c>
      <c r="F26" s="17" t="str">
        <f>IFERROR(INDEX(RESUMEN!$AW:$AW,MATCH(A26,RESUMEN!$BA:$BA,0),1),"")</f>
        <v/>
      </c>
      <c r="G26" s="5" t="str">
        <f t="shared" si="0"/>
        <v/>
      </c>
    </row>
    <row r="27" spans="1:7" customFormat="1" x14ac:dyDescent="0.25">
      <c r="A27" s="4">
        <v>24</v>
      </c>
      <c r="B27" s="2" t="str">
        <f>IFERROR(INDEX(RESUMEN!$AQ:$AQ,MATCH(A27,RESUMEN!$AX:$AX,0),1),"")</f>
        <v/>
      </c>
      <c r="C27" s="5" t="str">
        <f>IFERROR(INDEX(RESUMEN!$AR:$AR,MATCH(A27,RESUMEN!$AX:$AX,0),1),"")</f>
        <v/>
      </c>
      <c r="D27" s="17" t="str">
        <f>IFERROR(INDEX(RESUMEN!$G:$G,MATCH(A27,RESUMEN!$AY:$AY,0),1),"")</f>
        <v/>
      </c>
      <c r="E27" s="4" t="str">
        <f>IFERROR(INDEX(RESUMEN!$AU:$AU,MATCH(A27,RESUMEN!$AZ:$AZ,0),1),"")</f>
        <v/>
      </c>
      <c r="F27" s="17" t="str">
        <f>IFERROR(INDEX(RESUMEN!$AW:$AW,MATCH(A27,RESUMEN!$BA:$BA,0),1),"")</f>
        <v/>
      </c>
      <c r="G27" s="5" t="str">
        <f t="shared" si="0"/>
        <v/>
      </c>
    </row>
    <row r="28" spans="1:7" customFormat="1" x14ac:dyDescent="0.25">
      <c r="A28" s="6">
        <v>25</v>
      </c>
      <c r="B28" s="9" t="str">
        <f>IFERROR(INDEX(RESUMEN!$AQ:$AQ,MATCH(A28,RESUMEN!$AX:$AX,0),1),"")</f>
        <v/>
      </c>
      <c r="C28" s="7" t="str">
        <f>IFERROR(INDEX(RESUMEN!$AR:$AR,MATCH(A28,RESUMEN!$AX:$AX,0),1),"")</f>
        <v/>
      </c>
      <c r="D28" s="18" t="str">
        <f>IFERROR(INDEX(RESUMEN!$G:$G,MATCH(A28,RESUMEN!$AY:$AY,0),1),"")</f>
        <v/>
      </c>
      <c r="E28" s="6" t="str">
        <f>IFERROR(INDEX(RESUMEN!$AU:$AU,MATCH(A28,RESUMEN!$AZ:$AZ,0),1),"")</f>
        <v/>
      </c>
      <c r="F28" s="18" t="str">
        <f>IFERROR(INDEX(RESUMEN!$AW:$AW,MATCH(A28,RESUMEN!$BA:$BA,0),1),"")</f>
        <v/>
      </c>
      <c r="G28" s="7" t="str">
        <f t="shared" si="0"/>
        <v/>
      </c>
    </row>
  </sheetData>
  <mergeCells count="4">
    <mergeCell ref="A1:C1"/>
    <mergeCell ref="D1:D2"/>
    <mergeCell ref="E1:E2"/>
    <mergeCell ref="F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RESUMEN</vt:lpstr>
      <vt:lpstr>RESUMEN!FcDetalle</vt:lpstr>
      <vt:lpstr>RESUMEN!FcMeses</vt:lpstr>
      <vt:lpstr>RESUMEN!FcPeriodo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Sistemas</cp:lastModifiedBy>
  <dcterms:created xsi:type="dcterms:W3CDTF">2015-03-10T14:20:49Z</dcterms:created>
  <dcterms:modified xsi:type="dcterms:W3CDTF">2015-04-16T17:01:26Z</dcterms:modified>
</cp:coreProperties>
</file>