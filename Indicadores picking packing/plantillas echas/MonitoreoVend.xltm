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plicaciones LYS\NuevoComercial\Plantilla\"/>
    </mc:Choice>
  </mc:AlternateContent>
  <bookViews>
    <workbookView xWindow="0" yWindow="0" windowWidth="15360" windowHeight="7755" tabRatio="834"/>
  </bookViews>
  <sheets>
    <sheet name="RESUMEN" sheetId="1" r:id="rId1"/>
    <sheet name="PORVENDEDOR" sheetId="7" r:id="rId2"/>
    <sheet name="VELOCIMETRO" sheetId="11" state="veryHidden" r:id="rId3"/>
    <sheet name="FACTURA" sheetId="13" r:id="rId4"/>
    <sheet name="PEDIDO" sheetId="14" r:id="rId5"/>
    <sheet name="VISITA" sheetId="12" r:id="rId6"/>
    <sheet name="CLIENTE" sheetId="17" r:id="rId7"/>
    <sheet name="VENDEDOR" sheetId="15" r:id="rId8"/>
    <sheet name="FERIADO" sheetId="19" r:id="rId9"/>
    <sheet name="RESX" sheetId="16" r:id="rId10"/>
    <sheet name="COMISION" sheetId="18" state="veryHidden" r:id="rId11"/>
  </sheets>
  <definedNames>
    <definedName name="_xlnm._FilterDatabase" localSheetId="6" hidden="1">CLIENTE!$A$1:$BI$2</definedName>
    <definedName name="_xlnm._FilterDatabase" localSheetId="10" hidden="1">COMISION!$A$1:$H$1</definedName>
    <definedName name="_xlnm._FilterDatabase" localSheetId="3" hidden="1">FACTURA!$A$1:$AR$2</definedName>
    <definedName name="_xlnm._FilterDatabase" localSheetId="8" hidden="1">FERIADO!$A$1:$B$1</definedName>
    <definedName name="_xlnm._FilterDatabase" localSheetId="4" hidden="1">PEDIDO!$A$1:$AR$2</definedName>
    <definedName name="_xlnm._FilterDatabase" localSheetId="9" hidden="1">RESX!$A$1:$Q$22</definedName>
    <definedName name="_xlnm._FilterDatabase" localSheetId="7" hidden="1">VENDEDOR!$A$1:$T$2</definedName>
    <definedName name="_xlnm._FilterDatabase" localSheetId="5" hidden="1">VISITA!$A$1:$AM$2</definedName>
    <definedName name="FcDetalle" localSheetId="6">CLIENTE!$A$2:$BI$2</definedName>
    <definedName name="FcDetalle" localSheetId="10">COMISION!$A$2:$H$2</definedName>
    <definedName name="FcDetalle" localSheetId="3">FACTURA!$A$2:$AR$2</definedName>
    <definedName name="FcDetalle" localSheetId="8">FERIADO!$A$2:$B$2</definedName>
    <definedName name="FcDetalle" localSheetId="4">PEDIDO!$A$2:$AR$2</definedName>
    <definedName name="FcDetalle" localSheetId="7">VENDEDOR!$A$2:$T$2</definedName>
    <definedName name="FcDetalle" localSheetId="5">VISITA!$A$2:$AM$2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" l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" i="16"/>
  <c r="B106" i="1" l="1"/>
  <c r="B107" i="1"/>
  <c r="B108" i="1"/>
  <c r="B109" i="1"/>
  <c r="B110" i="1"/>
  <c r="B96" i="1"/>
  <c r="B97" i="1"/>
  <c r="B98" i="1"/>
  <c r="B99" i="1"/>
  <c r="B100" i="1"/>
  <c r="B101" i="1"/>
  <c r="B102" i="1"/>
  <c r="B103" i="1"/>
  <c r="B104" i="1"/>
  <c r="B105" i="1"/>
  <c r="B94" i="1"/>
  <c r="B95" i="1"/>
  <c r="B93" i="1"/>
  <c r="B92" i="1"/>
  <c r="A2" i="7" l="1"/>
  <c r="P28" i="7" s="1"/>
  <c r="A2" i="1"/>
  <c r="T29" i="7" l="1"/>
  <c r="T51" i="7" s="1"/>
  <c r="AB29" i="7"/>
  <c r="AB51" i="7" s="1"/>
  <c r="AJ29" i="7"/>
  <c r="AJ51" i="7" s="1"/>
  <c r="AR29" i="7"/>
  <c r="AR51" i="7" s="1"/>
  <c r="AD29" i="7"/>
  <c r="AD51" i="7" s="1"/>
  <c r="AL29" i="7"/>
  <c r="AL51" i="7" s="1"/>
  <c r="AM29" i="7"/>
  <c r="AM51" i="7" s="1"/>
  <c r="X29" i="7"/>
  <c r="X51" i="7" s="1"/>
  <c r="AF29" i="7"/>
  <c r="AF51" i="7" s="1"/>
  <c r="AV29" i="7"/>
  <c r="AV51" i="7" s="1"/>
  <c r="AW29" i="7"/>
  <c r="AW51" i="7" s="1"/>
  <c r="AH29" i="7"/>
  <c r="AH51" i="7" s="1"/>
  <c r="AQ29" i="7"/>
  <c r="AQ51" i="7" s="1"/>
  <c r="U29" i="7"/>
  <c r="U51" i="7" s="1"/>
  <c r="AC29" i="7"/>
  <c r="AC51" i="7" s="1"/>
  <c r="AK29" i="7"/>
  <c r="AK51" i="7" s="1"/>
  <c r="AS29" i="7"/>
  <c r="AS51" i="7" s="1"/>
  <c r="V29" i="7"/>
  <c r="V51" i="7" s="1"/>
  <c r="AT29" i="7"/>
  <c r="AT51" i="7" s="1"/>
  <c r="AU29" i="7"/>
  <c r="AU51" i="7" s="1"/>
  <c r="AN29" i="7"/>
  <c r="AN51" i="7" s="1"/>
  <c r="Y29" i="7"/>
  <c r="Y51" i="7" s="1"/>
  <c r="AO29" i="7"/>
  <c r="AO51" i="7" s="1"/>
  <c r="Z29" i="7"/>
  <c r="Z51" i="7" s="1"/>
  <c r="AA29" i="7"/>
  <c r="AA51" i="7" s="1"/>
  <c r="W29" i="7"/>
  <c r="W51" i="7" s="1"/>
  <c r="AE29" i="7"/>
  <c r="AE51" i="7" s="1"/>
  <c r="AG29" i="7"/>
  <c r="AG51" i="7" s="1"/>
  <c r="AP29" i="7"/>
  <c r="AP51" i="7" s="1"/>
  <c r="AI29" i="7"/>
  <c r="AI51" i="7" s="1"/>
  <c r="S29" i="7"/>
  <c r="K41" i="1"/>
  <c r="AT50" i="7"/>
  <c r="AU50" i="7"/>
  <c r="AV50" i="7"/>
  <c r="AW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S50" i="7"/>
  <c r="S49" i="7" l="1"/>
  <c r="S51" i="7"/>
  <c r="AK33" i="7"/>
  <c r="AK49" i="7"/>
  <c r="AO33" i="7"/>
  <c r="AO49" i="7"/>
  <c r="AC33" i="7"/>
  <c r="AC49" i="7"/>
  <c r="AM33" i="7"/>
  <c r="AM49" i="7"/>
  <c r="X33" i="7"/>
  <c r="X49" i="7"/>
  <c r="AI33" i="7"/>
  <c r="AI49" i="7"/>
  <c r="U33" i="7"/>
  <c r="U49" i="7"/>
  <c r="AL33" i="7"/>
  <c r="AL49" i="7"/>
  <c r="Z33" i="7"/>
  <c r="Z49" i="7"/>
  <c r="Y33" i="7"/>
  <c r="Y49" i="7"/>
  <c r="AP33" i="7"/>
  <c r="AP49" i="7"/>
  <c r="AN33" i="7"/>
  <c r="AN49" i="7"/>
  <c r="AQ33" i="7"/>
  <c r="AQ49" i="7"/>
  <c r="AD33" i="7"/>
  <c r="AD49" i="7"/>
  <c r="AG33" i="7"/>
  <c r="AG49" i="7"/>
  <c r="AU33" i="7"/>
  <c r="AU49" i="7"/>
  <c r="AH33" i="7"/>
  <c r="AH49" i="7"/>
  <c r="AR33" i="7"/>
  <c r="AR49" i="7"/>
  <c r="AE33" i="7"/>
  <c r="AE49" i="7"/>
  <c r="AT33" i="7"/>
  <c r="AT49" i="7"/>
  <c r="AW33" i="7"/>
  <c r="AW49" i="7"/>
  <c r="AJ33" i="7"/>
  <c r="AJ49" i="7"/>
  <c r="W33" i="7"/>
  <c r="W49" i="7"/>
  <c r="V33" i="7"/>
  <c r="V49" i="7"/>
  <c r="AV33" i="7"/>
  <c r="AV49" i="7"/>
  <c r="AB33" i="7"/>
  <c r="AB49" i="7"/>
  <c r="AA33" i="7"/>
  <c r="AA49" i="7"/>
  <c r="AS33" i="7"/>
  <c r="AS49" i="7"/>
  <c r="AF33" i="7"/>
  <c r="AF49" i="7"/>
  <c r="T33" i="7"/>
  <c r="T49" i="7"/>
  <c r="S32" i="7"/>
  <c r="S33" i="7"/>
  <c r="AO30" i="7"/>
  <c r="AO32" i="7"/>
  <c r="AC30" i="7"/>
  <c r="AC32" i="7"/>
  <c r="AM30" i="7"/>
  <c r="AM32" i="7"/>
  <c r="AI30" i="7"/>
  <c r="AI32" i="7"/>
  <c r="Y30" i="7"/>
  <c r="Y32" i="7"/>
  <c r="U30" i="7"/>
  <c r="U32" i="7"/>
  <c r="AL30" i="7"/>
  <c r="AL32" i="7"/>
  <c r="AP30" i="7"/>
  <c r="AP32" i="7"/>
  <c r="AN30" i="7"/>
  <c r="AN32" i="7"/>
  <c r="AQ30" i="7"/>
  <c r="AQ32" i="7"/>
  <c r="AD30" i="7"/>
  <c r="AD32" i="7"/>
  <c r="Z30" i="7"/>
  <c r="Z32" i="7"/>
  <c r="AG30" i="7"/>
  <c r="AG32" i="7"/>
  <c r="AU30" i="7"/>
  <c r="AU32" i="7"/>
  <c r="AH30" i="7"/>
  <c r="AH32" i="7"/>
  <c r="AR30" i="7"/>
  <c r="AR32" i="7"/>
  <c r="X30" i="7"/>
  <c r="X32" i="7"/>
  <c r="AE30" i="7"/>
  <c r="AE32" i="7"/>
  <c r="AT30" i="7"/>
  <c r="AT32" i="7"/>
  <c r="AW30" i="7"/>
  <c r="AW32" i="7"/>
  <c r="AJ30" i="7"/>
  <c r="AJ32" i="7"/>
  <c r="AK30" i="7"/>
  <c r="AK32" i="7"/>
  <c r="W30" i="7"/>
  <c r="W32" i="7"/>
  <c r="V30" i="7"/>
  <c r="V32" i="7"/>
  <c r="AV30" i="7"/>
  <c r="AV32" i="7"/>
  <c r="AB30" i="7"/>
  <c r="AB32" i="7"/>
  <c r="AA30" i="7"/>
  <c r="AA32" i="7"/>
  <c r="AS30" i="7"/>
  <c r="AS32" i="7"/>
  <c r="AF30" i="7"/>
  <c r="AF32" i="7"/>
  <c r="T30" i="7"/>
  <c r="T32" i="7"/>
  <c r="S30" i="7"/>
  <c r="E43" i="1"/>
  <c r="E44" i="1" s="1"/>
  <c r="H43" i="1"/>
  <c r="H48" i="1" s="1"/>
  <c r="P43" i="1"/>
  <c r="P48" i="1" s="1"/>
  <c r="X43" i="1"/>
  <c r="Y91" i="1" s="1"/>
  <c r="AF43" i="1"/>
  <c r="AG91" i="1" s="1"/>
  <c r="I43" i="1"/>
  <c r="I48" i="1" s="1"/>
  <c r="Q43" i="1"/>
  <c r="Q48" i="1" s="1"/>
  <c r="Y43" i="1"/>
  <c r="Z91" i="1" s="1"/>
  <c r="AG43" i="1"/>
  <c r="AH91" i="1" s="1"/>
  <c r="F43" i="1"/>
  <c r="F48" i="1" s="1"/>
  <c r="V43" i="1"/>
  <c r="W43" i="1"/>
  <c r="X91" i="1" s="1"/>
  <c r="J43" i="1"/>
  <c r="J48" i="1" s="1"/>
  <c r="R43" i="1"/>
  <c r="R48" i="1" s="1"/>
  <c r="Z43" i="1"/>
  <c r="AA91" i="1" s="1"/>
  <c r="AH43" i="1"/>
  <c r="AI91" i="1" s="1"/>
  <c r="K43" i="1"/>
  <c r="K48" i="1" s="1"/>
  <c r="S43" i="1"/>
  <c r="S48" i="1" s="1"/>
  <c r="AA43" i="1"/>
  <c r="AB91" i="1" s="1"/>
  <c r="AI43" i="1"/>
  <c r="AJ91" i="1" s="1"/>
  <c r="AC43" i="1"/>
  <c r="AD91" i="1" s="1"/>
  <c r="N43" i="1"/>
  <c r="N48" i="1" s="1"/>
  <c r="O43" i="1"/>
  <c r="O48" i="1" s="1"/>
  <c r="L43" i="1"/>
  <c r="L48" i="1" s="1"/>
  <c r="T43" i="1"/>
  <c r="T48" i="1" s="1"/>
  <c r="AB43" i="1"/>
  <c r="AC91" i="1" s="1"/>
  <c r="M43" i="1"/>
  <c r="M48" i="1" s="1"/>
  <c r="U43" i="1"/>
  <c r="U48" i="1" s="1"/>
  <c r="AD43" i="1"/>
  <c r="AE91" i="1" s="1"/>
  <c r="G43" i="1"/>
  <c r="G48" i="1" s="1"/>
  <c r="AE43" i="1"/>
  <c r="AF91" i="1" s="1"/>
  <c r="N147" i="1"/>
  <c r="N148" i="1"/>
  <c r="N149" i="1"/>
  <c r="N150" i="1"/>
  <c r="N151" i="1"/>
  <c r="N152" i="1"/>
  <c r="N153" i="1"/>
  <c r="F91" i="1" l="1"/>
  <c r="R91" i="1"/>
  <c r="S91" i="1"/>
  <c r="P91" i="1"/>
  <c r="V91" i="1"/>
  <c r="N91" i="1"/>
  <c r="W91" i="1"/>
  <c r="V48" i="1"/>
  <c r="Q91" i="1"/>
  <c r="O91" i="1"/>
  <c r="T91" i="1"/>
  <c r="U91" i="1"/>
  <c r="K91" i="1"/>
  <c r="H91" i="1"/>
  <c r="J91" i="1"/>
  <c r="M91" i="1"/>
  <c r="G91" i="1"/>
  <c r="I91" i="1"/>
  <c r="L91" i="1"/>
  <c r="AI83" i="1"/>
  <c r="AI84" i="1" s="1"/>
  <c r="AJ90" i="1"/>
  <c r="T83" i="1"/>
  <c r="T84" i="1" s="1"/>
  <c r="U90" i="1"/>
  <c r="AG83" i="1"/>
  <c r="AG84" i="1" s="1"/>
  <c r="AH90" i="1"/>
  <c r="Y83" i="1"/>
  <c r="Y84" i="1" s="1"/>
  <c r="Z90" i="1"/>
  <c r="AE83" i="1"/>
  <c r="AE84" i="1" s="1"/>
  <c r="AF90" i="1"/>
  <c r="O83" i="1"/>
  <c r="O84" i="1" s="1"/>
  <c r="P90" i="1"/>
  <c r="Z83" i="1"/>
  <c r="Z84" i="1" s="1"/>
  <c r="AA90" i="1"/>
  <c r="Q83" i="1"/>
  <c r="Q84" i="1" s="1"/>
  <c r="R90" i="1"/>
  <c r="K83" i="1"/>
  <c r="K84" i="1" s="1"/>
  <c r="L90" i="1"/>
  <c r="L83" i="1"/>
  <c r="L84" i="1" s="1"/>
  <c r="M90" i="1"/>
  <c r="G83" i="1"/>
  <c r="G84" i="1" s="1"/>
  <c r="H90" i="1"/>
  <c r="N83" i="1"/>
  <c r="N84" i="1" s="1"/>
  <c r="O90" i="1"/>
  <c r="R83" i="1"/>
  <c r="R84" i="1" s="1"/>
  <c r="S90" i="1"/>
  <c r="I83" i="1"/>
  <c r="I84" i="1" s="1"/>
  <c r="J90" i="1"/>
  <c r="AH83" i="1"/>
  <c r="AH84" i="1" s="1"/>
  <c r="AI90" i="1"/>
  <c r="AD83" i="1"/>
  <c r="AD84" i="1" s="1"/>
  <c r="AE90" i="1"/>
  <c r="AC83" i="1"/>
  <c r="AC84" i="1" s="1"/>
  <c r="AD90" i="1"/>
  <c r="J83" i="1"/>
  <c r="J84" i="1" s="1"/>
  <c r="K90" i="1"/>
  <c r="AF83" i="1"/>
  <c r="AF84" i="1" s="1"/>
  <c r="AG90" i="1"/>
  <c r="U83" i="1"/>
  <c r="U84" i="1" s="1"/>
  <c r="V90" i="1"/>
  <c r="X83" i="1"/>
  <c r="X84" i="1" s="1"/>
  <c r="Y90" i="1"/>
  <c r="M83" i="1"/>
  <c r="M84" i="1" s="1"/>
  <c r="N90" i="1"/>
  <c r="AA83" i="1"/>
  <c r="AA84" i="1" s="1"/>
  <c r="AB90" i="1"/>
  <c r="V83" i="1"/>
  <c r="V84" i="1" s="1"/>
  <c r="W90" i="1"/>
  <c r="P83" i="1"/>
  <c r="P84" i="1" s="1"/>
  <c r="Q90" i="1"/>
  <c r="W83" i="1"/>
  <c r="W84" i="1" s="1"/>
  <c r="X90" i="1"/>
  <c r="AB83" i="1"/>
  <c r="AB84" i="1" s="1"/>
  <c r="AC90" i="1"/>
  <c r="S83" i="1"/>
  <c r="S84" i="1" s="1"/>
  <c r="T90" i="1"/>
  <c r="F83" i="1"/>
  <c r="F84" i="1" s="1"/>
  <c r="G90" i="1"/>
  <c r="H83" i="1"/>
  <c r="H84" i="1" s="1"/>
  <c r="I90" i="1"/>
  <c r="E83" i="1"/>
  <c r="E84" i="1" s="1"/>
  <c r="E85" i="1" s="1"/>
  <c r="F90" i="1"/>
  <c r="M55" i="1"/>
  <c r="M56" i="1"/>
  <c r="AI55" i="1"/>
  <c r="AI56" i="1"/>
  <c r="Z55" i="1"/>
  <c r="Z56" i="1"/>
  <c r="AF55" i="1"/>
  <c r="AF56" i="1"/>
  <c r="P55" i="1"/>
  <c r="P56" i="1"/>
  <c r="AA55" i="1"/>
  <c r="AA56" i="1"/>
  <c r="R55" i="1"/>
  <c r="R56" i="1"/>
  <c r="H55" i="1"/>
  <c r="H56" i="1"/>
  <c r="O55" i="1"/>
  <c r="O56" i="1"/>
  <c r="S55" i="1"/>
  <c r="S56" i="1"/>
  <c r="J55" i="1"/>
  <c r="J56" i="1"/>
  <c r="AE55" i="1"/>
  <c r="AE56" i="1"/>
  <c r="AD55" i="1"/>
  <c r="AD56" i="1"/>
  <c r="K55" i="1"/>
  <c r="K56" i="1"/>
  <c r="AG55" i="1"/>
  <c r="AG56" i="1"/>
  <c r="V55" i="1"/>
  <c r="V56" i="1"/>
  <c r="X55" i="1"/>
  <c r="X56" i="1"/>
  <c r="Y55" i="1"/>
  <c r="Y56" i="1"/>
  <c r="AJ55" i="1"/>
  <c r="AJ56" i="1"/>
  <c r="N55" i="1"/>
  <c r="N56" i="1"/>
  <c r="AB55" i="1"/>
  <c r="AB56" i="1"/>
  <c r="W55" i="1"/>
  <c r="W56" i="1"/>
  <c r="Q55" i="1"/>
  <c r="Q56" i="1"/>
  <c r="AC55" i="1"/>
  <c r="AC56" i="1"/>
  <c r="T55" i="1"/>
  <c r="T56" i="1"/>
  <c r="G55" i="1"/>
  <c r="G56" i="1"/>
  <c r="I55" i="1"/>
  <c r="I56" i="1"/>
  <c r="U55" i="1"/>
  <c r="U56" i="1"/>
  <c r="L55" i="1"/>
  <c r="L56" i="1"/>
  <c r="AH55" i="1"/>
  <c r="AH56" i="1"/>
  <c r="F55" i="1"/>
  <c r="F56" i="1"/>
  <c r="L44" i="1"/>
  <c r="Y44" i="1"/>
  <c r="Y48" i="1"/>
  <c r="AE44" i="1"/>
  <c r="AE48" i="1"/>
  <c r="O44" i="1"/>
  <c r="Z44" i="1"/>
  <c r="Z48" i="1"/>
  <c r="Q44" i="1"/>
  <c r="AH44" i="1"/>
  <c r="AH48" i="1"/>
  <c r="G44" i="1"/>
  <c r="N44" i="1"/>
  <c r="R44" i="1"/>
  <c r="I44" i="1"/>
  <c r="AD44" i="1"/>
  <c r="AD48" i="1"/>
  <c r="AC44" i="1"/>
  <c r="AC48" i="1"/>
  <c r="J44" i="1"/>
  <c r="AF44" i="1"/>
  <c r="AF48" i="1"/>
  <c r="U44" i="1"/>
  <c r="AI44" i="1"/>
  <c r="AI48" i="1"/>
  <c r="W44" i="1"/>
  <c r="W48" i="1"/>
  <c r="X44" i="1"/>
  <c r="X48" i="1"/>
  <c r="M44" i="1"/>
  <c r="AA44" i="1"/>
  <c r="AA48" i="1"/>
  <c r="V44" i="1"/>
  <c r="P44" i="1"/>
  <c r="AB44" i="1"/>
  <c r="AB48" i="1"/>
  <c r="S44" i="1"/>
  <c r="F44" i="1"/>
  <c r="H44" i="1"/>
  <c r="T44" i="1"/>
  <c r="K44" i="1"/>
  <c r="AG44" i="1"/>
  <c r="AG48" i="1"/>
  <c r="E48" i="1"/>
  <c r="F85" i="1" l="1"/>
  <c r="N22" i="16"/>
  <c r="G85" i="1" l="1"/>
  <c r="V147" i="1"/>
  <c r="V148" i="1"/>
  <c r="V149" i="1"/>
  <c r="V150" i="1"/>
  <c r="V151" i="1"/>
  <c r="V152" i="1"/>
  <c r="V153" i="1"/>
  <c r="V146" i="1"/>
  <c r="M147" i="1"/>
  <c r="M148" i="1"/>
  <c r="M149" i="1"/>
  <c r="M150" i="1"/>
  <c r="M151" i="1"/>
  <c r="M152" i="1"/>
  <c r="M153" i="1"/>
  <c r="M146" i="1"/>
  <c r="H85" i="1" l="1"/>
  <c r="B242" i="1"/>
  <c r="B243" i="1"/>
  <c r="B244" i="1"/>
  <c r="B245" i="1"/>
  <c r="B246" i="1"/>
  <c r="B247" i="1"/>
  <c r="B248" i="1"/>
  <c r="B249" i="1"/>
  <c r="B232" i="1"/>
  <c r="B233" i="1"/>
  <c r="B234" i="1"/>
  <c r="B235" i="1"/>
  <c r="B236" i="1"/>
  <c r="B237" i="1"/>
  <c r="B238" i="1"/>
  <c r="B239" i="1"/>
  <c r="B240" i="1"/>
  <c r="B241" i="1"/>
  <c r="B231" i="1"/>
  <c r="B230" i="1"/>
  <c r="G201" i="1"/>
  <c r="I201" i="1" s="1"/>
  <c r="E201" i="1"/>
  <c r="F201" i="1" s="1"/>
  <c r="B199" i="1" s="1"/>
  <c r="B224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06" i="1"/>
  <c r="B205" i="1"/>
  <c r="U189" i="1"/>
  <c r="U190" i="1"/>
  <c r="U191" i="1"/>
  <c r="U192" i="1"/>
  <c r="U193" i="1"/>
  <c r="U194" i="1"/>
  <c r="U188" i="1"/>
  <c r="Q189" i="1"/>
  <c r="Q190" i="1"/>
  <c r="Q191" i="1"/>
  <c r="Q192" i="1"/>
  <c r="Q193" i="1"/>
  <c r="Q194" i="1"/>
  <c r="P189" i="1"/>
  <c r="P190" i="1"/>
  <c r="P191" i="1"/>
  <c r="P192" i="1"/>
  <c r="P193" i="1"/>
  <c r="P194" i="1"/>
  <c r="O189" i="1"/>
  <c r="O190" i="1"/>
  <c r="O191" i="1"/>
  <c r="O192" i="1"/>
  <c r="R192" i="1" s="1"/>
  <c r="O193" i="1"/>
  <c r="O194" i="1"/>
  <c r="Q188" i="1"/>
  <c r="P188" i="1"/>
  <c r="I85" i="1" l="1"/>
  <c r="R191" i="1"/>
  <c r="H201" i="1"/>
  <c r="R190" i="1"/>
  <c r="R193" i="1"/>
  <c r="R189" i="1"/>
  <c r="R194" i="1"/>
  <c r="J85" i="1" l="1"/>
  <c r="N201" i="1"/>
  <c r="M203" i="1" s="1"/>
  <c r="M201" i="1"/>
  <c r="I203" i="1" s="1"/>
  <c r="L201" i="1"/>
  <c r="E203" i="1" s="1"/>
  <c r="P201" i="1"/>
  <c r="U203" i="1" s="1"/>
  <c r="O201" i="1"/>
  <c r="Q203" i="1" s="1"/>
  <c r="K85" i="1" l="1"/>
  <c r="O188" i="1"/>
  <c r="R188" i="1" s="1"/>
  <c r="N189" i="1"/>
  <c r="S189" i="1" s="1"/>
  <c r="N190" i="1"/>
  <c r="S190" i="1" s="1"/>
  <c r="N191" i="1"/>
  <c r="S191" i="1" s="1"/>
  <c r="N192" i="1"/>
  <c r="S192" i="1" s="1"/>
  <c r="N193" i="1"/>
  <c r="S193" i="1" s="1"/>
  <c r="N194" i="1"/>
  <c r="S194" i="1" s="1"/>
  <c r="N188" i="1"/>
  <c r="M189" i="1"/>
  <c r="M190" i="1"/>
  <c r="M191" i="1"/>
  <c r="M192" i="1"/>
  <c r="M193" i="1"/>
  <c r="M194" i="1"/>
  <c r="M188" i="1"/>
  <c r="I189" i="1"/>
  <c r="I190" i="1"/>
  <c r="I191" i="1"/>
  <c r="I192" i="1"/>
  <c r="I193" i="1"/>
  <c r="I194" i="1"/>
  <c r="H189" i="1"/>
  <c r="H190" i="1"/>
  <c r="H191" i="1"/>
  <c r="H192" i="1"/>
  <c r="H193" i="1"/>
  <c r="H194" i="1"/>
  <c r="G189" i="1"/>
  <c r="G190" i="1"/>
  <c r="G191" i="1"/>
  <c r="G192" i="1"/>
  <c r="G193" i="1"/>
  <c r="G194" i="1"/>
  <c r="I188" i="1"/>
  <c r="H188" i="1"/>
  <c r="G188" i="1"/>
  <c r="L85" i="1" l="1"/>
  <c r="J194" i="1"/>
  <c r="J193" i="1"/>
  <c r="J192" i="1"/>
  <c r="J191" i="1"/>
  <c r="J190" i="1"/>
  <c r="J189" i="1"/>
  <c r="J188" i="1"/>
  <c r="F189" i="1"/>
  <c r="F190" i="1"/>
  <c r="F191" i="1"/>
  <c r="F192" i="1"/>
  <c r="F193" i="1"/>
  <c r="F194" i="1"/>
  <c r="F188" i="1"/>
  <c r="E189" i="1"/>
  <c r="E190" i="1"/>
  <c r="E191" i="1"/>
  <c r="E192" i="1"/>
  <c r="E193" i="1"/>
  <c r="E194" i="1"/>
  <c r="E188" i="1"/>
  <c r="Q195" i="1"/>
  <c r="I195" i="1"/>
  <c r="W147" i="1"/>
  <c r="W148" i="1"/>
  <c r="W149" i="1"/>
  <c r="W150" i="1"/>
  <c r="W151" i="1"/>
  <c r="W152" i="1"/>
  <c r="W153" i="1"/>
  <c r="W146" i="1"/>
  <c r="R147" i="1"/>
  <c r="R148" i="1"/>
  <c r="R149" i="1"/>
  <c r="R150" i="1"/>
  <c r="R151" i="1"/>
  <c r="R152" i="1"/>
  <c r="R153" i="1"/>
  <c r="Q147" i="1"/>
  <c r="Q148" i="1"/>
  <c r="Q149" i="1"/>
  <c r="Q150" i="1"/>
  <c r="Q151" i="1"/>
  <c r="Q152" i="1"/>
  <c r="Q153" i="1"/>
  <c r="P147" i="1"/>
  <c r="P148" i="1"/>
  <c r="P149" i="1"/>
  <c r="P150" i="1"/>
  <c r="P151" i="1"/>
  <c r="P152" i="1"/>
  <c r="P153" i="1"/>
  <c r="R146" i="1"/>
  <c r="Q146" i="1"/>
  <c r="P146" i="1"/>
  <c r="O147" i="1"/>
  <c r="O148" i="1"/>
  <c r="O149" i="1"/>
  <c r="O150" i="1"/>
  <c r="O151" i="1"/>
  <c r="O152" i="1"/>
  <c r="O153" i="1"/>
  <c r="O146" i="1"/>
  <c r="N146" i="1"/>
  <c r="I147" i="1"/>
  <c r="I148" i="1"/>
  <c r="I149" i="1"/>
  <c r="I150" i="1"/>
  <c r="I151" i="1"/>
  <c r="I152" i="1"/>
  <c r="I153" i="1"/>
  <c r="H147" i="1"/>
  <c r="H148" i="1"/>
  <c r="H149" i="1"/>
  <c r="H150" i="1"/>
  <c r="H151" i="1"/>
  <c r="H152" i="1"/>
  <c r="H153" i="1"/>
  <c r="G147" i="1"/>
  <c r="G148" i="1"/>
  <c r="G149" i="1"/>
  <c r="G150" i="1"/>
  <c r="G151" i="1"/>
  <c r="G152" i="1"/>
  <c r="G153" i="1"/>
  <c r="I146" i="1"/>
  <c r="H146" i="1"/>
  <c r="G146" i="1"/>
  <c r="F147" i="1"/>
  <c r="F148" i="1"/>
  <c r="F149" i="1"/>
  <c r="F150" i="1"/>
  <c r="F151" i="1"/>
  <c r="F152" i="1"/>
  <c r="F153" i="1"/>
  <c r="F146" i="1"/>
  <c r="E147" i="1"/>
  <c r="E148" i="1"/>
  <c r="E149" i="1"/>
  <c r="E150" i="1"/>
  <c r="E151" i="1"/>
  <c r="E152" i="1"/>
  <c r="E153" i="1"/>
  <c r="E146" i="1"/>
  <c r="S152" i="1" l="1"/>
  <c r="M85" i="1"/>
  <c r="S151" i="1"/>
  <c r="S153" i="1"/>
  <c r="S148" i="1"/>
  <c r="S150" i="1"/>
  <c r="K189" i="1"/>
  <c r="K190" i="1"/>
  <c r="K191" i="1"/>
  <c r="K192" i="1"/>
  <c r="K193" i="1"/>
  <c r="K194" i="1"/>
  <c r="S146" i="1"/>
  <c r="R154" i="1"/>
  <c r="S149" i="1"/>
  <c r="S147" i="1"/>
  <c r="I154" i="1"/>
  <c r="J153" i="1"/>
  <c r="J152" i="1"/>
  <c r="J151" i="1"/>
  <c r="J150" i="1"/>
  <c r="J149" i="1"/>
  <c r="J148" i="1"/>
  <c r="J147" i="1"/>
  <c r="J146" i="1"/>
  <c r="B140" i="1"/>
  <c r="B182" i="1" s="1"/>
  <c r="B134" i="1"/>
  <c r="B176" i="1" s="1"/>
  <c r="B135" i="1"/>
  <c r="B177" i="1" s="1"/>
  <c r="B136" i="1"/>
  <c r="B178" i="1" s="1"/>
  <c r="B137" i="1"/>
  <c r="B179" i="1" s="1"/>
  <c r="B138" i="1"/>
  <c r="B180" i="1" s="1"/>
  <c r="B139" i="1"/>
  <c r="B181" i="1" s="1"/>
  <c r="B123" i="1"/>
  <c r="B165" i="1" s="1"/>
  <c r="B124" i="1"/>
  <c r="B166" i="1" s="1"/>
  <c r="B125" i="1"/>
  <c r="B167" i="1" s="1"/>
  <c r="B126" i="1"/>
  <c r="B168" i="1" s="1"/>
  <c r="B127" i="1"/>
  <c r="B169" i="1" s="1"/>
  <c r="B128" i="1"/>
  <c r="B170" i="1" s="1"/>
  <c r="B129" i="1"/>
  <c r="B171" i="1" s="1"/>
  <c r="B130" i="1"/>
  <c r="B172" i="1" s="1"/>
  <c r="B131" i="1"/>
  <c r="B173" i="1" s="1"/>
  <c r="B132" i="1"/>
  <c r="B174" i="1" s="1"/>
  <c r="B133" i="1"/>
  <c r="B175" i="1" s="1"/>
  <c r="B122" i="1"/>
  <c r="B164" i="1" s="1"/>
  <c r="B121" i="1"/>
  <c r="B163" i="1" s="1"/>
  <c r="K49" i="1"/>
  <c r="W49" i="1"/>
  <c r="AA49" i="1"/>
  <c r="AI49" i="1"/>
  <c r="E49" i="1"/>
  <c r="B72" i="1"/>
  <c r="B73" i="1"/>
  <c r="B74" i="1"/>
  <c r="B75" i="1"/>
  <c r="B7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57" i="1"/>
  <c r="F49" i="1"/>
  <c r="R49" i="1"/>
  <c r="P49" i="1"/>
  <c r="AB49" i="1"/>
  <c r="S30" i="1"/>
  <c r="S29" i="1"/>
  <c r="Q30" i="1"/>
  <c r="Q29" i="1"/>
  <c r="O30" i="1"/>
  <c r="O29" i="1"/>
  <c r="N25" i="1"/>
  <c r="N24" i="1"/>
  <c r="N23" i="1"/>
  <c r="N22" i="1"/>
  <c r="N21" i="1"/>
  <c r="N20" i="1"/>
  <c r="N85" i="1" l="1"/>
  <c r="K148" i="1"/>
  <c r="T149" i="1"/>
  <c r="T147" i="1"/>
  <c r="K149" i="1"/>
  <c r="T150" i="1"/>
  <c r="T146" i="1"/>
  <c r="T148" i="1"/>
  <c r="K147" i="1"/>
  <c r="K146" i="1"/>
  <c r="Z49" i="1"/>
  <c r="AH49" i="1"/>
  <c r="U49" i="1"/>
  <c r="M49" i="1"/>
  <c r="AG49" i="1"/>
  <c r="O49" i="1"/>
  <c r="L49" i="1"/>
  <c r="Y49" i="1"/>
  <c r="H49" i="1"/>
  <c r="T49" i="1"/>
  <c r="I49" i="1"/>
  <c r="Q49" i="1"/>
  <c r="J49" i="1"/>
  <c r="AF49" i="1"/>
  <c r="X49" i="1"/>
  <c r="AC49" i="1"/>
  <c r="V49" i="1"/>
  <c r="N49" i="1"/>
  <c r="AD49" i="1"/>
  <c r="AE49" i="1"/>
  <c r="S49" i="1"/>
  <c r="G49" i="1"/>
  <c r="U30" i="1"/>
  <c r="U29" i="1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C3" i="16"/>
  <c r="H3" i="16" s="1"/>
  <c r="C4" i="16"/>
  <c r="H4" i="16" s="1"/>
  <c r="C5" i="16"/>
  <c r="H5" i="16" s="1"/>
  <c r="C6" i="16"/>
  <c r="H6" i="16" s="1"/>
  <c r="C7" i="16"/>
  <c r="H7" i="16" s="1"/>
  <c r="C8" i="16"/>
  <c r="H8" i="16" s="1"/>
  <c r="C9" i="16"/>
  <c r="H9" i="16" s="1"/>
  <c r="C10" i="16"/>
  <c r="H10" i="16" s="1"/>
  <c r="C11" i="16"/>
  <c r="H11" i="16" s="1"/>
  <c r="C12" i="16"/>
  <c r="H12" i="16" s="1"/>
  <c r="C13" i="16"/>
  <c r="H13" i="16" s="1"/>
  <c r="C14" i="16"/>
  <c r="H14" i="16" s="1"/>
  <c r="C15" i="16"/>
  <c r="H15" i="16" s="1"/>
  <c r="C16" i="16"/>
  <c r="H16" i="16" s="1"/>
  <c r="C17" i="16"/>
  <c r="H17" i="16" s="1"/>
  <c r="C18" i="16"/>
  <c r="H18" i="16" s="1"/>
  <c r="C19" i="16"/>
  <c r="H19" i="16" s="1"/>
  <c r="C20" i="16"/>
  <c r="H20" i="16" s="1"/>
  <c r="C21" i="16"/>
  <c r="H21" i="16" s="1"/>
  <c r="C2" i="16"/>
  <c r="H2" i="16" s="1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" i="16"/>
  <c r="O85" i="1" l="1"/>
  <c r="C5" i="7"/>
  <c r="N9" i="16"/>
  <c r="M9" i="16"/>
  <c r="N16" i="16"/>
  <c r="M16" i="16"/>
  <c r="N8" i="16"/>
  <c r="M8" i="16"/>
  <c r="N15" i="16"/>
  <c r="M15" i="16"/>
  <c r="N7" i="16"/>
  <c r="M7" i="16"/>
  <c r="M21" i="16"/>
  <c r="N21" i="16"/>
  <c r="M13" i="16"/>
  <c r="N13" i="16"/>
  <c r="M5" i="16"/>
  <c r="N5" i="16"/>
  <c r="M6" i="16"/>
  <c r="N6" i="16"/>
  <c r="M20" i="16"/>
  <c r="N20" i="16"/>
  <c r="N12" i="16"/>
  <c r="M12" i="16"/>
  <c r="M4" i="16"/>
  <c r="N4" i="16"/>
  <c r="M2" i="16"/>
  <c r="N2" i="16"/>
  <c r="M19" i="16"/>
  <c r="N19" i="16"/>
  <c r="M11" i="16"/>
  <c r="N11" i="16"/>
  <c r="M3" i="16"/>
  <c r="N3" i="16"/>
  <c r="N17" i="16"/>
  <c r="M17" i="16"/>
  <c r="M14" i="16"/>
  <c r="N14" i="16"/>
  <c r="N18" i="16"/>
  <c r="M18" i="16"/>
  <c r="N10" i="16"/>
  <c r="M10" i="16"/>
  <c r="F9" i="16"/>
  <c r="F16" i="16"/>
  <c r="F8" i="16"/>
  <c r="F15" i="16"/>
  <c r="F7" i="16"/>
  <c r="G2" i="16"/>
  <c r="G14" i="16"/>
  <c r="G6" i="16"/>
  <c r="G21" i="16"/>
  <c r="G13" i="16"/>
  <c r="G5" i="16"/>
  <c r="G20" i="16"/>
  <c r="G12" i="16"/>
  <c r="G4" i="16"/>
  <c r="F17" i="16"/>
  <c r="G19" i="16"/>
  <c r="G11" i="16"/>
  <c r="G3" i="16"/>
  <c r="F18" i="16"/>
  <c r="F10" i="16"/>
  <c r="E18" i="16"/>
  <c r="K18" i="16" s="1"/>
  <c r="E10" i="16"/>
  <c r="K10" i="16" s="1"/>
  <c r="F2" i="16"/>
  <c r="F14" i="16"/>
  <c r="F6" i="16"/>
  <c r="G18" i="16"/>
  <c r="G10" i="16"/>
  <c r="E17" i="16"/>
  <c r="K17" i="16" s="1"/>
  <c r="E9" i="16"/>
  <c r="K9" i="16" s="1"/>
  <c r="F21" i="16"/>
  <c r="F13" i="16"/>
  <c r="F5" i="16"/>
  <c r="G17" i="16"/>
  <c r="G9" i="16"/>
  <c r="E16" i="16"/>
  <c r="K16" i="16" s="1"/>
  <c r="E8" i="16"/>
  <c r="K8" i="16" s="1"/>
  <c r="F20" i="16"/>
  <c r="F12" i="16"/>
  <c r="F4" i="16"/>
  <c r="G16" i="16"/>
  <c r="G8" i="16"/>
  <c r="E15" i="16"/>
  <c r="K15" i="16" s="1"/>
  <c r="E7" i="16"/>
  <c r="K7" i="16" s="1"/>
  <c r="F19" i="16"/>
  <c r="F11" i="16"/>
  <c r="F3" i="16"/>
  <c r="G15" i="16"/>
  <c r="G7" i="16"/>
  <c r="E2" i="16"/>
  <c r="E14" i="16"/>
  <c r="J14" i="16" s="1"/>
  <c r="E6" i="16"/>
  <c r="K6" i="16" s="1"/>
  <c r="E21" i="16"/>
  <c r="K21" i="16" s="1"/>
  <c r="L21" i="16" s="1"/>
  <c r="E13" i="16"/>
  <c r="K13" i="16" s="1"/>
  <c r="E5" i="16"/>
  <c r="K5" i="16" s="1"/>
  <c r="E20" i="16"/>
  <c r="E12" i="16"/>
  <c r="K12" i="16" s="1"/>
  <c r="E4" i="16"/>
  <c r="K4" i="16" s="1"/>
  <c r="E19" i="16"/>
  <c r="K19" i="16" s="1"/>
  <c r="L19" i="16" s="1"/>
  <c r="E11" i="16"/>
  <c r="K11" i="16" s="1"/>
  <c r="E3" i="16"/>
  <c r="K3" i="16" s="1"/>
  <c r="E50" i="1"/>
  <c r="J2" i="16" l="1"/>
  <c r="P85" i="1"/>
  <c r="J20" i="16"/>
  <c r="K14" i="16"/>
  <c r="K2" i="16"/>
  <c r="K20" i="16"/>
  <c r="L20" i="16" s="1"/>
  <c r="AU54" i="7"/>
  <c r="AU52" i="7"/>
  <c r="AV54" i="7"/>
  <c r="AV52" i="7"/>
  <c r="V54" i="7"/>
  <c r="AW54" i="7"/>
  <c r="AW52" i="7"/>
  <c r="AA53" i="7"/>
  <c r="AT52" i="7"/>
  <c r="AT55" i="7"/>
  <c r="AT53" i="7"/>
  <c r="AU55" i="7"/>
  <c r="AU53" i="7"/>
  <c r="AV55" i="7"/>
  <c r="AV53" i="7"/>
  <c r="AW55" i="7"/>
  <c r="AW53" i="7"/>
  <c r="AW56" i="7" s="1"/>
  <c r="AT54" i="7"/>
  <c r="W54" i="7"/>
  <c r="AF53" i="7"/>
  <c r="AJ53" i="7"/>
  <c r="AH52" i="7"/>
  <c r="AV36" i="7"/>
  <c r="T55" i="7"/>
  <c r="AL54" i="7"/>
  <c r="AO52" i="7"/>
  <c r="AN52" i="7"/>
  <c r="AC54" i="7"/>
  <c r="W52" i="7"/>
  <c r="AR55" i="7"/>
  <c r="AQ54" i="7"/>
  <c r="AH54" i="7"/>
  <c r="T52" i="7"/>
  <c r="AS52" i="7"/>
  <c r="AB53" i="7"/>
  <c r="Z52" i="7"/>
  <c r="AA52" i="7"/>
  <c r="AL55" i="7"/>
  <c r="AI53" i="7"/>
  <c r="AF52" i="7"/>
  <c r="U54" i="7"/>
  <c r="AO53" i="7"/>
  <c r="AJ55" i="7"/>
  <c r="AI54" i="7"/>
  <c r="Z54" i="7"/>
  <c r="AO54" i="7"/>
  <c r="AN53" i="7"/>
  <c r="AK52" i="7"/>
  <c r="T53" i="7"/>
  <c r="AO55" i="7"/>
  <c r="U53" i="7"/>
  <c r="AS53" i="7"/>
  <c r="AD54" i="7"/>
  <c r="X52" i="7"/>
  <c r="AS55" i="7"/>
  <c r="AG53" i="7"/>
  <c r="AA54" i="7"/>
  <c r="AA56" i="7" s="1"/>
  <c r="S55" i="7"/>
  <c r="AC52" i="7"/>
  <c r="AQ55" i="7"/>
  <c r="AG55" i="7"/>
  <c r="V55" i="7"/>
  <c r="AN54" i="7"/>
  <c r="AQ52" i="7"/>
  <c r="AD55" i="7"/>
  <c r="AP53" i="7"/>
  <c r="AK55" i="7"/>
  <c r="Y53" i="7"/>
  <c r="S53" i="7"/>
  <c r="U52" i="7"/>
  <c r="AH55" i="7"/>
  <c r="Y54" i="7"/>
  <c r="AW36" i="7"/>
  <c r="AF54" i="7"/>
  <c r="Z53" i="7"/>
  <c r="Z56" i="7" s="1"/>
  <c r="AJ54" i="7"/>
  <c r="AE53" i="7"/>
  <c r="AR52" i="7"/>
  <c r="AM55" i="7"/>
  <c r="AG52" i="7"/>
  <c r="X54" i="7"/>
  <c r="AM52" i="7"/>
  <c r="AB54" i="7"/>
  <c r="AJ52" i="7"/>
  <c r="AT36" i="7"/>
  <c r="AQ53" i="7"/>
  <c r="AE52" i="7"/>
  <c r="X53" i="7"/>
  <c r="AB52" i="7"/>
  <c r="AP55" i="7"/>
  <c r="AL53" i="7"/>
  <c r="U55" i="7"/>
  <c r="AI55" i="7"/>
  <c r="Y55" i="7"/>
  <c r="AN55" i="7"/>
  <c r="AK53" i="7"/>
  <c r="AI52" i="7"/>
  <c r="AH53" i="7"/>
  <c r="AH56" i="7" s="1"/>
  <c r="AC55" i="7"/>
  <c r="AR54" i="7"/>
  <c r="AL52" i="7"/>
  <c r="AM53" i="7"/>
  <c r="Z55" i="7"/>
  <c r="W55" i="7"/>
  <c r="AD53" i="7"/>
  <c r="AA55" i="7"/>
  <c r="AU36" i="7"/>
  <c r="AC53" i="7"/>
  <c r="S52" i="7"/>
  <c r="AD52" i="7"/>
  <c r="AD56" i="7" s="1"/>
  <c r="AM54" i="7"/>
  <c r="V53" i="7"/>
  <c r="X55" i="7"/>
  <c r="Y52" i="7"/>
  <c r="AF55" i="7"/>
  <c r="AS54" i="7"/>
  <c r="AS56" i="7" s="1"/>
  <c r="V52" i="7"/>
  <c r="W53" i="7"/>
  <c r="W56" i="7" s="1"/>
  <c r="AE54" i="7"/>
  <c r="AE55" i="7"/>
  <c r="AR53" i="7"/>
  <c r="AP52" i="7"/>
  <c r="S54" i="7"/>
  <c r="AK54" i="7"/>
  <c r="T54" i="7"/>
  <c r="AP54" i="7"/>
  <c r="AB55" i="7"/>
  <c r="AG54" i="7"/>
  <c r="C8" i="7"/>
  <c r="AA34" i="7"/>
  <c r="AQ34" i="7"/>
  <c r="T34" i="7"/>
  <c r="AR10" i="7"/>
  <c r="AR9" i="7"/>
  <c r="D72" i="7"/>
  <c r="J95" i="7"/>
  <c r="I95" i="7"/>
  <c r="E95" i="7"/>
  <c r="D95" i="7"/>
  <c r="F95" i="7"/>
  <c r="C95" i="7"/>
  <c r="AT4" i="7"/>
  <c r="AA36" i="7"/>
  <c r="AP36" i="7"/>
  <c r="C72" i="7"/>
  <c r="C71" i="7"/>
  <c r="C73" i="7"/>
  <c r="AH36" i="7"/>
  <c r="T83" i="7"/>
  <c r="P86" i="7"/>
  <c r="O87" i="7"/>
  <c r="N88" i="7"/>
  <c r="M82" i="7"/>
  <c r="G85" i="7"/>
  <c r="F86" i="7"/>
  <c r="E87" i="7"/>
  <c r="D88" i="7"/>
  <c r="C82" i="7"/>
  <c r="T67" i="7"/>
  <c r="P67" i="7"/>
  <c r="O67" i="7"/>
  <c r="N67" i="7"/>
  <c r="M67" i="7"/>
  <c r="K67" i="7"/>
  <c r="G69" i="7"/>
  <c r="F70" i="7"/>
  <c r="E69" i="7"/>
  <c r="M88" i="7"/>
  <c r="E86" i="7"/>
  <c r="K74" i="7"/>
  <c r="T84" i="7"/>
  <c r="P87" i="7"/>
  <c r="O88" i="7"/>
  <c r="N82" i="7"/>
  <c r="K83" i="7"/>
  <c r="G86" i="7"/>
  <c r="F87" i="7"/>
  <c r="E88" i="7"/>
  <c r="D82" i="7"/>
  <c r="T68" i="7"/>
  <c r="P68" i="7"/>
  <c r="O68" i="7"/>
  <c r="N68" i="7"/>
  <c r="M68" i="7"/>
  <c r="K68" i="7"/>
  <c r="G70" i="7"/>
  <c r="F71" i="7"/>
  <c r="E70" i="7"/>
  <c r="O86" i="7"/>
  <c r="C88" i="7"/>
  <c r="M74" i="7"/>
  <c r="T85" i="7"/>
  <c r="P88" i="7"/>
  <c r="O82" i="7"/>
  <c r="M83" i="7"/>
  <c r="K84" i="7"/>
  <c r="G87" i="7"/>
  <c r="F88" i="7"/>
  <c r="E82" i="7"/>
  <c r="C83" i="7"/>
  <c r="T69" i="7"/>
  <c r="P69" i="7"/>
  <c r="O69" i="7"/>
  <c r="N69" i="7"/>
  <c r="M69" i="7"/>
  <c r="K69" i="7"/>
  <c r="G71" i="7"/>
  <c r="F72" i="7"/>
  <c r="E71" i="7"/>
  <c r="P85" i="7"/>
  <c r="D87" i="7"/>
  <c r="N74" i="7"/>
  <c r="T86" i="7"/>
  <c r="P82" i="7"/>
  <c r="N83" i="7"/>
  <c r="M84" i="7"/>
  <c r="K85" i="7"/>
  <c r="G88" i="7"/>
  <c r="F82" i="7"/>
  <c r="D83" i="7"/>
  <c r="C84" i="7"/>
  <c r="T70" i="7"/>
  <c r="P70" i="7"/>
  <c r="O70" i="7"/>
  <c r="N70" i="7"/>
  <c r="M70" i="7"/>
  <c r="K70" i="7"/>
  <c r="G72" i="7"/>
  <c r="F73" i="7"/>
  <c r="E72" i="7"/>
  <c r="G84" i="7"/>
  <c r="P74" i="7"/>
  <c r="G68" i="7"/>
  <c r="T87" i="7"/>
  <c r="O83" i="7"/>
  <c r="N84" i="7"/>
  <c r="M85" i="7"/>
  <c r="K86" i="7"/>
  <c r="G82" i="7"/>
  <c r="E83" i="7"/>
  <c r="D84" i="7"/>
  <c r="C85" i="7"/>
  <c r="T71" i="7"/>
  <c r="P71" i="7"/>
  <c r="O71" i="7"/>
  <c r="N71" i="7"/>
  <c r="M71" i="7"/>
  <c r="K71" i="7"/>
  <c r="G73" i="7"/>
  <c r="F74" i="7"/>
  <c r="E73" i="7"/>
  <c r="N87" i="7"/>
  <c r="T74" i="7"/>
  <c r="F69" i="7"/>
  <c r="T88" i="7"/>
  <c r="P83" i="7"/>
  <c r="O84" i="7"/>
  <c r="N85" i="7"/>
  <c r="M86" i="7"/>
  <c r="K87" i="7"/>
  <c r="F83" i="7"/>
  <c r="E84" i="7"/>
  <c r="D85" i="7"/>
  <c r="C86" i="7"/>
  <c r="T72" i="7"/>
  <c r="U72" i="7" s="1"/>
  <c r="P72" i="7"/>
  <c r="O72" i="7"/>
  <c r="N72" i="7"/>
  <c r="M72" i="7"/>
  <c r="K72" i="7"/>
  <c r="G74" i="7"/>
  <c r="G67" i="7"/>
  <c r="E74" i="7"/>
  <c r="K82" i="7"/>
  <c r="L82" i="7" s="1"/>
  <c r="T82" i="7"/>
  <c r="P84" i="7"/>
  <c r="O85" i="7"/>
  <c r="N86" i="7"/>
  <c r="M87" i="7"/>
  <c r="K88" i="7"/>
  <c r="G83" i="7"/>
  <c r="F84" i="7"/>
  <c r="E85" i="7"/>
  <c r="D86" i="7"/>
  <c r="C87" i="7"/>
  <c r="T73" i="7"/>
  <c r="P73" i="7"/>
  <c r="O73" i="7"/>
  <c r="N73" i="7"/>
  <c r="M73" i="7"/>
  <c r="K73" i="7"/>
  <c r="L73" i="7" s="1"/>
  <c r="F68" i="7"/>
  <c r="F67" i="7"/>
  <c r="E67" i="7"/>
  <c r="F85" i="7"/>
  <c r="O74" i="7"/>
  <c r="E68" i="7"/>
  <c r="AK36" i="7"/>
  <c r="AM36" i="7"/>
  <c r="X36" i="7"/>
  <c r="D69" i="7"/>
  <c r="AG36" i="7"/>
  <c r="AB36" i="7"/>
  <c r="AQ10" i="7"/>
  <c r="C68" i="7"/>
  <c r="D71" i="7"/>
  <c r="AO36" i="7"/>
  <c r="AI36" i="7"/>
  <c r="V36" i="7"/>
  <c r="D67" i="7"/>
  <c r="C70" i="7"/>
  <c r="AD36" i="7"/>
  <c r="D70" i="7"/>
  <c r="J6" i="16"/>
  <c r="AC36" i="7"/>
  <c r="S36" i="7"/>
  <c r="AF36" i="7"/>
  <c r="C74" i="7"/>
  <c r="C7" i="7"/>
  <c r="U36" i="7"/>
  <c r="AR36" i="7"/>
  <c r="C6" i="7"/>
  <c r="AE36" i="7"/>
  <c r="AQ36" i="7"/>
  <c r="AS36" i="7"/>
  <c r="Y36" i="7"/>
  <c r="C69" i="7"/>
  <c r="D74" i="7"/>
  <c r="I9" i="16"/>
  <c r="W36" i="7"/>
  <c r="AS10" i="7"/>
  <c r="Z36" i="7"/>
  <c r="AQ9" i="7"/>
  <c r="D68" i="7"/>
  <c r="D73" i="7"/>
  <c r="AN36" i="7"/>
  <c r="T36" i="7"/>
  <c r="AL36" i="7"/>
  <c r="AJ36" i="7"/>
  <c r="AS9" i="7"/>
  <c r="C67" i="7"/>
  <c r="J12" i="16"/>
  <c r="J11" i="16"/>
  <c r="I7" i="16"/>
  <c r="I16" i="16"/>
  <c r="J13" i="16"/>
  <c r="I15" i="16"/>
  <c r="I8" i="16"/>
  <c r="J4" i="16"/>
  <c r="J3" i="16"/>
  <c r="J21" i="16"/>
  <c r="I17" i="16"/>
  <c r="J19" i="16"/>
  <c r="J5" i="16"/>
  <c r="I10" i="16"/>
  <c r="I18" i="16"/>
  <c r="J9" i="16"/>
  <c r="J18" i="16"/>
  <c r="J10" i="16"/>
  <c r="J8" i="16"/>
  <c r="J17" i="16"/>
  <c r="J7" i="16"/>
  <c r="J16" i="16"/>
  <c r="J15" i="16"/>
  <c r="I13" i="16"/>
  <c r="I3" i="16"/>
  <c r="I11" i="16"/>
  <c r="I4" i="16"/>
  <c r="I6" i="16"/>
  <c r="I5" i="16"/>
  <c r="I14" i="16"/>
  <c r="I2" i="16"/>
  <c r="I12" i="16"/>
  <c r="I21" i="16"/>
  <c r="I20" i="16"/>
  <c r="I19" i="16"/>
  <c r="F50" i="1"/>
  <c r="Q87" i="7" l="1"/>
  <c r="U34" i="7"/>
  <c r="R34" i="7"/>
  <c r="AV56" i="7"/>
  <c r="Q85" i="1"/>
  <c r="Q86" i="7"/>
  <c r="AP34" i="7"/>
  <c r="L17" i="16"/>
  <c r="AN34" i="7"/>
  <c r="L14" i="16"/>
  <c r="L18" i="16"/>
  <c r="L4" i="16"/>
  <c r="L10" i="16"/>
  <c r="L3" i="16"/>
  <c r="L5" i="16"/>
  <c r="L16" i="16"/>
  <c r="L11" i="16"/>
  <c r="L7" i="16"/>
  <c r="L12" i="16"/>
  <c r="L6" i="16"/>
  <c r="L15" i="16"/>
  <c r="L8" i="16"/>
  <c r="L22" i="16"/>
  <c r="L2" i="16"/>
  <c r="L13" i="16"/>
  <c r="L9" i="16"/>
  <c r="X56" i="7"/>
  <c r="AM34" i="7"/>
  <c r="S34" i="7"/>
  <c r="AS34" i="7"/>
  <c r="AR34" i="7"/>
  <c r="AB34" i="7"/>
  <c r="AU56" i="7"/>
  <c r="AF34" i="7"/>
  <c r="AH34" i="7"/>
  <c r="Z34" i="7"/>
  <c r="AI34" i="7"/>
  <c r="AE34" i="7"/>
  <c r="AO34" i="7"/>
  <c r="H67" i="7"/>
  <c r="AG34" i="7"/>
  <c r="AL34" i="7"/>
  <c r="AW10" i="7"/>
  <c r="U73" i="7"/>
  <c r="Y34" i="7"/>
  <c r="AD34" i="7"/>
  <c r="V34" i="7"/>
  <c r="L72" i="7"/>
  <c r="X34" i="7"/>
  <c r="AC34" i="7"/>
  <c r="AK34" i="7"/>
  <c r="H95" i="7"/>
  <c r="AL56" i="7"/>
  <c r="W34" i="7"/>
  <c r="AJ34" i="7"/>
  <c r="AK56" i="7"/>
  <c r="AG56" i="7"/>
  <c r="AF56" i="7"/>
  <c r="AQ56" i="7"/>
  <c r="AM56" i="7"/>
  <c r="V56" i="7"/>
  <c r="AE56" i="7"/>
  <c r="S56" i="7"/>
  <c r="AJ56" i="7"/>
  <c r="AT35" i="7"/>
  <c r="AU35" i="7"/>
  <c r="AV35" i="7"/>
  <c r="AW35" i="7"/>
  <c r="AR56" i="7"/>
  <c r="Y56" i="7"/>
  <c r="AI56" i="7"/>
  <c r="AC56" i="7"/>
  <c r="U56" i="7"/>
  <c r="AB56" i="7"/>
  <c r="AN56" i="7"/>
  <c r="AT56" i="7"/>
  <c r="AP56" i="7"/>
  <c r="AO56" i="7"/>
  <c r="AT34" i="7"/>
  <c r="AV34" i="7"/>
  <c r="AW34" i="7"/>
  <c r="AU34" i="7"/>
  <c r="T56" i="7"/>
  <c r="H85" i="7"/>
  <c r="R35" i="7"/>
  <c r="V35" i="7"/>
  <c r="AD35" i="7"/>
  <c r="AL35" i="7"/>
  <c r="S35" i="7"/>
  <c r="AF35" i="7"/>
  <c r="AG35" i="7"/>
  <c r="AR35" i="7"/>
  <c r="AK35" i="7"/>
  <c r="W35" i="7"/>
  <c r="AE35" i="7"/>
  <c r="AM35" i="7"/>
  <c r="X35" i="7"/>
  <c r="AN35" i="7"/>
  <c r="Y35" i="7"/>
  <c r="AO35" i="7"/>
  <c r="AC35" i="7"/>
  <c r="Z35" i="7"/>
  <c r="AH35" i="7"/>
  <c r="AP35" i="7"/>
  <c r="AA35" i="7"/>
  <c r="AI35" i="7"/>
  <c r="AQ35" i="7"/>
  <c r="T35" i="7"/>
  <c r="AB35" i="7"/>
  <c r="AJ35" i="7"/>
  <c r="U35" i="7"/>
  <c r="AS35" i="7"/>
  <c r="U82" i="7"/>
  <c r="U71" i="7"/>
  <c r="L71" i="7"/>
  <c r="U88" i="7"/>
  <c r="L88" i="7"/>
  <c r="U84" i="7"/>
  <c r="U87" i="7"/>
  <c r="U85" i="7"/>
  <c r="U86" i="7"/>
  <c r="U83" i="7"/>
  <c r="L83" i="7"/>
  <c r="L86" i="7"/>
  <c r="L87" i="7"/>
  <c r="L84" i="7"/>
  <c r="L85" i="7"/>
  <c r="U67" i="7"/>
  <c r="U70" i="7"/>
  <c r="L69" i="7"/>
  <c r="U74" i="7"/>
  <c r="U68" i="7"/>
  <c r="L67" i="7"/>
  <c r="L70" i="7"/>
  <c r="L74" i="7"/>
  <c r="U69" i="7"/>
  <c r="L68" i="7"/>
  <c r="Q73" i="7"/>
  <c r="Q70" i="7"/>
  <c r="H68" i="7"/>
  <c r="I68" i="7" s="1"/>
  <c r="H71" i="7"/>
  <c r="I71" i="7" s="1"/>
  <c r="H86" i="7"/>
  <c r="AW9" i="7"/>
  <c r="AQ4" i="7" s="1"/>
  <c r="H74" i="7"/>
  <c r="I74" i="7" s="1"/>
  <c r="Q69" i="7"/>
  <c r="H70" i="7"/>
  <c r="I70" i="7" s="1"/>
  <c r="K95" i="7"/>
  <c r="Q71" i="7"/>
  <c r="H72" i="7"/>
  <c r="I72" i="7" s="1"/>
  <c r="G95" i="7"/>
  <c r="L95" i="7"/>
  <c r="H73" i="7"/>
  <c r="I73" i="7" s="1"/>
  <c r="Q68" i="7"/>
  <c r="Q72" i="7"/>
  <c r="Q84" i="7"/>
  <c r="Q74" i="7"/>
  <c r="H87" i="7"/>
  <c r="Q85" i="7"/>
  <c r="H88" i="7"/>
  <c r="Q67" i="7"/>
  <c r="G75" i="7"/>
  <c r="H83" i="7"/>
  <c r="P75" i="7"/>
  <c r="Q88" i="7"/>
  <c r="G89" i="7"/>
  <c r="Q83" i="7"/>
  <c r="H82" i="7"/>
  <c r="H69" i="7"/>
  <c r="H84" i="7"/>
  <c r="P89" i="7"/>
  <c r="Q82" i="7"/>
  <c r="AQ5" i="7" l="1"/>
  <c r="B43" i="11" s="1"/>
  <c r="B45" i="11" s="1"/>
  <c r="R85" i="1"/>
  <c r="AV9" i="7"/>
  <c r="AU9" i="7"/>
  <c r="AT9" i="7"/>
  <c r="I69" i="7"/>
  <c r="C106" i="1"/>
  <c r="C98" i="1"/>
  <c r="C95" i="1"/>
  <c r="C105" i="1"/>
  <c r="C107" i="1"/>
  <c r="C99" i="1"/>
  <c r="C93" i="1"/>
  <c r="C108" i="1"/>
  <c r="C100" i="1"/>
  <c r="C94" i="1"/>
  <c r="C96" i="1"/>
  <c r="C109" i="1"/>
  <c r="C101" i="1"/>
  <c r="C92" i="1"/>
  <c r="C104" i="1"/>
  <c r="C110" i="1"/>
  <c r="C102" i="1"/>
  <c r="C97" i="1"/>
  <c r="C103" i="1"/>
  <c r="C49" i="11" l="1"/>
  <c r="B49" i="11"/>
  <c r="AF102" i="1"/>
  <c r="X102" i="1"/>
  <c r="H102" i="1"/>
  <c r="Y102" i="1"/>
  <c r="I102" i="1"/>
  <c r="U102" i="1"/>
  <c r="M102" i="1"/>
  <c r="AH102" i="1"/>
  <c r="Z102" i="1"/>
  <c r="R102" i="1"/>
  <c r="V102" i="1"/>
  <c r="AI102" i="1"/>
  <c r="AG102" i="1"/>
  <c r="S102" i="1"/>
  <c r="F102" i="1"/>
  <c r="T102" i="1"/>
  <c r="Q102" i="1"/>
  <c r="L102" i="1"/>
  <c r="J102" i="1"/>
  <c r="O102" i="1"/>
  <c r="AC102" i="1"/>
  <c r="AB102" i="1"/>
  <c r="K102" i="1"/>
  <c r="AJ102" i="1"/>
  <c r="AE102" i="1"/>
  <c r="AD102" i="1"/>
  <c r="AA102" i="1"/>
  <c r="P102" i="1"/>
  <c r="N102" i="1"/>
  <c r="G102" i="1"/>
  <c r="W102" i="1"/>
  <c r="AE110" i="1"/>
  <c r="W110" i="1"/>
  <c r="V110" i="1"/>
  <c r="U110" i="1"/>
  <c r="O110" i="1"/>
  <c r="M110" i="1"/>
  <c r="F110" i="1"/>
  <c r="P110" i="1"/>
  <c r="G110" i="1"/>
  <c r="AF110" i="1"/>
  <c r="X110" i="1"/>
  <c r="H110" i="1"/>
  <c r="AA110" i="1"/>
  <c r="Y110" i="1"/>
  <c r="I110" i="1"/>
  <c r="AD110" i="1"/>
  <c r="AJ110" i="1"/>
  <c r="AH110" i="1"/>
  <c r="Z110" i="1"/>
  <c r="R110" i="1"/>
  <c r="N110" i="1"/>
  <c r="AI110" i="1"/>
  <c r="AG110" i="1"/>
  <c r="S110" i="1"/>
  <c r="T110" i="1"/>
  <c r="Q110" i="1"/>
  <c r="L110" i="1"/>
  <c r="J110" i="1"/>
  <c r="AC110" i="1"/>
  <c r="AB110" i="1"/>
  <c r="K110" i="1"/>
  <c r="X108" i="1"/>
  <c r="P108" i="1"/>
  <c r="AG108" i="1"/>
  <c r="AA108" i="1"/>
  <c r="Y108" i="1"/>
  <c r="V108" i="1"/>
  <c r="G108" i="1"/>
  <c r="AB108" i="1"/>
  <c r="AJ108" i="1"/>
  <c r="U108" i="1"/>
  <c r="R108" i="1"/>
  <c r="Q108" i="1"/>
  <c r="M108" i="1"/>
  <c r="K108" i="1"/>
  <c r="AI108" i="1"/>
  <c r="AE108" i="1"/>
  <c r="O108" i="1"/>
  <c r="AF108" i="1"/>
  <c r="T108" i="1"/>
  <c r="H108" i="1"/>
  <c r="L108" i="1"/>
  <c r="J108" i="1"/>
  <c r="I108" i="1"/>
  <c r="W108" i="1"/>
  <c r="S108" i="1"/>
  <c r="N108" i="1"/>
  <c r="AH108" i="1"/>
  <c r="AD108" i="1"/>
  <c r="AC108" i="1"/>
  <c r="Z108" i="1"/>
  <c r="F108" i="1"/>
  <c r="AI100" i="1"/>
  <c r="AA100" i="1"/>
  <c r="V100" i="1"/>
  <c r="AJ100" i="1"/>
  <c r="T100" i="1"/>
  <c r="Q100" i="1"/>
  <c r="M100" i="1"/>
  <c r="K100" i="1"/>
  <c r="G100" i="1"/>
  <c r="AE100" i="1"/>
  <c r="O100" i="1"/>
  <c r="R100" i="1"/>
  <c r="AF100" i="1"/>
  <c r="AD100" i="1"/>
  <c r="H100" i="1"/>
  <c r="U100" i="1"/>
  <c r="AH100" i="1"/>
  <c r="W100" i="1"/>
  <c r="P100" i="1"/>
  <c r="L100" i="1"/>
  <c r="J100" i="1"/>
  <c r="I100" i="1"/>
  <c r="F100" i="1"/>
  <c r="AC100" i="1"/>
  <c r="Z100" i="1"/>
  <c r="X100" i="1"/>
  <c r="S100" i="1"/>
  <c r="AG100" i="1"/>
  <c r="AB100" i="1"/>
  <c r="Y100" i="1"/>
  <c r="N100" i="1"/>
  <c r="AJ104" i="1"/>
  <c r="AH104" i="1"/>
  <c r="AC104" i="1"/>
  <c r="Z104" i="1"/>
  <c r="T104" i="1"/>
  <c r="Q104" i="1"/>
  <c r="P104" i="1"/>
  <c r="S104" i="1"/>
  <c r="AD104" i="1"/>
  <c r="L104" i="1"/>
  <c r="K104" i="1"/>
  <c r="H104" i="1"/>
  <c r="AE104" i="1"/>
  <c r="AB104" i="1"/>
  <c r="AA104" i="1"/>
  <c r="O104" i="1"/>
  <c r="F104" i="1"/>
  <c r="X104" i="1"/>
  <c r="N104" i="1"/>
  <c r="G104" i="1"/>
  <c r="AI104" i="1"/>
  <c r="AG104" i="1"/>
  <c r="Y104" i="1"/>
  <c r="V104" i="1"/>
  <c r="I104" i="1"/>
  <c r="W104" i="1"/>
  <c r="U104" i="1"/>
  <c r="R104" i="1"/>
  <c r="M104" i="1"/>
  <c r="J104" i="1"/>
  <c r="AF104" i="1"/>
  <c r="N93" i="1"/>
  <c r="AJ93" i="1"/>
  <c r="L93" i="1"/>
  <c r="R93" i="1"/>
  <c r="V93" i="1"/>
  <c r="K93" i="1"/>
  <c r="Y93" i="1"/>
  <c r="AE93" i="1"/>
  <c r="F93" i="1"/>
  <c r="G93" i="1"/>
  <c r="O93" i="1"/>
  <c r="T93" i="1"/>
  <c r="AH93" i="1"/>
  <c r="AC93" i="1"/>
  <c r="P93" i="1"/>
  <c r="AG93" i="1"/>
  <c r="Q93" i="1"/>
  <c r="I93" i="1"/>
  <c r="U93" i="1"/>
  <c r="Z93" i="1"/>
  <c r="AD93" i="1"/>
  <c r="AI93" i="1"/>
  <c r="H93" i="1"/>
  <c r="AF93" i="1"/>
  <c r="AA93" i="1"/>
  <c r="AB93" i="1"/>
  <c r="M93" i="1"/>
  <c r="S93" i="1"/>
  <c r="J93" i="1"/>
  <c r="X93" i="1"/>
  <c r="W93" i="1"/>
  <c r="Y106" i="1"/>
  <c r="M106" i="1"/>
  <c r="I106" i="1"/>
  <c r="H106" i="1"/>
  <c r="AH106" i="1"/>
  <c r="Z106" i="1"/>
  <c r="R106" i="1"/>
  <c r="N106" i="1"/>
  <c r="J106" i="1"/>
  <c r="X106" i="1"/>
  <c r="AI106" i="1"/>
  <c r="AA106" i="1"/>
  <c r="S106" i="1"/>
  <c r="AG106" i="1"/>
  <c r="AB106" i="1"/>
  <c r="T106" i="1"/>
  <c r="Q106" i="1"/>
  <c r="AC106" i="1"/>
  <c r="AD106" i="1"/>
  <c r="V106" i="1"/>
  <c r="AJ106" i="1"/>
  <c r="AE106" i="1"/>
  <c r="W106" i="1"/>
  <c r="U106" i="1"/>
  <c r="O106" i="1"/>
  <c r="L106" i="1"/>
  <c r="K106" i="1"/>
  <c r="G106" i="1"/>
  <c r="F106" i="1"/>
  <c r="AF106" i="1"/>
  <c r="P106" i="1"/>
  <c r="AE92" i="1"/>
  <c r="AJ92" i="1"/>
  <c r="O92" i="1"/>
  <c r="T92" i="1"/>
  <c r="AH92" i="1"/>
  <c r="AC92" i="1"/>
  <c r="P92" i="1"/>
  <c r="AG92" i="1"/>
  <c r="Q92" i="1"/>
  <c r="N92" i="1"/>
  <c r="F92" i="1"/>
  <c r="L92" i="1"/>
  <c r="U92" i="1"/>
  <c r="Z92" i="1"/>
  <c r="AD92" i="1"/>
  <c r="AI92" i="1"/>
  <c r="H92" i="1"/>
  <c r="AF92" i="1"/>
  <c r="I92" i="1"/>
  <c r="R92" i="1"/>
  <c r="AA92" i="1"/>
  <c r="AB92" i="1"/>
  <c r="M92" i="1"/>
  <c r="S92" i="1"/>
  <c r="J92" i="1"/>
  <c r="X92" i="1"/>
  <c r="W92" i="1"/>
  <c r="K92" i="1"/>
  <c r="V92" i="1"/>
  <c r="Y92" i="1"/>
  <c r="G92" i="1"/>
  <c r="AF99" i="1"/>
  <c r="Z99" i="1"/>
  <c r="U99" i="1"/>
  <c r="H99" i="1"/>
  <c r="T99" i="1"/>
  <c r="AD99" i="1"/>
  <c r="I99" i="1"/>
  <c r="AH99" i="1"/>
  <c r="W99" i="1"/>
  <c r="P99" i="1"/>
  <c r="L99" i="1"/>
  <c r="J99" i="1"/>
  <c r="F99" i="1"/>
  <c r="O99" i="1"/>
  <c r="AC99" i="1"/>
  <c r="X99" i="1"/>
  <c r="S99" i="1"/>
  <c r="AB99" i="1"/>
  <c r="Y99" i="1"/>
  <c r="N99" i="1"/>
  <c r="AE99" i="1"/>
  <c r="AG99" i="1"/>
  <c r="AA99" i="1"/>
  <c r="R99" i="1"/>
  <c r="Q99" i="1"/>
  <c r="K99" i="1"/>
  <c r="G99" i="1"/>
  <c r="AI99" i="1"/>
  <c r="V99" i="1"/>
  <c r="M99" i="1"/>
  <c r="AJ99" i="1"/>
  <c r="AG101" i="1"/>
  <c r="AC101" i="1"/>
  <c r="AB101" i="1"/>
  <c r="W101" i="1"/>
  <c r="R101" i="1"/>
  <c r="J101" i="1"/>
  <c r="F101" i="1"/>
  <c r="L101" i="1"/>
  <c r="V101" i="1"/>
  <c r="N101" i="1"/>
  <c r="G101" i="1"/>
  <c r="U101" i="1"/>
  <c r="Q101" i="1"/>
  <c r="K101" i="1"/>
  <c r="Y101" i="1"/>
  <c r="AI101" i="1"/>
  <c r="AE101" i="1"/>
  <c r="AD101" i="1"/>
  <c r="AA101" i="1"/>
  <c r="O101" i="1"/>
  <c r="M101" i="1"/>
  <c r="AJ101" i="1"/>
  <c r="AH101" i="1"/>
  <c r="AF101" i="1"/>
  <c r="T101" i="1"/>
  <c r="P101" i="1"/>
  <c r="H101" i="1"/>
  <c r="X101" i="1"/>
  <c r="S101" i="1"/>
  <c r="I101" i="1"/>
  <c r="Z101" i="1"/>
  <c r="AE107" i="1"/>
  <c r="T107" i="1"/>
  <c r="O107" i="1"/>
  <c r="K107" i="1"/>
  <c r="G107" i="1"/>
  <c r="V107" i="1"/>
  <c r="AF107" i="1"/>
  <c r="Z107" i="1"/>
  <c r="U107" i="1"/>
  <c r="H107" i="1"/>
  <c r="AI107" i="1"/>
  <c r="AD107" i="1"/>
  <c r="I107" i="1"/>
  <c r="AH107" i="1"/>
  <c r="W107" i="1"/>
  <c r="P107" i="1"/>
  <c r="L107" i="1"/>
  <c r="J107" i="1"/>
  <c r="F107" i="1"/>
  <c r="AJ107" i="1"/>
  <c r="AG107" i="1"/>
  <c r="AC107" i="1"/>
  <c r="X107" i="1"/>
  <c r="S107" i="1"/>
  <c r="AB107" i="1"/>
  <c r="Y107" i="1"/>
  <c r="N107" i="1"/>
  <c r="AA107" i="1"/>
  <c r="R107" i="1"/>
  <c r="Q107" i="1"/>
  <c r="M107" i="1"/>
  <c r="AD103" i="1"/>
  <c r="N103" i="1"/>
  <c r="AE103" i="1"/>
  <c r="W103" i="1"/>
  <c r="V103" i="1"/>
  <c r="U103" i="1"/>
  <c r="O103" i="1"/>
  <c r="M103" i="1"/>
  <c r="F103" i="1"/>
  <c r="AG103" i="1"/>
  <c r="AF103" i="1"/>
  <c r="X103" i="1"/>
  <c r="P103" i="1"/>
  <c r="H103" i="1"/>
  <c r="AA103" i="1"/>
  <c r="Y103" i="1"/>
  <c r="I103" i="1"/>
  <c r="AJ103" i="1"/>
  <c r="AH103" i="1"/>
  <c r="Z103" i="1"/>
  <c r="R103" i="1"/>
  <c r="Q103" i="1"/>
  <c r="AB103" i="1"/>
  <c r="K103" i="1"/>
  <c r="G103" i="1"/>
  <c r="AI103" i="1"/>
  <c r="S103" i="1"/>
  <c r="T103" i="1"/>
  <c r="L103" i="1"/>
  <c r="J103" i="1"/>
  <c r="AC103" i="1"/>
  <c r="G109" i="1"/>
  <c r="L109" i="1"/>
  <c r="AD109" i="1"/>
  <c r="AI109" i="1"/>
  <c r="AG109" i="1"/>
  <c r="AC109" i="1"/>
  <c r="AB109" i="1"/>
  <c r="X109" i="1"/>
  <c r="P109" i="1"/>
  <c r="J109" i="1"/>
  <c r="Q109" i="1"/>
  <c r="I109" i="1"/>
  <c r="Z109" i="1"/>
  <c r="Y109" i="1"/>
  <c r="T109" i="1"/>
  <c r="V109" i="1"/>
  <c r="R109" i="1"/>
  <c r="N109" i="1"/>
  <c r="U109" i="1"/>
  <c r="K109" i="1"/>
  <c r="S109" i="1"/>
  <c r="AE109" i="1"/>
  <c r="AA109" i="1"/>
  <c r="W109" i="1"/>
  <c r="O109" i="1"/>
  <c r="M109" i="1"/>
  <c r="F109" i="1"/>
  <c r="AJ109" i="1"/>
  <c r="AH109" i="1"/>
  <c r="AF109" i="1"/>
  <c r="H109" i="1"/>
  <c r="AD105" i="1"/>
  <c r="Q105" i="1"/>
  <c r="L105" i="1"/>
  <c r="I105" i="1"/>
  <c r="AH105" i="1"/>
  <c r="AG105" i="1"/>
  <c r="AE105" i="1"/>
  <c r="AC105" i="1"/>
  <c r="R105" i="1"/>
  <c r="P105" i="1"/>
  <c r="O105" i="1"/>
  <c r="F105" i="1"/>
  <c r="AI105" i="1"/>
  <c r="AF105" i="1"/>
  <c r="X105" i="1"/>
  <c r="S105" i="1"/>
  <c r="N105" i="1"/>
  <c r="AJ105" i="1"/>
  <c r="Y105" i="1"/>
  <c r="W105" i="1"/>
  <c r="AB105" i="1"/>
  <c r="AA105" i="1"/>
  <c r="U105" i="1"/>
  <c r="M105" i="1"/>
  <c r="K105" i="1"/>
  <c r="H105" i="1"/>
  <c r="G105" i="1"/>
  <c r="Z105" i="1"/>
  <c r="V105" i="1"/>
  <c r="T105" i="1"/>
  <c r="J105" i="1"/>
  <c r="AJ96" i="1"/>
  <c r="S96" i="1"/>
  <c r="AD96" i="1"/>
  <c r="N96" i="1"/>
  <c r="L96" i="1"/>
  <c r="K96" i="1"/>
  <c r="AE96" i="1"/>
  <c r="AC96" i="1"/>
  <c r="AB96" i="1"/>
  <c r="W96" i="1"/>
  <c r="O96" i="1"/>
  <c r="J96" i="1"/>
  <c r="F96" i="1"/>
  <c r="AF96" i="1"/>
  <c r="X96" i="1"/>
  <c r="P96" i="1"/>
  <c r="M96" i="1"/>
  <c r="H96" i="1"/>
  <c r="G96" i="1"/>
  <c r="AH96" i="1"/>
  <c r="Q96" i="1"/>
  <c r="Y96" i="1"/>
  <c r="V96" i="1"/>
  <c r="I96" i="1"/>
  <c r="AG96" i="1"/>
  <c r="Z96" i="1"/>
  <c r="U96" i="1"/>
  <c r="R96" i="1"/>
  <c r="AA96" i="1"/>
  <c r="AI96" i="1"/>
  <c r="T96" i="1"/>
  <c r="M95" i="1"/>
  <c r="L95" i="1"/>
  <c r="R95" i="1"/>
  <c r="V95" i="1"/>
  <c r="X95" i="1"/>
  <c r="W95" i="1"/>
  <c r="H95" i="1"/>
  <c r="T95" i="1"/>
  <c r="AH95" i="1"/>
  <c r="AC95" i="1"/>
  <c r="J95" i="1"/>
  <c r="Y95" i="1"/>
  <c r="AG95" i="1"/>
  <c r="O95" i="1"/>
  <c r="G95" i="1"/>
  <c r="F95" i="1"/>
  <c r="Z95" i="1"/>
  <c r="AA95" i="1"/>
  <c r="AI95" i="1"/>
  <c r="K95" i="1"/>
  <c r="Q95" i="1"/>
  <c r="N95" i="1"/>
  <c r="AD95" i="1"/>
  <c r="AE95" i="1"/>
  <c r="AB95" i="1"/>
  <c r="AJ95" i="1"/>
  <c r="S95" i="1"/>
  <c r="AF95" i="1"/>
  <c r="I95" i="1"/>
  <c r="P95" i="1"/>
  <c r="U95" i="1"/>
  <c r="AG97" i="1"/>
  <c r="AB97" i="1"/>
  <c r="Y97" i="1"/>
  <c r="N97" i="1"/>
  <c r="G97" i="1"/>
  <c r="AA97" i="1"/>
  <c r="W97" i="1"/>
  <c r="Q97" i="1"/>
  <c r="AJ97" i="1"/>
  <c r="V97" i="1"/>
  <c r="H97" i="1"/>
  <c r="AI97" i="1"/>
  <c r="L97" i="1"/>
  <c r="AC97" i="1"/>
  <c r="Z97" i="1"/>
  <c r="U97" i="1"/>
  <c r="T97" i="1"/>
  <c r="M97" i="1"/>
  <c r="K97" i="1"/>
  <c r="J97" i="1"/>
  <c r="I97" i="1"/>
  <c r="AF97" i="1"/>
  <c r="R97" i="1"/>
  <c r="P97" i="1"/>
  <c r="X97" i="1"/>
  <c r="AH97" i="1"/>
  <c r="AD97" i="1"/>
  <c r="AE97" i="1"/>
  <c r="S97" i="1"/>
  <c r="O97" i="1"/>
  <c r="F97" i="1"/>
  <c r="L94" i="1"/>
  <c r="T94" i="1"/>
  <c r="AH94" i="1"/>
  <c r="AC94" i="1"/>
  <c r="J94" i="1"/>
  <c r="Y94" i="1"/>
  <c r="AG94" i="1"/>
  <c r="O94" i="1"/>
  <c r="M94" i="1"/>
  <c r="R94" i="1"/>
  <c r="G94" i="1"/>
  <c r="Z94" i="1"/>
  <c r="AA94" i="1"/>
  <c r="AI94" i="1"/>
  <c r="K94" i="1"/>
  <c r="Q94" i="1"/>
  <c r="N94" i="1"/>
  <c r="AD94" i="1"/>
  <c r="H94" i="1"/>
  <c r="F94" i="1"/>
  <c r="X94" i="1"/>
  <c r="AE94" i="1"/>
  <c r="AB94" i="1"/>
  <c r="AJ94" i="1"/>
  <c r="S94" i="1"/>
  <c r="AF94" i="1"/>
  <c r="I94" i="1"/>
  <c r="P94" i="1"/>
  <c r="U94" i="1"/>
  <c r="V94" i="1"/>
  <c r="W94" i="1"/>
  <c r="AH98" i="1"/>
  <c r="R98" i="1"/>
  <c r="J98" i="1"/>
  <c r="AI98" i="1"/>
  <c r="AA98" i="1"/>
  <c r="S98" i="1"/>
  <c r="AG98" i="1"/>
  <c r="AB98" i="1"/>
  <c r="T98" i="1"/>
  <c r="Q98" i="1"/>
  <c r="Y98" i="1"/>
  <c r="L98" i="1"/>
  <c r="AC98" i="1"/>
  <c r="I98" i="1"/>
  <c r="AD98" i="1"/>
  <c r="Z98" i="1"/>
  <c r="V98" i="1"/>
  <c r="AJ98" i="1"/>
  <c r="AE98" i="1"/>
  <c r="W98" i="1"/>
  <c r="U98" i="1"/>
  <c r="O98" i="1"/>
  <c r="N98" i="1"/>
  <c r="M98" i="1"/>
  <c r="K98" i="1"/>
  <c r="G98" i="1"/>
  <c r="F98" i="1"/>
  <c r="AF98" i="1"/>
  <c r="X98" i="1"/>
  <c r="P98" i="1"/>
  <c r="H98" i="1"/>
  <c r="S85" i="1"/>
  <c r="C249" i="1"/>
  <c r="E249" i="1" s="1"/>
  <c r="K38" i="1"/>
  <c r="J38" i="1"/>
  <c r="C234" i="1"/>
  <c r="F234" i="1" s="1"/>
  <c r="K23" i="1"/>
  <c r="J23" i="1"/>
  <c r="C233" i="1"/>
  <c r="E233" i="1" s="1"/>
  <c r="K22" i="1"/>
  <c r="J22" i="1"/>
  <c r="C235" i="1"/>
  <c r="F235" i="1" s="1"/>
  <c r="J24" i="1"/>
  <c r="K24" i="1"/>
  <c r="C232" i="1"/>
  <c r="F232" i="1" s="1"/>
  <c r="K21" i="1"/>
  <c r="J21" i="1"/>
  <c r="C236" i="1"/>
  <c r="F236" i="1" s="1"/>
  <c r="K25" i="1"/>
  <c r="J25" i="1"/>
  <c r="C241" i="1"/>
  <c r="E241" i="1" s="1"/>
  <c r="J30" i="1"/>
  <c r="K30" i="1"/>
  <c r="C238" i="1"/>
  <c r="F238" i="1" s="1"/>
  <c r="J27" i="1"/>
  <c r="K27" i="1"/>
  <c r="C244" i="1"/>
  <c r="F244" i="1" s="1"/>
  <c r="J33" i="1"/>
  <c r="K33" i="1"/>
  <c r="C248" i="1"/>
  <c r="G248" i="1" s="1"/>
  <c r="K37" i="1"/>
  <c r="J37" i="1"/>
  <c r="C246" i="1"/>
  <c r="F246" i="1" s="1"/>
  <c r="J35" i="1"/>
  <c r="K35" i="1"/>
  <c r="C247" i="1"/>
  <c r="E247" i="1" s="1"/>
  <c r="J36" i="1"/>
  <c r="K36" i="1"/>
  <c r="C242" i="1"/>
  <c r="E242" i="1" s="1"/>
  <c r="K31" i="1"/>
  <c r="J31" i="1"/>
  <c r="C231" i="1"/>
  <c r="F231" i="1" s="1"/>
  <c r="J20" i="1"/>
  <c r="K20" i="1"/>
  <c r="C240" i="1"/>
  <c r="F240" i="1" s="1"/>
  <c r="J29" i="1"/>
  <c r="K29" i="1"/>
  <c r="C230" i="1"/>
  <c r="E230" i="1" s="1"/>
  <c r="K19" i="1"/>
  <c r="J19" i="1"/>
  <c r="C237" i="1"/>
  <c r="E237" i="1" s="1"/>
  <c r="K26" i="1"/>
  <c r="J26" i="1"/>
  <c r="C243" i="1"/>
  <c r="E243" i="1" s="1"/>
  <c r="K32" i="1"/>
  <c r="J32" i="1"/>
  <c r="C239" i="1"/>
  <c r="F239" i="1" s="1"/>
  <c r="K28" i="1"/>
  <c r="J28" i="1"/>
  <c r="C245" i="1"/>
  <c r="E245" i="1" s="1"/>
  <c r="K34" i="1"/>
  <c r="J34" i="1"/>
  <c r="E248" i="1"/>
  <c r="F249" i="1"/>
  <c r="E234" i="1"/>
  <c r="K237" i="1"/>
  <c r="L245" i="1"/>
  <c r="L247" i="1"/>
  <c r="K243" i="1"/>
  <c r="L243" i="1"/>
  <c r="G243" i="1"/>
  <c r="L249" i="1"/>
  <c r="H249" i="1"/>
  <c r="G249" i="1"/>
  <c r="K249" i="1"/>
  <c r="L234" i="1"/>
  <c r="H234" i="1"/>
  <c r="G234" i="1"/>
  <c r="K234" i="1"/>
  <c r="H233" i="1"/>
  <c r="G233" i="1"/>
  <c r="K233" i="1"/>
  <c r="L232" i="1"/>
  <c r="H232" i="1"/>
  <c r="G232" i="1"/>
  <c r="K232" i="1"/>
  <c r="G236" i="1"/>
  <c r="K236" i="1"/>
  <c r="L236" i="1"/>
  <c r="H240" i="1"/>
  <c r="G244" i="1"/>
  <c r="K244" i="1"/>
  <c r="L244" i="1"/>
  <c r="H244" i="1"/>
  <c r="C139" i="1"/>
  <c r="S139" i="1" s="1"/>
  <c r="C223" i="1"/>
  <c r="C137" i="1"/>
  <c r="AA137" i="1" s="1"/>
  <c r="C221" i="1"/>
  <c r="C133" i="1"/>
  <c r="P133" i="1" s="1"/>
  <c r="C217" i="1"/>
  <c r="C122" i="1"/>
  <c r="U122" i="1" s="1"/>
  <c r="C206" i="1"/>
  <c r="C132" i="1"/>
  <c r="N132" i="1" s="1"/>
  <c r="C216" i="1"/>
  <c r="H19" i="1"/>
  <c r="C205" i="1"/>
  <c r="C128" i="1"/>
  <c r="AC128" i="1" s="1"/>
  <c r="C212" i="1"/>
  <c r="C130" i="1"/>
  <c r="U130" i="1" s="1"/>
  <c r="C214" i="1"/>
  <c r="C136" i="1"/>
  <c r="AC136" i="1" s="1"/>
  <c r="C220" i="1"/>
  <c r="C138" i="1"/>
  <c r="U138" i="1" s="1"/>
  <c r="C222" i="1"/>
  <c r="C134" i="1"/>
  <c r="W134" i="1" s="1"/>
  <c r="C218" i="1"/>
  <c r="C140" i="1"/>
  <c r="S140" i="1" s="1"/>
  <c r="C224" i="1"/>
  <c r="C125" i="1"/>
  <c r="P125" i="1" s="1"/>
  <c r="C209" i="1"/>
  <c r="C124" i="1"/>
  <c r="N124" i="1" s="1"/>
  <c r="C208" i="1"/>
  <c r="C126" i="1"/>
  <c r="W126" i="1" s="1"/>
  <c r="C210" i="1"/>
  <c r="C123" i="1"/>
  <c r="AD123" i="1" s="1"/>
  <c r="C207" i="1"/>
  <c r="C127" i="1"/>
  <c r="T127" i="1" s="1"/>
  <c r="C211" i="1"/>
  <c r="C131" i="1"/>
  <c r="AD131" i="1" s="1"/>
  <c r="C215" i="1"/>
  <c r="C129" i="1"/>
  <c r="X129" i="1" s="1"/>
  <c r="C213" i="1"/>
  <c r="F33" i="1"/>
  <c r="C219" i="1"/>
  <c r="Y139" i="1"/>
  <c r="G33" i="1"/>
  <c r="D35" i="1"/>
  <c r="D34" i="1"/>
  <c r="H34" i="1"/>
  <c r="G30" i="1"/>
  <c r="I34" i="1"/>
  <c r="F34" i="1"/>
  <c r="E34" i="1"/>
  <c r="F21" i="1"/>
  <c r="I33" i="1"/>
  <c r="D33" i="1"/>
  <c r="G21" i="1"/>
  <c r="H21" i="1"/>
  <c r="H38" i="1"/>
  <c r="C135" i="1"/>
  <c r="C71" i="1"/>
  <c r="E33" i="1"/>
  <c r="H33" i="1"/>
  <c r="L33" i="1"/>
  <c r="E23" i="1"/>
  <c r="C72" i="1"/>
  <c r="G34" i="1"/>
  <c r="L34" i="1"/>
  <c r="H23" i="1"/>
  <c r="C62" i="1"/>
  <c r="F23" i="1"/>
  <c r="C57" i="1"/>
  <c r="C121" i="1"/>
  <c r="G31" i="1"/>
  <c r="I31" i="1"/>
  <c r="I21" i="1"/>
  <c r="F31" i="1"/>
  <c r="L29" i="1"/>
  <c r="C67" i="1"/>
  <c r="L31" i="1"/>
  <c r="C69" i="1"/>
  <c r="D38" i="1"/>
  <c r="C76" i="1"/>
  <c r="I23" i="1"/>
  <c r="C61" i="1"/>
  <c r="G28" i="1"/>
  <c r="C66" i="1"/>
  <c r="L30" i="1"/>
  <c r="C68" i="1"/>
  <c r="G36" i="1"/>
  <c r="C74" i="1"/>
  <c r="D25" i="1"/>
  <c r="C63" i="1"/>
  <c r="L22" i="1"/>
  <c r="C60" i="1"/>
  <c r="L35" i="1"/>
  <c r="C73" i="1"/>
  <c r="E37" i="1"/>
  <c r="C75" i="1"/>
  <c r="D20" i="1"/>
  <c r="D93" i="1" s="1"/>
  <c r="C58" i="1"/>
  <c r="L27" i="1"/>
  <c r="C65" i="1"/>
  <c r="E21" i="1"/>
  <c r="C59" i="1"/>
  <c r="D32" i="1"/>
  <c r="C70" i="1"/>
  <c r="H26" i="1"/>
  <c r="C64" i="1"/>
  <c r="E36" i="1"/>
  <c r="G26" i="1"/>
  <c r="I26" i="1"/>
  <c r="D21" i="1"/>
  <c r="I36" i="1"/>
  <c r="D30" i="1"/>
  <c r="E30" i="1"/>
  <c r="F36" i="1"/>
  <c r="G25" i="1"/>
  <c r="I37" i="1"/>
  <c r="E28" i="1"/>
  <c r="H28" i="1"/>
  <c r="I38" i="1"/>
  <c r="I20" i="1"/>
  <c r="H20" i="1"/>
  <c r="I25" i="1"/>
  <c r="G20" i="1"/>
  <c r="F38" i="1"/>
  <c r="F20" i="1"/>
  <c r="L21" i="1"/>
  <c r="G38" i="1"/>
  <c r="H36" i="1"/>
  <c r="E26" i="1"/>
  <c r="I30" i="1"/>
  <c r="G23" i="1"/>
  <c r="F30" i="1"/>
  <c r="H30" i="1"/>
  <c r="D28" i="1"/>
  <c r="F26" i="1"/>
  <c r="E35" i="1"/>
  <c r="H37" i="1"/>
  <c r="I35" i="1"/>
  <c r="F25" i="1"/>
  <c r="G37" i="1"/>
  <c r="H35" i="1"/>
  <c r="F37" i="1"/>
  <c r="H25" i="1"/>
  <c r="F35" i="1"/>
  <c r="E19" i="1"/>
  <c r="L19" i="1"/>
  <c r="I19" i="1"/>
  <c r="D24" i="1"/>
  <c r="L24" i="1"/>
  <c r="H31" i="1"/>
  <c r="G35" i="1"/>
  <c r="D23" i="1"/>
  <c r="L23" i="1"/>
  <c r="E38" i="1"/>
  <c r="L38" i="1"/>
  <c r="F24" i="1"/>
  <c r="F28" i="1"/>
  <c r="L28" i="1"/>
  <c r="D36" i="1"/>
  <c r="D109" i="1" s="1"/>
  <c r="L36" i="1"/>
  <c r="G29" i="1"/>
  <c r="H24" i="1"/>
  <c r="F19" i="1"/>
  <c r="E25" i="1"/>
  <c r="L25" i="1"/>
  <c r="I29" i="1"/>
  <c r="I24" i="1"/>
  <c r="D37" i="1"/>
  <c r="D110" i="1" s="1"/>
  <c r="L37" i="1"/>
  <c r="F29" i="1"/>
  <c r="E20" i="1"/>
  <c r="L20" i="1"/>
  <c r="H29" i="1"/>
  <c r="D19" i="1"/>
  <c r="D92" i="1" s="1"/>
  <c r="H32" i="1"/>
  <c r="L32" i="1"/>
  <c r="D26" i="1"/>
  <c r="L26" i="1"/>
  <c r="G32" i="1"/>
  <c r="I28" i="1"/>
  <c r="I32" i="1"/>
  <c r="I22" i="1"/>
  <c r="D22" i="1"/>
  <c r="H22" i="1"/>
  <c r="G22" i="1"/>
  <c r="E22" i="1"/>
  <c r="F22" i="1"/>
  <c r="G24" i="1"/>
  <c r="G19" i="1"/>
  <c r="E24" i="1"/>
  <c r="D27" i="1"/>
  <c r="F27" i="1"/>
  <c r="G27" i="1"/>
  <c r="I27" i="1"/>
  <c r="E27" i="1"/>
  <c r="H27" i="1"/>
  <c r="E32" i="1"/>
  <c r="D29" i="1"/>
  <c r="E29" i="1"/>
  <c r="F32" i="1"/>
  <c r="D31" i="1"/>
  <c r="E31" i="1"/>
  <c r="L248" i="1" l="1"/>
  <c r="H248" i="1"/>
  <c r="H243" i="1"/>
  <c r="K242" i="1"/>
  <c r="M242" i="1" s="1"/>
  <c r="K241" i="1"/>
  <c r="M241" i="1" s="1"/>
  <c r="G241" i="1"/>
  <c r="F241" i="1"/>
  <c r="L240" i="1"/>
  <c r="N240" i="1" s="1"/>
  <c r="K240" i="1"/>
  <c r="G240" i="1"/>
  <c r="H237" i="1"/>
  <c r="G237" i="1"/>
  <c r="K230" i="1"/>
  <c r="H236" i="1"/>
  <c r="J236" i="1" s="1"/>
  <c r="G242" i="1"/>
  <c r="L242" i="1"/>
  <c r="E232" i="1"/>
  <c r="M232" i="1" s="1"/>
  <c r="H247" i="1"/>
  <c r="K245" i="1"/>
  <c r="M245" i="1" s="1"/>
  <c r="K247" i="1"/>
  <c r="L237" i="1"/>
  <c r="N237" i="1" s="1"/>
  <c r="K235" i="1"/>
  <c r="L241" i="1"/>
  <c r="N241" i="1" s="1"/>
  <c r="G230" i="1"/>
  <c r="I230" i="1" s="1"/>
  <c r="E244" i="1"/>
  <c r="M244" i="1" s="1"/>
  <c r="H245" i="1"/>
  <c r="G247" i="1"/>
  <c r="G245" i="1"/>
  <c r="I245" i="1" s="1"/>
  <c r="F247" i="1"/>
  <c r="G235" i="1"/>
  <c r="H241" i="1"/>
  <c r="J241" i="1" s="1"/>
  <c r="L235" i="1"/>
  <c r="N235" i="1" s="1"/>
  <c r="E235" i="1"/>
  <c r="H235" i="1"/>
  <c r="J235" i="1" s="1"/>
  <c r="D235" i="1"/>
  <c r="D97" i="1"/>
  <c r="D73" i="1"/>
  <c r="D108" i="1"/>
  <c r="F245" i="1"/>
  <c r="N245" i="1" s="1"/>
  <c r="D242" i="1"/>
  <c r="D104" i="1"/>
  <c r="D237" i="1"/>
  <c r="D99" i="1"/>
  <c r="D236" i="1"/>
  <c r="D98" i="1"/>
  <c r="D238" i="1"/>
  <c r="D100" i="1"/>
  <c r="D233" i="1"/>
  <c r="D95" i="1"/>
  <c r="D243" i="1"/>
  <c r="D105" i="1"/>
  <c r="D234" i="1"/>
  <c r="D96" i="1"/>
  <c r="D241" i="1"/>
  <c r="D103" i="1"/>
  <c r="H242" i="1"/>
  <c r="D240" i="1"/>
  <c r="D102" i="1"/>
  <c r="D239" i="1"/>
  <c r="D101" i="1"/>
  <c r="D232" i="1"/>
  <c r="D94" i="1"/>
  <c r="D244" i="1"/>
  <c r="D106" i="1"/>
  <c r="D245" i="1"/>
  <c r="D107" i="1"/>
  <c r="L233" i="1"/>
  <c r="L239" i="1"/>
  <c r="N239" i="1" s="1"/>
  <c r="H239" i="1"/>
  <c r="J239" i="1" s="1"/>
  <c r="K239" i="1"/>
  <c r="G239" i="1"/>
  <c r="L230" i="1"/>
  <c r="Z72" i="1"/>
  <c r="E238" i="1"/>
  <c r="M238" i="1" s="1"/>
  <c r="T85" i="1"/>
  <c r="E240" i="1"/>
  <c r="M240" i="1" s="1"/>
  <c r="E239" i="1"/>
  <c r="M239" i="1" s="1"/>
  <c r="F237" i="1"/>
  <c r="F248" i="1"/>
  <c r="K231" i="1"/>
  <c r="H231" i="1"/>
  <c r="L238" i="1"/>
  <c r="N238" i="1" s="1"/>
  <c r="H238" i="1"/>
  <c r="J238" i="1" s="1"/>
  <c r="H230" i="1"/>
  <c r="K238" i="1"/>
  <c r="G238" i="1"/>
  <c r="T19" i="1"/>
  <c r="T25" i="1"/>
  <c r="T20" i="1"/>
  <c r="T24" i="1"/>
  <c r="T22" i="1"/>
  <c r="T21" i="1"/>
  <c r="T23" i="1"/>
  <c r="L231" i="1"/>
  <c r="L246" i="1"/>
  <c r="H246" i="1"/>
  <c r="K246" i="1"/>
  <c r="G246" i="1"/>
  <c r="E246" i="1"/>
  <c r="G231" i="1"/>
  <c r="K248" i="1"/>
  <c r="M248" i="1" s="1"/>
  <c r="F233" i="1"/>
  <c r="F243" i="1"/>
  <c r="N243" i="1" s="1"/>
  <c r="F242" i="1"/>
  <c r="J242" i="1" s="1"/>
  <c r="F230" i="1"/>
  <c r="E236" i="1"/>
  <c r="I236" i="1" s="1"/>
  <c r="E231" i="1"/>
  <c r="I242" i="1"/>
  <c r="I243" i="1"/>
  <c r="M249" i="1"/>
  <c r="I241" i="1"/>
  <c r="M243" i="1"/>
  <c r="M237" i="1"/>
  <c r="I237" i="1"/>
  <c r="I235" i="1"/>
  <c r="M234" i="1"/>
  <c r="I247" i="1"/>
  <c r="I234" i="1"/>
  <c r="I248" i="1"/>
  <c r="G137" i="1"/>
  <c r="H123" i="1"/>
  <c r="N236" i="1"/>
  <c r="M233" i="1"/>
  <c r="J234" i="1"/>
  <c r="I233" i="1"/>
  <c r="N234" i="1"/>
  <c r="F130" i="1"/>
  <c r="AB130" i="1"/>
  <c r="I249" i="1"/>
  <c r="J240" i="1"/>
  <c r="J244" i="1"/>
  <c r="I232" i="1"/>
  <c r="N244" i="1"/>
  <c r="J232" i="1"/>
  <c r="M247" i="1"/>
  <c r="M230" i="1"/>
  <c r="N232" i="1"/>
  <c r="T128" i="1"/>
  <c r="H128" i="1"/>
  <c r="X128" i="1"/>
  <c r="Q123" i="1"/>
  <c r="E138" i="1"/>
  <c r="AB122" i="1"/>
  <c r="R123" i="1"/>
  <c r="F134" i="1"/>
  <c r="G133" i="1"/>
  <c r="Q140" i="1"/>
  <c r="Y140" i="1"/>
  <c r="G131" i="1"/>
  <c r="C178" i="1"/>
  <c r="R138" i="1"/>
  <c r="P138" i="1"/>
  <c r="O124" i="1"/>
  <c r="H127" i="1"/>
  <c r="O138" i="1"/>
  <c r="G126" i="1"/>
  <c r="G124" i="1"/>
  <c r="Q124" i="1"/>
  <c r="L140" i="1"/>
  <c r="F136" i="1"/>
  <c r="W124" i="1"/>
  <c r="W132" i="1"/>
  <c r="F139" i="1"/>
  <c r="C173" i="1"/>
  <c r="X134" i="1"/>
  <c r="F127" i="1"/>
  <c r="K129" i="1"/>
  <c r="S126" i="1"/>
  <c r="S132" i="1"/>
  <c r="Y126" i="1"/>
  <c r="G125" i="1"/>
  <c r="E139" i="1"/>
  <c r="P126" i="1"/>
  <c r="Y134" i="1"/>
  <c r="N130" i="1"/>
  <c r="J127" i="1"/>
  <c r="J138" i="1"/>
  <c r="K128" i="1"/>
  <c r="L126" i="1"/>
  <c r="AA123" i="1"/>
  <c r="O125" i="1"/>
  <c r="R132" i="1"/>
  <c r="Z122" i="1"/>
  <c r="Q125" i="1"/>
  <c r="Y127" i="1"/>
  <c r="J122" i="1"/>
  <c r="G140" i="1"/>
  <c r="J137" i="1"/>
  <c r="J129" i="1"/>
  <c r="X127" i="1"/>
  <c r="Q126" i="1"/>
  <c r="N140" i="1"/>
  <c r="AD138" i="1"/>
  <c r="S128" i="1"/>
  <c r="F124" i="1"/>
  <c r="H138" i="1"/>
  <c r="L128" i="1"/>
  <c r="C174" i="1"/>
  <c r="Y123" i="1"/>
  <c r="R125" i="1"/>
  <c r="P134" i="1"/>
  <c r="O130" i="1"/>
  <c r="AA122" i="1"/>
  <c r="N136" i="1"/>
  <c r="U125" i="1"/>
  <c r="C169" i="1"/>
  <c r="W127" i="1"/>
  <c r="Y136" i="1"/>
  <c r="K122" i="1"/>
  <c r="F140" i="1"/>
  <c r="E132" i="1"/>
  <c r="L136" i="1"/>
  <c r="L137" i="1"/>
  <c r="L129" i="1"/>
  <c r="I123" i="1"/>
  <c r="C168" i="1"/>
  <c r="AD127" i="1"/>
  <c r="AB126" i="1"/>
  <c r="AA125" i="1"/>
  <c r="N134" i="1"/>
  <c r="AA138" i="1"/>
  <c r="P136" i="1"/>
  <c r="Y122" i="1"/>
  <c r="K124" i="1"/>
  <c r="K134" i="1"/>
  <c r="K130" i="1"/>
  <c r="J133" i="1"/>
  <c r="J131" i="1"/>
  <c r="R127" i="1"/>
  <c r="U123" i="1"/>
  <c r="T124" i="1"/>
  <c r="O140" i="1"/>
  <c r="Q134" i="1"/>
  <c r="Z132" i="1"/>
  <c r="Z130" i="1"/>
  <c r="Y133" i="1"/>
  <c r="F122" i="1"/>
  <c r="H125" i="1"/>
  <c r="H134" i="1"/>
  <c r="G130" i="1"/>
  <c r="F128" i="1"/>
  <c r="F137" i="1"/>
  <c r="C181" i="1"/>
  <c r="P123" i="1"/>
  <c r="R126" i="1"/>
  <c r="Y124" i="1"/>
  <c r="W125" i="1"/>
  <c r="R134" i="1"/>
  <c r="Y138" i="1"/>
  <c r="O136" i="1"/>
  <c r="R130" i="1"/>
  <c r="P122" i="1"/>
  <c r="E124" i="1"/>
  <c r="I140" i="1"/>
  <c r="L132" i="1"/>
  <c r="H133" i="1"/>
  <c r="L131" i="1"/>
  <c r="K126" i="1"/>
  <c r="C166" i="1"/>
  <c r="P127" i="1"/>
  <c r="AC123" i="1"/>
  <c r="R124" i="1"/>
  <c r="S125" i="1"/>
  <c r="AD140" i="1"/>
  <c r="N138" i="1"/>
  <c r="P132" i="1"/>
  <c r="X136" i="1"/>
  <c r="Y128" i="1"/>
  <c r="Z133" i="1"/>
  <c r="R136" i="1"/>
  <c r="W131" i="1"/>
  <c r="I122" i="1"/>
  <c r="L125" i="1"/>
  <c r="L134" i="1"/>
  <c r="G132" i="1"/>
  <c r="I136" i="1"/>
  <c r="E133" i="1"/>
  <c r="J139" i="1"/>
  <c r="F129" i="1"/>
  <c r="F123" i="1"/>
  <c r="C164" i="1"/>
  <c r="Z127" i="1"/>
  <c r="O126" i="1"/>
  <c r="AC124" i="1"/>
  <c r="T125" i="1"/>
  <c r="AC140" i="1"/>
  <c r="O134" i="1"/>
  <c r="AB138" i="1"/>
  <c r="Y132" i="1"/>
  <c r="Q130" i="1"/>
  <c r="W128" i="1"/>
  <c r="T122" i="1"/>
  <c r="Q136" i="1"/>
  <c r="X133" i="1"/>
  <c r="L122" i="1"/>
  <c r="L127" i="1"/>
  <c r="K125" i="1"/>
  <c r="G134" i="1"/>
  <c r="K132" i="1"/>
  <c r="E130" i="1"/>
  <c r="K136" i="1"/>
  <c r="L133" i="1"/>
  <c r="L139" i="1"/>
  <c r="K131" i="1"/>
  <c r="L123" i="1"/>
  <c r="C170" i="1"/>
  <c r="S127" i="1"/>
  <c r="Z123" i="1"/>
  <c r="AD126" i="1"/>
  <c r="U124" i="1"/>
  <c r="AB124" i="1"/>
  <c r="AB125" i="1"/>
  <c r="R140" i="1"/>
  <c r="AA134" i="1"/>
  <c r="Z138" i="1"/>
  <c r="Q132" i="1"/>
  <c r="AB136" i="1"/>
  <c r="X130" i="1"/>
  <c r="Y130" i="1"/>
  <c r="N122" i="1"/>
  <c r="AD122" i="1"/>
  <c r="K127" i="1"/>
  <c r="L124" i="1"/>
  <c r="J140" i="1"/>
  <c r="F138" i="1"/>
  <c r="H136" i="1"/>
  <c r="J128" i="1"/>
  <c r="I137" i="1"/>
  <c r="G139" i="1"/>
  <c r="H129" i="1"/>
  <c r="J126" i="1"/>
  <c r="C176" i="1"/>
  <c r="U127" i="1"/>
  <c r="AC127" i="1"/>
  <c r="S123" i="1"/>
  <c r="AA126" i="1"/>
  <c r="X124" i="1"/>
  <c r="Z125" i="1"/>
  <c r="T140" i="1"/>
  <c r="AC134" i="1"/>
  <c r="T134" i="1"/>
  <c r="Q138" i="1"/>
  <c r="AC132" i="1"/>
  <c r="U136" i="1"/>
  <c r="S130" i="1"/>
  <c r="O128" i="1"/>
  <c r="W122" i="1"/>
  <c r="N133" i="1"/>
  <c r="Q128" i="1"/>
  <c r="Q131" i="1"/>
  <c r="G127" i="1"/>
  <c r="I125" i="1"/>
  <c r="E140" i="1"/>
  <c r="G138" i="1"/>
  <c r="F132" i="1"/>
  <c r="H130" i="1"/>
  <c r="I128" i="1"/>
  <c r="K139" i="1"/>
  <c r="F131" i="1"/>
  <c r="K123" i="1"/>
  <c r="H126" i="1"/>
  <c r="C182" i="1"/>
  <c r="C171" i="1"/>
  <c r="N127" i="1"/>
  <c r="N123" i="1"/>
  <c r="N126" i="1"/>
  <c r="T126" i="1"/>
  <c r="AD124" i="1"/>
  <c r="AC125" i="1"/>
  <c r="AA140" i="1"/>
  <c r="AB140" i="1"/>
  <c r="S134" i="1"/>
  <c r="AC138" i="1"/>
  <c r="X132" i="1"/>
  <c r="O132" i="1"/>
  <c r="W136" i="1"/>
  <c r="AC130" i="1"/>
  <c r="AA131" i="1"/>
  <c r="R122" i="1"/>
  <c r="S122" i="1"/>
  <c r="Z131" i="1"/>
  <c r="AD136" i="1"/>
  <c r="O131" i="1"/>
  <c r="AA128" i="1"/>
  <c r="AA133" i="1"/>
  <c r="O133" i="1"/>
  <c r="AC131" i="1"/>
  <c r="Y131" i="1"/>
  <c r="U128" i="1"/>
  <c r="U133" i="1"/>
  <c r="R131" i="1"/>
  <c r="AD129" i="1"/>
  <c r="AE72" i="1"/>
  <c r="P131" i="1"/>
  <c r="T131" i="1"/>
  <c r="AB128" i="1"/>
  <c r="AC133" i="1"/>
  <c r="Q133" i="1"/>
  <c r="P129" i="1"/>
  <c r="Z129" i="1"/>
  <c r="AD133" i="1"/>
  <c r="Y137" i="1"/>
  <c r="U131" i="1"/>
  <c r="S131" i="1"/>
  <c r="AC129" i="1"/>
  <c r="S72" i="1"/>
  <c r="R72" i="1"/>
  <c r="D137" i="1"/>
  <c r="D179" i="1" s="1"/>
  <c r="Q129" i="1"/>
  <c r="AA72" i="1"/>
  <c r="H72" i="1"/>
  <c r="G122" i="1"/>
  <c r="I127" i="1"/>
  <c r="I124" i="1"/>
  <c r="F125" i="1"/>
  <c r="J134" i="1"/>
  <c r="L138" i="1"/>
  <c r="J132" i="1"/>
  <c r="L130" i="1"/>
  <c r="J136" i="1"/>
  <c r="F133" i="1"/>
  <c r="K137" i="1"/>
  <c r="H139" i="1"/>
  <c r="E129" i="1"/>
  <c r="H131" i="1"/>
  <c r="E123" i="1"/>
  <c r="E126" i="1"/>
  <c r="C167" i="1"/>
  <c r="C175" i="1"/>
  <c r="O127" i="1"/>
  <c r="T123" i="1"/>
  <c r="X123" i="1"/>
  <c r="X126" i="1"/>
  <c r="Z124" i="1"/>
  <c r="S124" i="1"/>
  <c r="Y125" i="1"/>
  <c r="X140" i="1"/>
  <c r="U140" i="1"/>
  <c r="AB134" i="1"/>
  <c r="T138" i="1"/>
  <c r="X138" i="1"/>
  <c r="AA132" i="1"/>
  <c r="AB132" i="1"/>
  <c r="T136" i="1"/>
  <c r="T130" i="1"/>
  <c r="AA130" i="1"/>
  <c r="AB131" i="1"/>
  <c r="AD128" i="1"/>
  <c r="R128" i="1"/>
  <c r="O122" i="1"/>
  <c r="S133" i="1"/>
  <c r="AB133" i="1"/>
  <c r="U129" i="1"/>
  <c r="V72" i="1"/>
  <c r="S129" i="1"/>
  <c r="S137" i="1"/>
  <c r="Y129" i="1"/>
  <c r="R129" i="1"/>
  <c r="AC72" i="1"/>
  <c r="T129" i="1"/>
  <c r="AA129" i="1"/>
  <c r="AG72" i="1"/>
  <c r="U72" i="1"/>
  <c r="X72" i="1"/>
  <c r="L72" i="1"/>
  <c r="N72" i="1"/>
  <c r="J72" i="1"/>
  <c r="D135" i="1"/>
  <c r="D177" i="1" s="1"/>
  <c r="P72" i="1"/>
  <c r="AI72" i="1"/>
  <c r="E122" i="1"/>
  <c r="D72" i="1"/>
  <c r="H124" i="1"/>
  <c r="E125" i="1"/>
  <c r="K140" i="1"/>
  <c r="E134" i="1"/>
  <c r="K138" i="1"/>
  <c r="H132" i="1"/>
  <c r="I130" i="1"/>
  <c r="E136" i="1"/>
  <c r="E128" i="1"/>
  <c r="K133" i="1"/>
  <c r="H137" i="1"/>
  <c r="G129" i="1"/>
  <c r="I131" i="1"/>
  <c r="G123" i="1"/>
  <c r="F126" i="1"/>
  <c r="C165" i="1"/>
  <c r="C172" i="1"/>
  <c r="Q127" i="1"/>
  <c r="AA127" i="1"/>
  <c r="W123" i="1"/>
  <c r="AB123" i="1"/>
  <c r="U126" i="1"/>
  <c r="Z126" i="1"/>
  <c r="P124" i="1"/>
  <c r="X125" i="1"/>
  <c r="N125" i="1"/>
  <c r="V125" i="1" s="1"/>
  <c r="Z140" i="1"/>
  <c r="P140" i="1"/>
  <c r="AD134" i="1"/>
  <c r="Z134" i="1"/>
  <c r="W138" i="1"/>
  <c r="T132" i="1"/>
  <c r="AD132" i="1"/>
  <c r="Z136" i="1"/>
  <c r="AA136" i="1"/>
  <c r="W130" i="1"/>
  <c r="AD130" i="1"/>
  <c r="X131" i="1"/>
  <c r="P128" i="1"/>
  <c r="N128" i="1"/>
  <c r="X122" i="1"/>
  <c r="AC122" i="1"/>
  <c r="R133" i="1"/>
  <c r="W133" i="1"/>
  <c r="AE133" i="1" s="1"/>
  <c r="W129" i="1"/>
  <c r="O137" i="1"/>
  <c r="N129" i="1"/>
  <c r="O129" i="1"/>
  <c r="U137" i="1"/>
  <c r="AB137" i="1"/>
  <c r="AC137" i="1"/>
  <c r="W137" i="1"/>
  <c r="P137" i="1"/>
  <c r="Q137" i="1"/>
  <c r="N137" i="1"/>
  <c r="Y72" i="1"/>
  <c r="W72" i="1"/>
  <c r="M72" i="1"/>
  <c r="K72" i="1"/>
  <c r="I72" i="1"/>
  <c r="G72" i="1"/>
  <c r="AB72" i="1"/>
  <c r="AH72" i="1"/>
  <c r="Q72" i="1"/>
  <c r="O72" i="1"/>
  <c r="AJ72" i="1"/>
  <c r="F72" i="1"/>
  <c r="D71" i="1"/>
  <c r="AD137" i="1"/>
  <c r="R137" i="1"/>
  <c r="AF72" i="1"/>
  <c r="AD72" i="1"/>
  <c r="T72" i="1"/>
  <c r="H122" i="1"/>
  <c r="D136" i="1"/>
  <c r="D178" i="1" s="1"/>
  <c r="E127" i="1"/>
  <c r="J124" i="1"/>
  <c r="J125" i="1"/>
  <c r="H140" i="1"/>
  <c r="I134" i="1"/>
  <c r="I138" i="1"/>
  <c r="I132" i="1"/>
  <c r="J130" i="1"/>
  <c r="G136" i="1"/>
  <c r="G128" i="1"/>
  <c r="I133" i="1"/>
  <c r="E137" i="1"/>
  <c r="I139" i="1"/>
  <c r="I129" i="1"/>
  <c r="E131" i="1"/>
  <c r="J123" i="1"/>
  <c r="I126" i="1"/>
  <c r="C180" i="1"/>
  <c r="C179" i="1"/>
  <c r="AB127" i="1"/>
  <c r="O123" i="1"/>
  <c r="AC126" i="1"/>
  <c r="AA124" i="1"/>
  <c r="AD125" i="1"/>
  <c r="W140" i="1"/>
  <c r="U134" i="1"/>
  <c r="S138" i="1"/>
  <c r="U132" i="1"/>
  <c r="S136" i="1"/>
  <c r="P130" i="1"/>
  <c r="N131" i="1"/>
  <c r="V131" i="1" s="1"/>
  <c r="Z128" i="1"/>
  <c r="Q122" i="1"/>
  <c r="T133" i="1"/>
  <c r="AB129" i="1"/>
  <c r="T137" i="1"/>
  <c r="X137" i="1"/>
  <c r="Z137" i="1"/>
  <c r="N139" i="1"/>
  <c r="AA139" i="1"/>
  <c r="O139" i="1"/>
  <c r="T139" i="1"/>
  <c r="AD139" i="1"/>
  <c r="Q139" i="1"/>
  <c r="R139" i="1"/>
  <c r="U139" i="1"/>
  <c r="W139" i="1"/>
  <c r="AC139" i="1"/>
  <c r="Z139" i="1"/>
  <c r="D222" i="1"/>
  <c r="D247" i="1"/>
  <c r="J247" i="1" s="1"/>
  <c r="D224" i="1"/>
  <c r="D249" i="1"/>
  <c r="J249" i="1" s="1"/>
  <c r="D221" i="1"/>
  <c r="D246" i="1"/>
  <c r="J246" i="1" s="1"/>
  <c r="X139" i="1"/>
  <c r="P139" i="1"/>
  <c r="D223" i="1"/>
  <c r="D248" i="1"/>
  <c r="N248" i="1" s="1"/>
  <c r="AB139" i="1"/>
  <c r="D217" i="1"/>
  <c r="D212" i="1"/>
  <c r="D206" i="1"/>
  <c r="D231" i="1"/>
  <c r="D211" i="1"/>
  <c r="D210" i="1"/>
  <c r="D219" i="1"/>
  <c r="D220" i="1"/>
  <c r="D209" i="1"/>
  <c r="D216" i="1"/>
  <c r="D213" i="1"/>
  <c r="D208" i="1"/>
  <c r="D218" i="1"/>
  <c r="D215" i="1"/>
  <c r="D205" i="1"/>
  <c r="D230" i="1"/>
  <c r="D214" i="1"/>
  <c r="D207" i="1"/>
  <c r="U219" i="1"/>
  <c r="M219" i="1"/>
  <c r="S219" i="1"/>
  <c r="K219" i="1"/>
  <c r="R219" i="1"/>
  <c r="J219" i="1"/>
  <c r="F219" i="1"/>
  <c r="Q219" i="1"/>
  <c r="I219" i="1"/>
  <c r="W219" i="1"/>
  <c r="O219" i="1"/>
  <c r="V219" i="1"/>
  <c r="N219" i="1"/>
  <c r="G219" i="1"/>
  <c r="E219" i="1"/>
  <c r="Q207" i="1"/>
  <c r="I207" i="1"/>
  <c r="W207" i="1"/>
  <c r="O207" i="1"/>
  <c r="V207" i="1"/>
  <c r="N207" i="1"/>
  <c r="G207" i="1"/>
  <c r="E207" i="1"/>
  <c r="U207" i="1"/>
  <c r="M207" i="1"/>
  <c r="S207" i="1"/>
  <c r="K207" i="1"/>
  <c r="R207" i="1"/>
  <c r="J207" i="1"/>
  <c r="F207" i="1"/>
  <c r="V224" i="1"/>
  <c r="N224" i="1"/>
  <c r="F224" i="1"/>
  <c r="U224" i="1"/>
  <c r="M224" i="1"/>
  <c r="S224" i="1"/>
  <c r="K224" i="1"/>
  <c r="R224" i="1"/>
  <c r="J224" i="1"/>
  <c r="G224" i="1"/>
  <c r="E224" i="1"/>
  <c r="Q224" i="1"/>
  <c r="I224" i="1"/>
  <c r="W224" i="1"/>
  <c r="O224" i="1"/>
  <c r="S214" i="1"/>
  <c r="K214" i="1"/>
  <c r="R214" i="1"/>
  <c r="J214" i="1"/>
  <c r="G214" i="1"/>
  <c r="E214" i="1"/>
  <c r="Q214" i="1"/>
  <c r="I214" i="1"/>
  <c r="W214" i="1"/>
  <c r="O214" i="1"/>
  <c r="V214" i="1"/>
  <c r="N214" i="1"/>
  <c r="F214" i="1"/>
  <c r="U214" i="1"/>
  <c r="M214" i="1"/>
  <c r="S206" i="1"/>
  <c r="K206" i="1"/>
  <c r="R206" i="1"/>
  <c r="J206" i="1"/>
  <c r="G206" i="1"/>
  <c r="E206" i="1"/>
  <c r="Q206" i="1"/>
  <c r="I206" i="1"/>
  <c r="W206" i="1"/>
  <c r="O206" i="1"/>
  <c r="V206" i="1"/>
  <c r="N206" i="1"/>
  <c r="F206" i="1"/>
  <c r="U206" i="1"/>
  <c r="M206" i="1"/>
  <c r="W213" i="1"/>
  <c r="O213" i="1"/>
  <c r="V213" i="1"/>
  <c r="N213" i="1"/>
  <c r="G213" i="1"/>
  <c r="E213" i="1"/>
  <c r="U213" i="1"/>
  <c r="M213" i="1"/>
  <c r="S213" i="1"/>
  <c r="K213" i="1"/>
  <c r="R213" i="1"/>
  <c r="J213" i="1"/>
  <c r="F213" i="1"/>
  <c r="Q213" i="1"/>
  <c r="I213" i="1"/>
  <c r="W210" i="1"/>
  <c r="O210" i="1"/>
  <c r="V210" i="1"/>
  <c r="N210" i="1"/>
  <c r="F210" i="1"/>
  <c r="U210" i="1"/>
  <c r="M210" i="1"/>
  <c r="S210" i="1"/>
  <c r="K210" i="1"/>
  <c r="R210" i="1"/>
  <c r="J210" i="1"/>
  <c r="G210" i="1"/>
  <c r="E210" i="1"/>
  <c r="Q210" i="1"/>
  <c r="I210" i="1"/>
  <c r="W218" i="1"/>
  <c r="O218" i="1"/>
  <c r="V218" i="1"/>
  <c r="N218" i="1"/>
  <c r="F218" i="1"/>
  <c r="U218" i="1"/>
  <c r="M218" i="1"/>
  <c r="S218" i="1"/>
  <c r="K218" i="1"/>
  <c r="R218" i="1"/>
  <c r="J218" i="1"/>
  <c r="G218" i="1"/>
  <c r="E218" i="1"/>
  <c r="Q218" i="1"/>
  <c r="I218" i="1"/>
  <c r="R212" i="1"/>
  <c r="J212" i="1"/>
  <c r="G212" i="1"/>
  <c r="E212" i="1"/>
  <c r="Q212" i="1"/>
  <c r="I212" i="1"/>
  <c r="W212" i="1"/>
  <c r="O212" i="1"/>
  <c r="V212" i="1"/>
  <c r="N212" i="1"/>
  <c r="F212" i="1"/>
  <c r="U212" i="1"/>
  <c r="M212" i="1"/>
  <c r="S212" i="1"/>
  <c r="K212" i="1"/>
  <c r="S217" i="1"/>
  <c r="K217" i="1"/>
  <c r="R217" i="1"/>
  <c r="J217" i="1"/>
  <c r="F217" i="1"/>
  <c r="Q217" i="1"/>
  <c r="I217" i="1"/>
  <c r="W217" i="1"/>
  <c r="O217" i="1"/>
  <c r="V217" i="1"/>
  <c r="N217" i="1"/>
  <c r="G217" i="1"/>
  <c r="E217" i="1"/>
  <c r="U217" i="1"/>
  <c r="M217" i="1"/>
  <c r="Q215" i="1"/>
  <c r="I215" i="1"/>
  <c r="W215" i="1"/>
  <c r="O215" i="1"/>
  <c r="V215" i="1"/>
  <c r="N215" i="1"/>
  <c r="G215" i="1"/>
  <c r="E215" i="1"/>
  <c r="U215" i="1"/>
  <c r="M215" i="1"/>
  <c r="S215" i="1"/>
  <c r="K215" i="1"/>
  <c r="R215" i="1"/>
  <c r="J215" i="1"/>
  <c r="F215" i="1"/>
  <c r="V208" i="1"/>
  <c r="N208" i="1"/>
  <c r="F208" i="1"/>
  <c r="U208" i="1"/>
  <c r="M208" i="1"/>
  <c r="S208" i="1"/>
  <c r="K208" i="1"/>
  <c r="R208" i="1"/>
  <c r="J208" i="1"/>
  <c r="G208" i="1"/>
  <c r="E208" i="1"/>
  <c r="Q208" i="1"/>
  <c r="I208" i="1"/>
  <c r="W208" i="1"/>
  <c r="O208" i="1"/>
  <c r="S222" i="1"/>
  <c r="K222" i="1"/>
  <c r="R222" i="1"/>
  <c r="J222" i="1"/>
  <c r="G222" i="1"/>
  <c r="E222" i="1"/>
  <c r="Q222" i="1"/>
  <c r="I222" i="1"/>
  <c r="W222" i="1"/>
  <c r="O222" i="1"/>
  <c r="V222" i="1"/>
  <c r="N222" i="1"/>
  <c r="F222" i="1"/>
  <c r="U222" i="1"/>
  <c r="M222" i="1"/>
  <c r="W205" i="1"/>
  <c r="O205" i="1"/>
  <c r="V205" i="1"/>
  <c r="N205" i="1"/>
  <c r="F205" i="1"/>
  <c r="U205" i="1"/>
  <c r="M205" i="1"/>
  <c r="S205" i="1"/>
  <c r="K205" i="1"/>
  <c r="R205" i="1"/>
  <c r="J205" i="1"/>
  <c r="G205" i="1"/>
  <c r="E205" i="1"/>
  <c r="Q205" i="1"/>
  <c r="I205" i="1"/>
  <c r="W221" i="1"/>
  <c r="O221" i="1"/>
  <c r="V221" i="1"/>
  <c r="N221" i="1"/>
  <c r="G221" i="1"/>
  <c r="E221" i="1"/>
  <c r="U221" i="1"/>
  <c r="M221" i="1"/>
  <c r="S221" i="1"/>
  <c r="K221" i="1"/>
  <c r="R221" i="1"/>
  <c r="J221" i="1"/>
  <c r="F221" i="1"/>
  <c r="Q221" i="1"/>
  <c r="I221" i="1"/>
  <c r="U211" i="1"/>
  <c r="M211" i="1"/>
  <c r="S211" i="1"/>
  <c r="K211" i="1"/>
  <c r="R211" i="1"/>
  <c r="J211" i="1"/>
  <c r="F211" i="1"/>
  <c r="Q211" i="1"/>
  <c r="I211" i="1"/>
  <c r="W211" i="1"/>
  <c r="O211" i="1"/>
  <c r="V211" i="1"/>
  <c r="N211" i="1"/>
  <c r="G211" i="1"/>
  <c r="E211" i="1"/>
  <c r="S209" i="1"/>
  <c r="K209" i="1"/>
  <c r="R209" i="1"/>
  <c r="J209" i="1"/>
  <c r="F209" i="1"/>
  <c r="Q209" i="1"/>
  <c r="I209" i="1"/>
  <c r="W209" i="1"/>
  <c r="O209" i="1"/>
  <c r="V209" i="1"/>
  <c r="N209" i="1"/>
  <c r="G209" i="1"/>
  <c r="E209" i="1"/>
  <c r="U209" i="1"/>
  <c r="M209" i="1"/>
  <c r="R220" i="1"/>
  <c r="J220" i="1"/>
  <c r="G220" i="1"/>
  <c r="E220" i="1"/>
  <c r="Q220" i="1"/>
  <c r="I220" i="1"/>
  <c r="W220" i="1"/>
  <c r="O220" i="1"/>
  <c r="V220" i="1"/>
  <c r="N220" i="1"/>
  <c r="F220" i="1"/>
  <c r="U220" i="1"/>
  <c r="M220" i="1"/>
  <c r="S220" i="1"/>
  <c r="K220" i="1"/>
  <c r="V216" i="1"/>
  <c r="N216" i="1"/>
  <c r="F216" i="1"/>
  <c r="U216" i="1"/>
  <c r="M216" i="1"/>
  <c r="S216" i="1"/>
  <c r="K216" i="1"/>
  <c r="R216" i="1"/>
  <c r="J216" i="1"/>
  <c r="G216" i="1"/>
  <c r="E216" i="1"/>
  <c r="Q216" i="1"/>
  <c r="I216" i="1"/>
  <c r="W216" i="1"/>
  <c r="O216" i="1"/>
  <c r="Q223" i="1"/>
  <c r="I223" i="1"/>
  <c r="W223" i="1"/>
  <c r="O223" i="1"/>
  <c r="V223" i="1"/>
  <c r="N223" i="1"/>
  <c r="G223" i="1"/>
  <c r="E223" i="1"/>
  <c r="U223" i="1"/>
  <c r="M223" i="1"/>
  <c r="S223" i="1"/>
  <c r="K223" i="1"/>
  <c r="R223" i="1"/>
  <c r="J223" i="1"/>
  <c r="F223" i="1"/>
  <c r="X121" i="1"/>
  <c r="P121" i="1"/>
  <c r="N121" i="1"/>
  <c r="Y121" i="1"/>
  <c r="Q121" i="1"/>
  <c r="AC121" i="1"/>
  <c r="O121" i="1"/>
  <c r="AD121" i="1"/>
  <c r="T121" i="1"/>
  <c r="AA121" i="1"/>
  <c r="R121" i="1"/>
  <c r="S121" i="1"/>
  <c r="U121" i="1"/>
  <c r="AB121" i="1"/>
  <c r="W121" i="1"/>
  <c r="Z121" i="1"/>
  <c r="AC135" i="1"/>
  <c r="Z135" i="1"/>
  <c r="T135" i="1"/>
  <c r="AB135" i="1"/>
  <c r="R135" i="1"/>
  <c r="Y135" i="1"/>
  <c r="N135" i="1"/>
  <c r="X135" i="1"/>
  <c r="O135" i="1"/>
  <c r="AD135" i="1"/>
  <c r="AA135" i="1"/>
  <c r="W135" i="1"/>
  <c r="P135" i="1"/>
  <c r="S135" i="1"/>
  <c r="Q135" i="1"/>
  <c r="U135" i="1"/>
  <c r="V168" i="1"/>
  <c r="O168" i="1"/>
  <c r="J168" i="1"/>
  <c r="W168" i="1"/>
  <c r="H168" i="1"/>
  <c r="S168" i="1"/>
  <c r="R168" i="1"/>
  <c r="M168" i="1"/>
  <c r="Q168" i="1"/>
  <c r="G168" i="1"/>
  <c r="K168" i="1"/>
  <c r="AA168" i="1"/>
  <c r="I168" i="1"/>
  <c r="Z168" i="1"/>
  <c r="U168" i="1"/>
  <c r="P168" i="1"/>
  <c r="F168" i="1"/>
  <c r="Y168" i="1"/>
  <c r="X168" i="1"/>
  <c r="N168" i="1"/>
  <c r="E168" i="1"/>
  <c r="Z172" i="1"/>
  <c r="R172" i="1"/>
  <c r="J172" i="1"/>
  <c r="AA172" i="1"/>
  <c r="P172" i="1"/>
  <c r="I172" i="1"/>
  <c r="Y172" i="1"/>
  <c r="U172" i="1"/>
  <c r="O172" i="1"/>
  <c r="F172" i="1"/>
  <c r="X172" i="1"/>
  <c r="W172" i="1"/>
  <c r="N172" i="1"/>
  <c r="E172" i="1"/>
  <c r="V172" i="1"/>
  <c r="H172" i="1"/>
  <c r="S172" i="1"/>
  <c r="Q172" i="1"/>
  <c r="M172" i="1"/>
  <c r="K172" i="1"/>
  <c r="G172" i="1"/>
  <c r="X166" i="1"/>
  <c r="S166" i="1"/>
  <c r="R166" i="1"/>
  <c r="Q166" i="1"/>
  <c r="M166" i="1"/>
  <c r="G166" i="1"/>
  <c r="K166" i="1"/>
  <c r="J166" i="1"/>
  <c r="I166" i="1"/>
  <c r="AA166" i="1"/>
  <c r="Z166" i="1"/>
  <c r="P166" i="1"/>
  <c r="F166" i="1"/>
  <c r="Y166" i="1"/>
  <c r="U166" i="1"/>
  <c r="O166" i="1"/>
  <c r="N166" i="1"/>
  <c r="E166" i="1"/>
  <c r="W166" i="1"/>
  <c r="H166" i="1"/>
  <c r="V166" i="1"/>
  <c r="N173" i="1"/>
  <c r="K173" i="1"/>
  <c r="G173" i="1"/>
  <c r="J173" i="1"/>
  <c r="AA173" i="1"/>
  <c r="Z173" i="1"/>
  <c r="P173" i="1"/>
  <c r="I173" i="1"/>
  <c r="Y173" i="1"/>
  <c r="U173" i="1"/>
  <c r="O173" i="1"/>
  <c r="F173" i="1"/>
  <c r="X173" i="1"/>
  <c r="W173" i="1"/>
  <c r="E173" i="1"/>
  <c r="V173" i="1"/>
  <c r="H173" i="1"/>
  <c r="S173" i="1"/>
  <c r="R173" i="1"/>
  <c r="Q173" i="1"/>
  <c r="M173" i="1"/>
  <c r="AA167" i="1"/>
  <c r="U167" i="1"/>
  <c r="S167" i="1"/>
  <c r="M167" i="1"/>
  <c r="V167" i="1"/>
  <c r="R167" i="1"/>
  <c r="Q167" i="1"/>
  <c r="G167" i="1"/>
  <c r="K167" i="1"/>
  <c r="J167" i="1"/>
  <c r="I167" i="1"/>
  <c r="Z167" i="1"/>
  <c r="P167" i="1"/>
  <c r="F167" i="1"/>
  <c r="Y167" i="1"/>
  <c r="X167" i="1"/>
  <c r="O167" i="1"/>
  <c r="N167" i="1"/>
  <c r="E167" i="1"/>
  <c r="W167" i="1"/>
  <c r="H167" i="1"/>
  <c r="Z170" i="1"/>
  <c r="Y170" i="1"/>
  <c r="U170" i="1"/>
  <c r="P170" i="1"/>
  <c r="O170" i="1"/>
  <c r="F170" i="1"/>
  <c r="X170" i="1"/>
  <c r="N170" i="1"/>
  <c r="E170" i="1"/>
  <c r="W170" i="1"/>
  <c r="V170" i="1"/>
  <c r="H170" i="1"/>
  <c r="S170" i="1"/>
  <c r="R170" i="1"/>
  <c r="Q170" i="1"/>
  <c r="M170" i="1"/>
  <c r="G170" i="1"/>
  <c r="K170" i="1"/>
  <c r="J170" i="1"/>
  <c r="AA170" i="1"/>
  <c r="I170" i="1"/>
  <c r="X182" i="1"/>
  <c r="K182" i="1"/>
  <c r="J182" i="1"/>
  <c r="G182" i="1"/>
  <c r="AA182" i="1"/>
  <c r="Z182" i="1"/>
  <c r="P182" i="1"/>
  <c r="Y182" i="1"/>
  <c r="U182" i="1"/>
  <c r="O182" i="1"/>
  <c r="N182" i="1"/>
  <c r="I182" i="1"/>
  <c r="W182" i="1"/>
  <c r="F182" i="1"/>
  <c r="V182" i="1"/>
  <c r="E182" i="1"/>
  <c r="S182" i="1"/>
  <c r="R182" i="1"/>
  <c r="H182" i="1"/>
  <c r="Q182" i="1"/>
  <c r="M182" i="1"/>
  <c r="Z164" i="1"/>
  <c r="R164" i="1"/>
  <c r="K164" i="1"/>
  <c r="J164" i="1"/>
  <c r="AA164" i="1"/>
  <c r="P164" i="1"/>
  <c r="I164" i="1"/>
  <c r="F164" i="1"/>
  <c r="Y164" i="1"/>
  <c r="U164" i="1"/>
  <c r="O164" i="1"/>
  <c r="E164" i="1"/>
  <c r="X164" i="1"/>
  <c r="W164" i="1"/>
  <c r="N164" i="1"/>
  <c r="H164" i="1"/>
  <c r="V164" i="1"/>
  <c r="S164" i="1"/>
  <c r="Q164" i="1"/>
  <c r="M164" i="1"/>
  <c r="G164" i="1"/>
  <c r="C163" i="1"/>
  <c r="V176" i="1"/>
  <c r="O176" i="1"/>
  <c r="J176" i="1"/>
  <c r="S176" i="1"/>
  <c r="H176" i="1"/>
  <c r="R176" i="1"/>
  <c r="M176" i="1"/>
  <c r="Q176" i="1"/>
  <c r="K176" i="1"/>
  <c r="G176" i="1"/>
  <c r="AA176" i="1"/>
  <c r="Z176" i="1"/>
  <c r="U176" i="1"/>
  <c r="P176" i="1"/>
  <c r="I176" i="1"/>
  <c r="Y176" i="1"/>
  <c r="X176" i="1"/>
  <c r="N176" i="1"/>
  <c r="F176" i="1"/>
  <c r="W176" i="1"/>
  <c r="E176" i="1"/>
  <c r="AA175" i="1"/>
  <c r="U175" i="1"/>
  <c r="S175" i="1"/>
  <c r="M175" i="1"/>
  <c r="R175" i="1"/>
  <c r="Q175" i="1"/>
  <c r="K175" i="1"/>
  <c r="G175" i="1"/>
  <c r="J175" i="1"/>
  <c r="Z175" i="1"/>
  <c r="P175" i="1"/>
  <c r="I175" i="1"/>
  <c r="Y175" i="1"/>
  <c r="X175" i="1"/>
  <c r="O175" i="1"/>
  <c r="N175" i="1"/>
  <c r="F175" i="1"/>
  <c r="W175" i="1"/>
  <c r="E175" i="1"/>
  <c r="V175" i="1"/>
  <c r="H175" i="1"/>
  <c r="Z180" i="1"/>
  <c r="R180" i="1"/>
  <c r="AA180" i="1"/>
  <c r="P180" i="1"/>
  <c r="Y180" i="1"/>
  <c r="U180" i="1"/>
  <c r="O180" i="1"/>
  <c r="I180" i="1"/>
  <c r="X180" i="1"/>
  <c r="W180" i="1"/>
  <c r="N180" i="1"/>
  <c r="F180" i="1"/>
  <c r="V180" i="1"/>
  <c r="E180" i="1"/>
  <c r="S180" i="1"/>
  <c r="H180" i="1"/>
  <c r="Q180" i="1"/>
  <c r="M180" i="1"/>
  <c r="K180" i="1"/>
  <c r="J180" i="1"/>
  <c r="G180" i="1"/>
  <c r="W179" i="1"/>
  <c r="P179" i="1"/>
  <c r="K179" i="1"/>
  <c r="Z179" i="1"/>
  <c r="Y179" i="1"/>
  <c r="U179" i="1"/>
  <c r="O179" i="1"/>
  <c r="I179" i="1"/>
  <c r="X179" i="1"/>
  <c r="N179" i="1"/>
  <c r="F179" i="1"/>
  <c r="V179" i="1"/>
  <c r="E179" i="1"/>
  <c r="S179" i="1"/>
  <c r="H179" i="1"/>
  <c r="R179" i="1"/>
  <c r="Q179" i="1"/>
  <c r="M179" i="1"/>
  <c r="J179" i="1"/>
  <c r="G179" i="1"/>
  <c r="AA179" i="1"/>
  <c r="Y169" i="1"/>
  <c r="Q169" i="1"/>
  <c r="X169" i="1"/>
  <c r="N169" i="1"/>
  <c r="E169" i="1"/>
  <c r="W169" i="1"/>
  <c r="V169" i="1"/>
  <c r="H169" i="1"/>
  <c r="S169" i="1"/>
  <c r="R169" i="1"/>
  <c r="M169" i="1"/>
  <c r="G169" i="1"/>
  <c r="K169" i="1"/>
  <c r="J169" i="1"/>
  <c r="AA169" i="1"/>
  <c r="I169" i="1"/>
  <c r="Z169" i="1"/>
  <c r="U169" i="1"/>
  <c r="P169" i="1"/>
  <c r="O169" i="1"/>
  <c r="F169" i="1"/>
  <c r="X174" i="1"/>
  <c r="Q174" i="1"/>
  <c r="M174" i="1"/>
  <c r="K174" i="1"/>
  <c r="G174" i="1"/>
  <c r="J174" i="1"/>
  <c r="AA174" i="1"/>
  <c r="Z174" i="1"/>
  <c r="P174" i="1"/>
  <c r="I174" i="1"/>
  <c r="Y174" i="1"/>
  <c r="U174" i="1"/>
  <c r="O174" i="1"/>
  <c r="N174" i="1"/>
  <c r="F174" i="1"/>
  <c r="W174" i="1"/>
  <c r="E174" i="1"/>
  <c r="V174" i="1"/>
  <c r="H174" i="1"/>
  <c r="S174" i="1"/>
  <c r="R174" i="1"/>
  <c r="N181" i="1"/>
  <c r="J181" i="1"/>
  <c r="G181" i="1"/>
  <c r="AA181" i="1"/>
  <c r="Z181" i="1"/>
  <c r="P181" i="1"/>
  <c r="Y181" i="1"/>
  <c r="U181" i="1"/>
  <c r="O181" i="1"/>
  <c r="I181" i="1"/>
  <c r="X181" i="1"/>
  <c r="W181" i="1"/>
  <c r="F181" i="1"/>
  <c r="V181" i="1"/>
  <c r="E181" i="1"/>
  <c r="S181" i="1"/>
  <c r="R181" i="1"/>
  <c r="H181" i="1"/>
  <c r="Q181" i="1"/>
  <c r="M181" i="1"/>
  <c r="K181" i="1"/>
  <c r="C177" i="1"/>
  <c r="N165" i="1"/>
  <c r="I165" i="1"/>
  <c r="Q165" i="1"/>
  <c r="M165" i="1"/>
  <c r="G165" i="1"/>
  <c r="K165" i="1"/>
  <c r="J165" i="1"/>
  <c r="AA165" i="1"/>
  <c r="Z165" i="1"/>
  <c r="P165" i="1"/>
  <c r="F165" i="1"/>
  <c r="Y165" i="1"/>
  <c r="U165" i="1"/>
  <c r="O165" i="1"/>
  <c r="E165" i="1"/>
  <c r="X165" i="1"/>
  <c r="W165" i="1"/>
  <c r="H165" i="1"/>
  <c r="V165" i="1"/>
  <c r="S165" i="1"/>
  <c r="R165" i="1"/>
  <c r="X178" i="1"/>
  <c r="N178" i="1"/>
  <c r="F178" i="1"/>
  <c r="W178" i="1"/>
  <c r="V178" i="1"/>
  <c r="E178" i="1"/>
  <c r="S178" i="1"/>
  <c r="H178" i="1"/>
  <c r="R178" i="1"/>
  <c r="Q178" i="1"/>
  <c r="M178" i="1"/>
  <c r="K178" i="1"/>
  <c r="J178" i="1"/>
  <c r="G178" i="1"/>
  <c r="AA178" i="1"/>
  <c r="Z178" i="1"/>
  <c r="Y178" i="1"/>
  <c r="U178" i="1"/>
  <c r="P178" i="1"/>
  <c r="O178" i="1"/>
  <c r="I178" i="1"/>
  <c r="W171" i="1"/>
  <c r="P171" i="1"/>
  <c r="K171" i="1"/>
  <c r="AA171" i="1"/>
  <c r="I171" i="1"/>
  <c r="Z171" i="1"/>
  <c r="Y171" i="1"/>
  <c r="U171" i="1"/>
  <c r="O171" i="1"/>
  <c r="F171" i="1"/>
  <c r="X171" i="1"/>
  <c r="N171" i="1"/>
  <c r="E171" i="1"/>
  <c r="V171" i="1"/>
  <c r="H171" i="1"/>
  <c r="S171" i="1"/>
  <c r="R171" i="1"/>
  <c r="Q171" i="1"/>
  <c r="M171" i="1"/>
  <c r="G171" i="1"/>
  <c r="J171" i="1"/>
  <c r="M133" i="1"/>
  <c r="M134" i="1"/>
  <c r="M122" i="1"/>
  <c r="M140" i="1"/>
  <c r="M130" i="1"/>
  <c r="L121" i="1"/>
  <c r="K121" i="1"/>
  <c r="J121" i="1"/>
  <c r="M127" i="1"/>
  <c r="M137" i="1"/>
  <c r="M131" i="1"/>
  <c r="M136" i="1"/>
  <c r="M123" i="1"/>
  <c r="M124" i="1"/>
  <c r="M125" i="1"/>
  <c r="M128" i="1"/>
  <c r="M139" i="1"/>
  <c r="M138" i="1"/>
  <c r="M132" i="1"/>
  <c r="M129" i="1"/>
  <c r="M126" i="1"/>
  <c r="AC71" i="1"/>
  <c r="H71" i="1"/>
  <c r="J71" i="1"/>
  <c r="S71" i="1"/>
  <c r="N71" i="1"/>
  <c r="P71" i="1"/>
  <c r="R71" i="1"/>
  <c r="L71" i="1"/>
  <c r="V71" i="1"/>
  <c r="X71" i="1"/>
  <c r="Z71" i="1"/>
  <c r="T71" i="1"/>
  <c r="AD71" i="1"/>
  <c r="AF71" i="1"/>
  <c r="AH71" i="1"/>
  <c r="AB71" i="1"/>
  <c r="G71" i="1"/>
  <c r="I71" i="1"/>
  <c r="AA71" i="1"/>
  <c r="AJ71" i="1"/>
  <c r="O71" i="1"/>
  <c r="Q71" i="1"/>
  <c r="AI71" i="1"/>
  <c r="M71" i="1"/>
  <c r="W71" i="1"/>
  <c r="Y71" i="1"/>
  <c r="F71" i="1"/>
  <c r="U71" i="1"/>
  <c r="AE71" i="1"/>
  <c r="AG71" i="1"/>
  <c r="K71" i="1"/>
  <c r="J135" i="1"/>
  <c r="I135" i="1"/>
  <c r="K135" i="1"/>
  <c r="L135" i="1"/>
  <c r="E135" i="1"/>
  <c r="F135" i="1"/>
  <c r="G135" i="1"/>
  <c r="H135" i="1"/>
  <c r="D75" i="1"/>
  <c r="D139" i="1"/>
  <c r="D181" i="1" s="1"/>
  <c r="D74" i="1"/>
  <c r="D138" i="1"/>
  <c r="D180" i="1" s="1"/>
  <c r="D76" i="1"/>
  <c r="D140" i="1"/>
  <c r="D182" i="1" s="1"/>
  <c r="D64" i="1"/>
  <c r="D128" i="1"/>
  <c r="D170" i="1" s="1"/>
  <c r="D63" i="1"/>
  <c r="D127" i="1"/>
  <c r="D169" i="1" s="1"/>
  <c r="D61" i="1"/>
  <c r="D125" i="1"/>
  <c r="D167" i="1" s="1"/>
  <c r="D68" i="1"/>
  <c r="D132" i="1"/>
  <c r="D174" i="1" s="1"/>
  <c r="D69" i="1"/>
  <c r="D133" i="1"/>
  <c r="D175" i="1" s="1"/>
  <c r="D65" i="1"/>
  <c r="D129" i="1"/>
  <c r="D171" i="1" s="1"/>
  <c r="D70" i="1"/>
  <c r="D134" i="1"/>
  <c r="D176" i="1" s="1"/>
  <c r="D67" i="1"/>
  <c r="D131" i="1"/>
  <c r="D173" i="1" s="1"/>
  <c r="D66" i="1"/>
  <c r="D130" i="1"/>
  <c r="D172" i="1" s="1"/>
  <c r="D62" i="1"/>
  <c r="D126" i="1"/>
  <c r="D168" i="1" s="1"/>
  <c r="D58" i="1"/>
  <c r="D122" i="1"/>
  <c r="D164" i="1" s="1"/>
  <c r="D60" i="1"/>
  <c r="D124" i="1"/>
  <c r="D166" i="1" s="1"/>
  <c r="D59" i="1"/>
  <c r="D123" i="1"/>
  <c r="D165" i="1" s="1"/>
  <c r="I121" i="1"/>
  <c r="G121" i="1"/>
  <c r="E121" i="1"/>
  <c r="H121" i="1"/>
  <c r="F121" i="1"/>
  <c r="D57" i="1"/>
  <c r="D121" i="1"/>
  <c r="D163" i="1" s="1"/>
  <c r="N70" i="1"/>
  <c r="V70" i="1"/>
  <c r="AD70" i="1"/>
  <c r="G70" i="1"/>
  <c r="O70" i="1"/>
  <c r="W70" i="1"/>
  <c r="AE70" i="1"/>
  <c r="H70" i="1"/>
  <c r="P70" i="1"/>
  <c r="X70" i="1"/>
  <c r="AF70" i="1"/>
  <c r="I70" i="1"/>
  <c r="Q70" i="1"/>
  <c r="Y70" i="1"/>
  <c r="AG70" i="1"/>
  <c r="J70" i="1"/>
  <c r="R70" i="1"/>
  <c r="Z70" i="1"/>
  <c r="AH70" i="1"/>
  <c r="K70" i="1"/>
  <c r="S70" i="1"/>
  <c r="AA70" i="1"/>
  <c r="AI70" i="1"/>
  <c r="L70" i="1"/>
  <c r="T70" i="1"/>
  <c r="AB70" i="1"/>
  <c r="AJ70" i="1"/>
  <c r="F70" i="1"/>
  <c r="M70" i="1"/>
  <c r="U70" i="1"/>
  <c r="AC70" i="1"/>
  <c r="L75" i="1"/>
  <c r="T75" i="1"/>
  <c r="AB75" i="1"/>
  <c r="AJ75" i="1"/>
  <c r="M75" i="1"/>
  <c r="U75" i="1"/>
  <c r="AC75" i="1"/>
  <c r="N75" i="1"/>
  <c r="V75" i="1"/>
  <c r="AD75" i="1"/>
  <c r="G75" i="1"/>
  <c r="O75" i="1"/>
  <c r="W75" i="1"/>
  <c r="AE75" i="1"/>
  <c r="F75" i="1"/>
  <c r="H75" i="1"/>
  <c r="P75" i="1"/>
  <c r="X75" i="1"/>
  <c r="AF75" i="1"/>
  <c r="I75" i="1"/>
  <c r="Q75" i="1"/>
  <c r="Y75" i="1"/>
  <c r="AG75" i="1"/>
  <c r="J75" i="1"/>
  <c r="R75" i="1"/>
  <c r="Z75" i="1"/>
  <c r="AH75" i="1"/>
  <c r="S75" i="1"/>
  <c r="AA75" i="1"/>
  <c r="AI75" i="1"/>
  <c r="K75" i="1"/>
  <c r="N74" i="1"/>
  <c r="V74" i="1"/>
  <c r="AD74" i="1"/>
  <c r="G74" i="1"/>
  <c r="O74" i="1"/>
  <c r="W74" i="1"/>
  <c r="AE74" i="1"/>
  <c r="H74" i="1"/>
  <c r="P74" i="1"/>
  <c r="X74" i="1"/>
  <c r="AF74" i="1"/>
  <c r="F74" i="1"/>
  <c r="I74" i="1"/>
  <c r="Q74" i="1"/>
  <c r="Y74" i="1"/>
  <c r="AG74" i="1"/>
  <c r="J74" i="1"/>
  <c r="R74" i="1"/>
  <c r="Z74" i="1"/>
  <c r="AH74" i="1"/>
  <c r="K74" i="1"/>
  <c r="S74" i="1"/>
  <c r="AA74" i="1"/>
  <c r="AI74" i="1"/>
  <c r="L74" i="1"/>
  <c r="T74" i="1"/>
  <c r="AB74" i="1"/>
  <c r="AJ74" i="1"/>
  <c r="M74" i="1"/>
  <c r="U74" i="1"/>
  <c r="AC74" i="1"/>
  <c r="J76" i="1"/>
  <c r="R76" i="1"/>
  <c r="Z76" i="1"/>
  <c r="AH76" i="1"/>
  <c r="K76" i="1"/>
  <c r="S76" i="1"/>
  <c r="AA76" i="1"/>
  <c r="AI76" i="1"/>
  <c r="L76" i="1"/>
  <c r="T76" i="1"/>
  <c r="AB76" i="1"/>
  <c r="AJ76" i="1"/>
  <c r="M76" i="1"/>
  <c r="U76" i="1"/>
  <c r="AC76" i="1"/>
  <c r="N76" i="1"/>
  <c r="V76" i="1"/>
  <c r="AD76" i="1"/>
  <c r="F76" i="1"/>
  <c r="I76" i="1"/>
  <c r="Q76" i="1"/>
  <c r="Y76" i="1"/>
  <c r="AG76" i="1"/>
  <c r="G76" i="1"/>
  <c r="O76" i="1"/>
  <c r="W76" i="1"/>
  <c r="AE76" i="1"/>
  <c r="H76" i="1"/>
  <c r="P76" i="1"/>
  <c r="X76" i="1"/>
  <c r="AF76" i="1"/>
  <c r="J64" i="1"/>
  <c r="R64" i="1"/>
  <c r="Z64" i="1"/>
  <c r="AH64" i="1"/>
  <c r="K64" i="1"/>
  <c r="S64" i="1"/>
  <c r="AA64" i="1"/>
  <c r="AI64" i="1"/>
  <c r="L64" i="1"/>
  <c r="T64" i="1"/>
  <c r="AB64" i="1"/>
  <c r="AJ64" i="1"/>
  <c r="F64" i="1"/>
  <c r="M64" i="1"/>
  <c r="U64" i="1"/>
  <c r="AC64" i="1"/>
  <c r="N64" i="1"/>
  <c r="V64" i="1"/>
  <c r="AD64" i="1"/>
  <c r="G64" i="1"/>
  <c r="O64" i="1"/>
  <c r="W64" i="1"/>
  <c r="AE64" i="1"/>
  <c r="H64" i="1"/>
  <c r="P64" i="1"/>
  <c r="X64" i="1"/>
  <c r="AF64" i="1"/>
  <c r="I64" i="1"/>
  <c r="Q64" i="1"/>
  <c r="Y64" i="1"/>
  <c r="AG64" i="1"/>
  <c r="N58" i="1"/>
  <c r="V58" i="1"/>
  <c r="AD58" i="1"/>
  <c r="F58" i="1"/>
  <c r="G58" i="1"/>
  <c r="O58" i="1"/>
  <c r="W58" i="1"/>
  <c r="AE58" i="1"/>
  <c r="H58" i="1"/>
  <c r="P58" i="1"/>
  <c r="X58" i="1"/>
  <c r="AF58" i="1"/>
  <c r="I58" i="1"/>
  <c r="Q58" i="1"/>
  <c r="Y58" i="1"/>
  <c r="AG58" i="1"/>
  <c r="J58" i="1"/>
  <c r="R58" i="1"/>
  <c r="Z58" i="1"/>
  <c r="AH58" i="1"/>
  <c r="K58" i="1"/>
  <c r="S58" i="1"/>
  <c r="AA58" i="1"/>
  <c r="AI58" i="1"/>
  <c r="L58" i="1"/>
  <c r="T58" i="1"/>
  <c r="AB58" i="1"/>
  <c r="AJ58" i="1"/>
  <c r="U58" i="1"/>
  <c r="AC58" i="1"/>
  <c r="M58" i="1"/>
  <c r="L63" i="1"/>
  <c r="T63" i="1"/>
  <c r="AB63" i="1"/>
  <c r="AJ63" i="1"/>
  <c r="M63" i="1"/>
  <c r="U63" i="1"/>
  <c r="AC63" i="1"/>
  <c r="F63" i="1"/>
  <c r="N63" i="1"/>
  <c r="V63" i="1"/>
  <c r="AD63" i="1"/>
  <c r="G63" i="1"/>
  <c r="O63" i="1"/>
  <c r="W63" i="1"/>
  <c r="AE63" i="1"/>
  <c r="H63" i="1"/>
  <c r="P63" i="1"/>
  <c r="X63" i="1"/>
  <c r="AF63" i="1"/>
  <c r="I63" i="1"/>
  <c r="Q63" i="1"/>
  <c r="Y63" i="1"/>
  <c r="AG63" i="1"/>
  <c r="J63" i="1"/>
  <c r="R63" i="1"/>
  <c r="Z63" i="1"/>
  <c r="AH63" i="1"/>
  <c r="K63" i="1"/>
  <c r="S63" i="1"/>
  <c r="AA63" i="1"/>
  <c r="AI63" i="1"/>
  <c r="H61" i="1"/>
  <c r="P61" i="1"/>
  <c r="X61" i="1"/>
  <c r="AF61" i="1"/>
  <c r="I61" i="1"/>
  <c r="Q61" i="1"/>
  <c r="Y61" i="1"/>
  <c r="AG61" i="1"/>
  <c r="J61" i="1"/>
  <c r="R61" i="1"/>
  <c r="Z61" i="1"/>
  <c r="AH61" i="1"/>
  <c r="K61" i="1"/>
  <c r="S61" i="1"/>
  <c r="AA61" i="1"/>
  <c r="AI61" i="1"/>
  <c r="L61" i="1"/>
  <c r="T61" i="1"/>
  <c r="AB61" i="1"/>
  <c r="AJ61" i="1"/>
  <c r="M61" i="1"/>
  <c r="U61" i="1"/>
  <c r="AC61" i="1"/>
  <c r="N61" i="1"/>
  <c r="V61" i="1"/>
  <c r="AD61" i="1"/>
  <c r="G61" i="1"/>
  <c r="F61" i="1"/>
  <c r="O61" i="1"/>
  <c r="W61" i="1"/>
  <c r="AE61" i="1"/>
  <c r="M57" i="1"/>
  <c r="U57" i="1"/>
  <c r="AC57" i="1"/>
  <c r="F57" i="1"/>
  <c r="N57" i="1"/>
  <c r="V57" i="1"/>
  <c r="AD57" i="1"/>
  <c r="G57" i="1"/>
  <c r="O57" i="1"/>
  <c r="W57" i="1"/>
  <c r="AE57" i="1"/>
  <c r="H57" i="1"/>
  <c r="P57" i="1"/>
  <c r="X57" i="1"/>
  <c r="AF57" i="1"/>
  <c r="I57" i="1"/>
  <c r="Q57" i="1"/>
  <c r="Y57" i="1"/>
  <c r="AG57" i="1"/>
  <c r="J57" i="1"/>
  <c r="R57" i="1"/>
  <c r="Z57" i="1"/>
  <c r="AH57" i="1"/>
  <c r="K57" i="1"/>
  <c r="S57" i="1"/>
  <c r="AA57" i="1"/>
  <c r="AI57" i="1"/>
  <c r="AJ57" i="1"/>
  <c r="L57" i="1"/>
  <c r="T57" i="1"/>
  <c r="AB57" i="1"/>
  <c r="L59" i="1"/>
  <c r="T59" i="1"/>
  <c r="AB59" i="1"/>
  <c r="AJ59" i="1"/>
  <c r="M59" i="1"/>
  <c r="U59" i="1"/>
  <c r="AC59" i="1"/>
  <c r="F59" i="1"/>
  <c r="N59" i="1"/>
  <c r="V59" i="1"/>
  <c r="AD59" i="1"/>
  <c r="G59" i="1"/>
  <c r="O59" i="1"/>
  <c r="W59" i="1"/>
  <c r="AE59" i="1"/>
  <c r="H59" i="1"/>
  <c r="P59" i="1"/>
  <c r="X59" i="1"/>
  <c r="AF59" i="1"/>
  <c r="I59" i="1"/>
  <c r="Q59" i="1"/>
  <c r="Y59" i="1"/>
  <c r="AG59" i="1"/>
  <c r="J59" i="1"/>
  <c r="R59" i="1"/>
  <c r="Z59" i="1"/>
  <c r="AH59" i="1"/>
  <c r="K59" i="1"/>
  <c r="S59" i="1"/>
  <c r="AA59" i="1"/>
  <c r="AI59" i="1"/>
  <c r="H73" i="1"/>
  <c r="P73" i="1"/>
  <c r="X73" i="1"/>
  <c r="AF73" i="1"/>
  <c r="I73" i="1"/>
  <c r="Q73" i="1"/>
  <c r="Y73" i="1"/>
  <c r="AG73" i="1"/>
  <c r="F73" i="1"/>
  <c r="J73" i="1"/>
  <c r="R73" i="1"/>
  <c r="Z73" i="1"/>
  <c r="AH73" i="1"/>
  <c r="K73" i="1"/>
  <c r="S73" i="1"/>
  <c r="AA73" i="1"/>
  <c r="AI73" i="1"/>
  <c r="L73" i="1"/>
  <c r="T73" i="1"/>
  <c r="AB73" i="1"/>
  <c r="AJ73" i="1"/>
  <c r="M73" i="1"/>
  <c r="U73" i="1"/>
  <c r="AC73" i="1"/>
  <c r="N73" i="1"/>
  <c r="V73" i="1"/>
  <c r="AD73" i="1"/>
  <c r="W73" i="1"/>
  <c r="AE73" i="1"/>
  <c r="G73" i="1"/>
  <c r="O73" i="1"/>
  <c r="J68" i="1"/>
  <c r="R68" i="1"/>
  <c r="Z68" i="1"/>
  <c r="AH68" i="1"/>
  <c r="K68" i="1"/>
  <c r="S68" i="1"/>
  <c r="AA68" i="1"/>
  <c r="AI68" i="1"/>
  <c r="L68" i="1"/>
  <c r="T68" i="1"/>
  <c r="AB68" i="1"/>
  <c r="AJ68" i="1"/>
  <c r="M68" i="1"/>
  <c r="U68" i="1"/>
  <c r="AC68" i="1"/>
  <c r="N68" i="1"/>
  <c r="V68" i="1"/>
  <c r="AD68" i="1"/>
  <c r="G68" i="1"/>
  <c r="O68" i="1"/>
  <c r="W68" i="1"/>
  <c r="AE68" i="1"/>
  <c r="H68" i="1"/>
  <c r="P68" i="1"/>
  <c r="X68" i="1"/>
  <c r="AF68" i="1"/>
  <c r="F68" i="1"/>
  <c r="I68" i="1"/>
  <c r="Q68" i="1"/>
  <c r="AG68" i="1"/>
  <c r="Y68" i="1"/>
  <c r="H69" i="1"/>
  <c r="P69" i="1"/>
  <c r="X69" i="1"/>
  <c r="AF69" i="1"/>
  <c r="I69" i="1"/>
  <c r="Q69" i="1"/>
  <c r="Y69" i="1"/>
  <c r="AG69" i="1"/>
  <c r="J69" i="1"/>
  <c r="R69" i="1"/>
  <c r="Z69" i="1"/>
  <c r="AH69" i="1"/>
  <c r="K69" i="1"/>
  <c r="S69" i="1"/>
  <c r="AA69" i="1"/>
  <c r="AI69" i="1"/>
  <c r="L69" i="1"/>
  <c r="T69" i="1"/>
  <c r="AB69" i="1"/>
  <c r="AJ69" i="1"/>
  <c r="M69" i="1"/>
  <c r="U69" i="1"/>
  <c r="AC69" i="1"/>
  <c r="F69" i="1"/>
  <c r="N69" i="1"/>
  <c r="V69" i="1"/>
  <c r="AD69" i="1"/>
  <c r="AE69" i="1"/>
  <c r="G69" i="1"/>
  <c r="O69" i="1"/>
  <c r="W69" i="1"/>
  <c r="H65" i="1"/>
  <c r="P65" i="1"/>
  <c r="X65" i="1"/>
  <c r="AF65" i="1"/>
  <c r="I65" i="1"/>
  <c r="Q65" i="1"/>
  <c r="Y65" i="1"/>
  <c r="AG65" i="1"/>
  <c r="J65" i="1"/>
  <c r="R65" i="1"/>
  <c r="Z65" i="1"/>
  <c r="AH65" i="1"/>
  <c r="K65" i="1"/>
  <c r="S65" i="1"/>
  <c r="AA65" i="1"/>
  <c r="AI65" i="1"/>
  <c r="F65" i="1"/>
  <c r="L65" i="1"/>
  <c r="T65" i="1"/>
  <c r="AB65" i="1"/>
  <c r="AJ65" i="1"/>
  <c r="M65" i="1"/>
  <c r="U65" i="1"/>
  <c r="AC65" i="1"/>
  <c r="N65" i="1"/>
  <c r="V65" i="1"/>
  <c r="AD65" i="1"/>
  <c r="G65" i="1"/>
  <c r="O65" i="1"/>
  <c r="W65" i="1"/>
  <c r="AE65" i="1"/>
  <c r="J60" i="1"/>
  <c r="R60" i="1"/>
  <c r="Z60" i="1"/>
  <c r="AH60" i="1"/>
  <c r="K60" i="1"/>
  <c r="S60" i="1"/>
  <c r="AA60" i="1"/>
  <c r="AI60" i="1"/>
  <c r="L60" i="1"/>
  <c r="T60" i="1"/>
  <c r="AB60" i="1"/>
  <c r="AJ60" i="1"/>
  <c r="M60" i="1"/>
  <c r="U60" i="1"/>
  <c r="AC60" i="1"/>
  <c r="N60" i="1"/>
  <c r="V60" i="1"/>
  <c r="AD60" i="1"/>
  <c r="G60" i="1"/>
  <c r="O60" i="1"/>
  <c r="W60" i="1"/>
  <c r="AE60" i="1"/>
  <c r="H60" i="1"/>
  <c r="P60" i="1"/>
  <c r="X60" i="1"/>
  <c r="AF60" i="1"/>
  <c r="Q60" i="1"/>
  <c r="Y60" i="1"/>
  <c r="AG60" i="1"/>
  <c r="F60" i="1"/>
  <c r="I60" i="1"/>
  <c r="N66" i="1"/>
  <c r="V66" i="1"/>
  <c r="AD66" i="1"/>
  <c r="G66" i="1"/>
  <c r="O66" i="1"/>
  <c r="W66" i="1"/>
  <c r="AE66" i="1"/>
  <c r="H66" i="1"/>
  <c r="P66" i="1"/>
  <c r="X66" i="1"/>
  <c r="AF66" i="1"/>
  <c r="I66" i="1"/>
  <c r="Q66" i="1"/>
  <c r="Y66" i="1"/>
  <c r="AG66" i="1"/>
  <c r="J66" i="1"/>
  <c r="R66" i="1"/>
  <c r="Z66" i="1"/>
  <c r="AH66" i="1"/>
  <c r="F66" i="1"/>
  <c r="K66" i="1"/>
  <c r="S66" i="1"/>
  <c r="AA66" i="1"/>
  <c r="AI66" i="1"/>
  <c r="L66" i="1"/>
  <c r="T66" i="1"/>
  <c r="AB66" i="1"/>
  <c r="AJ66" i="1"/>
  <c r="M66" i="1"/>
  <c r="U66" i="1"/>
  <c r="AC66" i="1"/>
  <c r="L67" i="1"/>
  <c r="T67" i="1"/>
  <c r="AB67" i="1"/>
  <c r="AJ67" i="1"/>
  <c r="M67" i="1"/>
  <c r="U67" i="1"/>
  <c r="AC67" i="1"/>
  <c r="N67" i="1"/>
  <c r="V67" i="1"/>
  <c r="AD67" i="1"/>
  <c r="G67" i="1"/>
  <c r="O67" i="1"/>
  <c r="W67" i="1"/>
  <c r="AE67" i="1"/>
  <c r="H67" i="1"/>
  <c r="P67" i="1"/>
  <c r="X67" i="1"/>
  <c r="AF67" i="1"/>
  <c r="I67" i="1"/>
  <c r="Q67" i="1"/>
  <c r="Y67" i="1"/>
  <c r="AG67" i="1"/>
  <c r="F67" i="1"/>
  <c r="J67" i="1"/>
  <c r="R67" i="1"/>
  <c r="Z67" i="1"/>
  <c r="AH67" i="1"/>
  <c r="AI67" i="1"/>
  <c r="K67" i="1"/>
  <c r="S67" i="1"/>
  <c r="AA67" i="1"/>
  <c r="N62" i="1"/>
  <c r="V62" i="1"/>
  <c r="AD62" i="1"/>
  <c r="F62" i="1"/>
  <c r="G62" i="1"/>
  <c r="O62" i="1"/>
  <c r="W62" i="1"/>
  <c r="AE62" i="1"/>
  <c r="H62" i="1"/>
  <c r="P62" i="1"/>
  <c r="X62" i="1"/>
  <c r="AF62" i="1"/>
  <c r="I62" i="1"/>
  <c r="Q62" i="1"/>
  <c r="Y62" i="1"/>
  <c r="AG62" i="1"/>
  <c r="J62" i="1"/>
  <c r="R62" i="1"/>
  <c r="Z62" i="1"/>
  <c r="AH62" i="1"/>
  <c r="K62" i="1"/>
  <c r="S62" i="1"/>
  <c r="AA62" i="1"/>
  <c r="AI62" i="1"/>
  <c r="L62" i="1"/>
  <c r="T62" i="1"/>
  <c r="AB62" i="1"/>
  <c r="AJ62" i="1"/>
  <c r="U62" i="1"/>
  <c r="AC62" i="1"/>
  <c r="M62" i="1"/>
  <c r="R19" i="1"/>
  <c r="G41" i="1" s="1"/>
  <c r="P19" i="1"/>
  <c r="E41" i="1" s="1"/>
  <c r="O21" i="1"/>
  <c r="O20" i="1"/>
  <c r="P20" i="1"/>
  <c r="R22" i="1"/>
  <c r="P23" i="1"/>
  <c r="P24" i="1"/>
  <c r="R25" i="1"/>
  <c r="O24" i="1"/>
  <c r="P22" i="1"/>
  <c r="R24" i="1"/>
  <c r="P21" i="1"/>
  <c r="O22" i="1"/>
  <c r="O25" i="1"/>
  <c r="P25" i="1"/>
  <c r="O23" i="1"/>
  <c r="R23" i="1"/>
  <c r="R21" i="1"/>
  <c r="R20" i="1"/>
  <c r="S20" i="1" s="1"/>
  <c r="O19" i="1"/>
  <c r="AE140" i="1" l="1"/>
  <c r="I244" i="1"/>
  <c r="J237" i="1"/>
  <c r="N233" i="1"/>
  <c r="M235" i="1"/>
  <c r="J245" i="1"/>
  <c r="I238" i="1"/>
  <c r="I239" i="1"/>
  <c r="J243" i="1"/>
  <c r="I240" i="1"/>
  <c r="T86" i="1"/>
  <c r="U85" i="1"/>
  <c r="D41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AC111" i="1"/>
  <c r="U111" i="1"/>
  <c r="M111" i="1"/>
  <c r="AJ111" i="1"/>
  <c r="AB111" i="1"/>
  <c r="T111" i="1"/>
  <c r="L111" i="1"/>
  <c r="AI111" i="1"/>
  <c r="AA111" i="1"/>
  <c r="S111" i="1"/>
  <c r="K111" i="1"/>
  <c r="AH111" i="1"/>
  <c r="Z111" i="1"/>
  <c r="R111" i="1"/>
  <c r="J111" i="1"/>
  <c r="AG111" i="1"/>
  <c r="Y111" i="1"/>
  <c r="Q111" i="1"/>
  <c r="I111" i="1"/>
  <c r="AF111" i="1"/>
  <c r="X111" i="1"/>
  <c r="P111" i="1"/>
  <c r="H111" i="1"/>
  <c r="AE111" i="1"/>
  <c r="W111" i="1"/>
  <c r="O111" i="1"/>
  <c r="G111" i="1"/>
  <c r="AD111" i="1"/>
  <c r="V111" i="1"/>
  <c r="F111" i="1"/>
  <c r="N111" i="1"/>
  <c r="M236" i="1"/>
  <c r="M246" i="1"/>
  <c r="I246" i="1"/>
  <c r="N242" i="1"/>
  <c r="U23" i="1"/>
  <c r="U21" i="1"/>
  <c r="U22" i="1"/>
  <c r="J233" i="1"/>
  <c r="U24" i="1"/>
  <c r="U20" i="1"/>
  <c r="U25" i="1"/>
  <c r="U19" i="1"/>
  <c r="I231" i="1"/>
  <c r="M231" i="1"/>
  <c r="V129" i="1"/>
  <c r="AE138" i="1"/>
  <c r="AE121" i="1"/>
  <c r="AE126" i="1"/>
  <c r="V124" i="1"/>
  <c r="V132" i="1"/>
  <c r="AE134" i="1"/>
  <c r="AE129" i="1"/>
  <c r="V123" i="1"/>
  <c r="V135" i="1"/>
  <c r="AE137" i="1"/>
  <c r="AE130" i="1"/>
  <c r="AE123" i="1"/>
  <c r="V127" i="1"/>
  <c r="V133" i="1"/>
  <c r="V134" i="1"/>
  <c r="V136" i="1"/>
  <c r="AE122" i="1"/>
  <c r="AE128" i="1"/>
  <c r="AE139" i="1"/>
  <c r="V139" i="1"/>
  <c r="AE132" i="1"/>
  <c r="AE135" i="1"/>
  <c r="V138" i="1"/>
  <c r="AE124" i="1"/>
  <c r="V121" i="1"/>
  <c r="V128" i="1"/>
  <c r="AE136" i="1"/>
  <c r="V122" i="1"/>
  <c r="V140" i="1"/>
  <c r="V137" i="1"/>
  <c r="AE131" i="1"/>
  <c r="AE125" i="1"/>
  <c r="AE127" i="1"/>
  <c r="V130" i="1"/>
  <c r="V126" i="1"/>
  <c r="P209" i="1"/>
  <c r="P223" i="1"/>
  <c r="J248" i="1"/>
  <c r="N249" i="1"/>
  <c r="N247" i="1"/>
  <c r="N246" i="1"/>
  <c r="F51" i="1"/>
  <c r="E51" i="1"/>
  <c r="L215" i="1"/>
  <c r="S21" i="1"/>
  <c r="H214" i="1"/>
  <c r="P219" i="1"/>
  <c r="T172" i="1"/>
  <c r="X218" i="1"/>
  <c r="X219" i="1"/>
  <c r="H212" i="1"/>
  <c r="T218" i="1"/>
  <c r="H220" i="1"/>
  <c r="H206" i="1"/>
  <c r="H223" i="1"/>
  <c r="H207" i="1"/>
  <c r="X209" i="1"/>
  <c r="L212" i="1"/>
  <c r="H222" i="1"/>
  <c r="L209" i="1"/>
  <c r="T217" i="1"/>
  <c r="T221" i="1"/>
  <c r="P218" i="1"/>
  <c r="L218" i="1"/>
  <c r="T210" i="1"/>
  <c r="T209" i="1"/>
  <c r="X211" i="1"/>
  <c r="X210" i="1"/>
  <c r="X215" i="1"/>
  <c r="T207" i="1"/>
  <c r="T215" i="1"/>
  <c r="T223" i="1"/>
  <c r="P211" i="1"/>
  <c r="P215" i="1"/>
  <c r="P212" i="1"/>
  <c r="L207" i="1"/>
  <c r="L223" i="1"/>
  <c r="H215" i="1"/>
  <c r="H221" i="1"/>
  <c r="H213" i="1"/>
  <c r="X207" i="1"/>
  <c r="L220" i="1"/>
  <c r="P216" i="1"/>
  <c r="X220" i="1"/>
  <c r="T220" i="1"/>
  <c r="H211" i="1"/>
  <c r="P222" i="1"/>
  <c r="L222" i="1"/>
  <c r="H208" i="1"/>
  <c r="P206" i="1"/>
  <c r="L206" i="1"/>
  <c r="X214" i="1"/>
  <c r="T214" i="1"/>
  <c r="P224" i="1"/>
  <c r="L216" i="1"/>
  <c r="X216" i="1"/>
  <c r="L211" i="1"/>
  <c r="P205" i="1"/>
  <c r="X222" i="1"/>
  <c r="T222" i="1"/>
  <c r="P208" i="1"/>
  <c r="H210" i="1"/>
  <c r="L213" i="1"/>
  <c r="P213" i="1"/>
  <c r="X206" i="1"/>
  <c r="T206" i="1"/>
  <c r="L224" i="1"/>
  <c r="X224" i="1"/>
  <c r="H219" i="1"/>
  <c r="T216" i="1"/>
  <c r="T211" i="1"/>
  <c r="L221" i="1"/>
  <c r="P221" i="1"/>
  <c r="L205" i="1"/>
  <c r="X205" i="1"/>
  <c r="L208" i="1"/>
  <c r="X208" i="1"/>
  <c r="H218" i="1"/>
  <c r="P210" i="1"/>
  <c r="T213" i="1"/>
  <c r="X213" i="1"/>
  <c r="T224" i="1"/>
  <c r="L219" i="1"/>
  <c r="H209" i="1"/>
  <c r="X221" i="1"/>
  <c r="T205" i="1"/>
  <c r="T208" i="1"/>
  <c r="L210" i="1"/>
  <c r="P207" i="1"/>
  <c r="T219" i="1"/>
  <c r="H217" i="1"/>
  <c r="L217" i="1"/>
  <c r="X223" i="1"/>
  <c r="P217" i="1"/>
  <c r="H216" i="1"/>
  <c r="P220" i="1"/>
  <c r="X217" i="1"/>
  <c r="X212" i="1"/>
  <c r="T212" i="1"/>
  <c r="P214" i="1"/>
  <c r="L214" i="1"/>
  <c r="H224" i="1"/>
  <c r="T164" i="1"/>
  <c r="L167" i="1"/>
  <c r="T167" i="1"/>
  <c r="T179" i="1"/>
  <c r="AB181" i="1"/>
  <c r="AB169" i="1"/>
  <c r="AB182" i="1"/>
  <c r="T176" i="1"/>
  <c r="L178" i="1"/>
  <c r="T169" i="1"/>
  <c r="AB175" i="1"/>
  <c r="T168" i="1"/>
  <c r="AB171" i="1"/>
  <c r="L164" i="1"/>
  <c r="T166" i="1"/>
  <c r="AB168" i="1"/>
  <c r="L181" i="1"/>
  <c r="AB174" i="1"/>
  <c r="AB179" i="1"/>
  <c r="L176" i="1"/>
  <c r="AB176" i="1"/>
  <c r="L182" i="1"/>
  <c r="AB167" i="1"/>
  <c r="L173" i="1"/>
  <c r="T178" i="1"/>
  <c r="Y177" i="1"/>
  <c r="Q177" i="1"/>
  <c r="W177" i="1"/>
  <c r="V177" i="1"/>
  <c r="E177" i="1"/>
  <c r="S177" i="1"/>
  <c r="H177" i="1"/>
  <c r="R177" i="1"/>
  <c r="M177" i="1"/>
  <c r="K177" i="1"/>
  <c r="J177" i="1"/>
  <c r="G177" i="1"/>
  <c r="AA177" i="1"/>
  <c r="Z177" i="1"/>
  <c r="U177" i="1"/>
  <c r="P177" i="1"/>
  <c r="O177" i="1"/>
  <c r="I177" i="1"/>
  <c r="X177" i="1"/>
  <c r="N177" i="1"/>
  <c r="F177" i="1"/>
  <c r="T174" i="1"/>
  <c r="L179" i="1"/>
  <c r="T180" i="1"/>
  <c r="AB164" i="1"/>
  <c r="AB172" i="1"/>
  <c r="L168" i="1"/>
  <c r="L171" i="1"/>
  <c r="AB178" i="1"/>
  <c r="L165" i="1"/>
  <c r="AB170" i="1"/>
  <c r="T173" i="1"/>
  <c r="L166" i="1"/>
  <c r="T181" i="1"/>
  <c r="L174" i="1"/>
  <c r="T182" i="1"/>
  <c r="L172" i="1"/>
  <c r="T171" i="1"/>
  <c r="AB165" i="1"/>
  <c r="L169" i="1"/>
  <c r="T175" i="1"/>
  <c r="L170" i="1"/>
  <c r="T165" i="1"/>
  <c r="L180" i="1"/>
  <c r="AB180" i="1"/>
  <c r="L175" i="1"/>
  <c r="W163" i="1"/>
  <c r="U163" i="1"/>
  <c r="S163" i="1"/>
  <c r="M163" i="1"/>
  <c r="Y163" i="1"/>
  <c r="Q163" i="1"/>
  <c r="I163" i="1"/>
  <c r="Z163" i="1"/>
  <c r="R163" i="1"/>
  <c r="J163" i="1"/>
  <c r="AA163" i="1"/>
  <c r="K163" i="1"/>
  <c r="N163" i="1"/>
  <c r="O163" i="1"/>
  <c r="F163" i="1"/>
  <c r="V163" i="1"/>
  <c r="P163" i="1"/>
  <c r="G163" i="1"/>
  <c r="E163" i="1"/>
  <c r="X163" i="1"/>
  <c r="H163" i="1"/>
  <c r="T170" i="1"/>
  <c r="AB173" i="1"/>
  <c r="AB166" i="1"/>
  <c r="M121" i="1"/>
  <c r="M135" i="1"/>
  <c r="Q21" i="1"/>
  <c r="Q20" i="1"/>
  <c r="P29" i="1"/>
  <c r="R29" i="1"/>
  <c r="T29" i="1"/>
  <c r="P30" i="1"/>
  <c r="T30" i="1"/>
  <c r="R30" i="1"/>
  <c r="S19" i="1"/>
  <c r="B16" i="11" s="1"/>
  <c r="Q24" i="1"/>
  <c r="S24" i="1"/>
  <c r="S25" i="1"/>
  <c r="Q25" i="1"/>
  <c r="Q23" i="1"/>
  <c r="S22" i="1"/>
  <c r="Q22" i="1"/>
  <c r="Q19" i="1"/>
  <c r="G16" i="11" s="1"/>
  <c r="S23" i="1"/>
  <c r="U86" i="1" l="1"/>
  <c r="V85" i="1"/>
  <c r="L16" i="11"/>
  <c r="L18" i="11" s="1"/>
  <c r="T163" i="1"/>
  <c r="AB177" i="1"/>
  <c r="L177" i="1"/>
  <c r="L163" i="1"/>
  <c r="T177" i="1"/>
  <c r="AB163" i="1"/>
  <c r="V86" i="1" l="1"/>
  <c r="W85" i="1"/>
  <c r="L22" i="11"/>
  <c r="M22" i="11"/>
  <c r="E154" i="1"/>
  <c r="W86" i="1" l="1"/>
  <c r="X85" i="1"/>
  <c r="S37" i="7"/>
  <c r="S38" i="7" s="1"/>
  <c r="X86" i="1" l="1"/>
  <c r="Y85" i="1"/>
  <c r="W154" i="1"/>
  <c r="U195" i="1"/>
  <c r="N154" i="1"/>
  <c r="M195" i="1"/>
  <c r="Y86" i="1" l="1"/>
  <c r="Z85" i="1"/>
  <c r="T37" i="7"/>
  <c r="C89" i="7"/>
  <c r="S188" i="1"/>
  <c r="T153" i="1"/>
  <c r="N195" i="1"/>
  <c r="R195" i="1"/>
  <c r="F195" i="1"/>
  <c r="J195" i="1"/>
  <c r="K188" i="1"/>
  <c r="R83" i="7"/>
  <c r="G50" i="1"/>
  <c r="G51" i="1" s="1"/>
  <c r="T192" i="1" l="1"/>
  <c r="T191" i="1"/>
  <c r="T189" i="1"/>
  <c r="T190" i="1"/>
  <c r="T193" i="1"/>
  <c r="T194" i="1"/>
  <c r="T188" i="1"/>
  <c r="L190" i="1"/>
  <c r="L188" i="1"/>
  <c r="L191" i="1"/>
  <c r="L189" i="1"/>
  <c r="L192" i="1"/>
  <c r="L193" i="1"/>
  <c r="L194" i="1"/>
  <c r="Z86" i="1"/>
  <c r="AA85" i="1"/>
  <c r="T38" i="7"/>
  <c r="U37" i="7"/>
  <c r="R85" i="7"/>
  <c r="I83" i="7"/>
  <c r="M89" i="7"/>
  <c r="T89" i="7"/>
  <c r="U89" i="7" s="1"/>
  <c r="T152" i="1"/>
  <c r="K151" i="1"/>
  <c r="K89" i="7"/>
  <c r="L89" i="7" s="1"/>
  <c r="T75" i="7"/>
  <c r="K75" i="7"/>
  <c r="I84" i="7"/>
  <c r="I85" i="7"/>
  <c r="J154" i="1"/>
  <c r="P195" i="1"/>
  <c r="O195" i="1"/>
  <c r="T151" i="1"/>
  <c r="K152" i="1"/>
  <c r="D75" i="7"/>
  <c r="AQ6" i="7" s="1"/>
  <c r="Q75" i="7"/>
  <c r="M75" i="7"/>
  <c r="F75" i="7"/>
  <c r="R74" i="7"/>
  <c r="O75" i="7"/>
  <c r="E75" i="7"/>
  <c r="H75" i="7"/>
  <c r="N75" i="7"/>
  <c r="Q154" i="1"/>
  <c r="P154" i="1"/>
  <c r="S154" i="1"/>
  <c r="G154" i="1"/>
  <c r="O154" i="1"/>
  <c r="F154" i="1"/>
  <c r="H154" i="1"/>
  <c r="K150" i="1"/>
  <c r="R72" i="7"/>
  <c r="R73" i="7"/>
  <c r="K153" i="1"/>
  <c r="H195" i="1"/>
  <c r="I88" i="7"/>
  <c r="R69" i="7"/>
  <c r="I67" i="7"/>
  <c r="R68" i="7"/>
  <c r="R87" i="7"/>
  <c r="R67" i="7"/>
  <c r="G195" i="1"/>
  <c r="R71" i="7"/>
  <c r="R70" i="7"/>
  <c r="O89" i="7"/>
  <c r="R82" i="7"/>
  <c r="Q89" i="7"/>
  <c r="R88" i="7"/>
  <c r="R84" i="7"/>
  <c r="R86" i="7"/>
  <c r="D89" i="7"/>
  <c r="E89" i="7"/>
  <c r="I86" i="7"/>
  <c r="F89" i="7"/>
  <c r="I87" i="7"/>
  <c r="H89" i="7"/>
  <c r="I82" i="7"/>
  <c r="N89" i="7"/>
  <c r="H50" i="1"/>
  <c r="H51" i="1" s="1"/>
  <c r="AA86" i="1" l="1"/>
  <c r="AB85" i="1"/>
  <c r="L149" i="1"/>
  <c r="U148" i="1"/>
  <c r="L153" i="1"/>
  <c r="L151" i="1"/>
  <c r="U147" i="1"/>
  <c r="L148" i="1"/>
  <c r="U150" i="1"/>
  <c r="U153" i="1"/>
  <c r="L146" i="1"/>
  <c r="U151" i="1"/>
  <c r="U152" i="1"/>
  <c r="U149" i="1"/>
  <c r="L150" i="1"/>
  <c r="L147" i="1"/>
  <c r="U146" i="1"/>
  <c r="L152" i="1"/>
  <c r="V37" i="7"/>
  <c r="U38" i="7"/>
  <c r="AR4" i="7"/>
  <c r="AR6" i="7"/>
  <c r="J67" i="7"/>
  <c r="S73" i="7"/>
  <c r="J73" i="7"/>
  <c r="J74" i="7"/>
  <c r="S70" i="7"/>
  <c r="S71" i="7"/>
  <c r="J72" i="7"/>
  <c r="S69" i="7"/>
  <c r="J71" i="7"/>
  <c r="J70" i="7"/>
  <c r="J68" i="7"/>
  <c r="S68" i="7"/>
  <c r="S67" i="7"/>
  <c r="S72" i="7"/>
  <c r="J69" i="7"/>
  <c r="S74" i="7"/>
  <c r="J85" i="7"/>
  <c r="S86" i="7"/>
  <c r="S87" i="7"/>
  <c r="J86" i="7"/>
  <c r="J87" i="7"/>
  <c r="S88" i="7"/>
  <c r="J84" i="7"/>
  <c r="S83" i="7"/>
  <c r="S82" i="7"/>
  <c r="S84" i="7"/>
  <c r="J83" i="7"/>
  <c r="J82" i="7"/>
  <c r="J88" i="7"/>
  <c r="S85" i="7"/>
  <c r="AV10" i="7"/>
  <c r="AU10" i="7"/>
  <c r="AT10" i="7"/>
  <c r="I50" i="1"/>
  <c r="I51" i="1" s="1"/>
  <c r="AR5" i="7" l="1"/>
  <c r="G43" i="11" s="1"/>
  <c r="G45" i="11" s="1"/>
  <c r="AB86" i="1"/>
  <c r="AC85" i="1"/>
  <c r="W37" i="7"/>
  <c r="V38" i="7"/>
  <c r="J50" i="1"/>
  <c r="J51" i="1" s="1"/>
  <c r="H49" i="11" l="1"/>
  <c r="G49" i="11"/>
  <c r="AC86" i="1"/>
  <c r="AD85" i="1"/>
  <c r="X37" i="7"/>
  <c r="W38" i="7"/>
  <c r="D14" i="7"/>
  <c r="K50" i="1"/>
  <c r="K51" i="1" s="1"/>
  <c r="AD86" i="1" l="1"/>
  <c r="AE85" i="1"/>
  <c r="Y37" i="7"/>
  <c r="X38" i="7"/>
  <c r="F14" i="7"/>
  <c r="C14" i="7" s="1"/>
  <c r="N230" i="1"/>
  <c r="J230" i="1"/>
  <c r="J231" i="1"/>
  <c r="N231" i="1"/>
  <c r="G18" i="11"/>
  <c r="AI77" i="1"/>
  <c r="Q77" i="1"/>
  <c r="W77" i="1"/>
  <c r="U77" i="1"/>
  <c r="L77" i="1"/>
  <c r="H77" i="1"/>
  <c r="O77" i="1"/>
  <c r="AB77" i="1"/>
  <c r="K77" i="1"/>
  <c r="AH77" i="1"/>
  <c r="S77" i="1"/>
  <c r="F77" i="1"/>
  <c r="AJ77" i="1"/>
  <c r="R77" i="1"/>
  <c r="AF77" i="1"/>
  <c r="AD77" i="1"/>
  <c r="J77" i="1"/>
  <c r="I77" i="1"/>
  <c r="X77" i="1"/>
  <c r="V77" i="1"/>
  <c r="M77" i="1"/>
  <c r="P77" i="1"/>
  <c r="N77" i="1"/>
  <c r="G77" i="1"/>
  <c r="Z77" i="1"/>
  <c r="AG77" i="1"/>
  <c r="AA77" i="1"/>
  <c r="T77" i="1"/>
  <c r="Y77" i="1"/>
  <c r="AE77" i="1"/>
  <c r="AC77" i="1"/>
  <c r="H205" i="1"/>
  <c r="L50" i="1"/>
  <c r="L51" i="1" s="1"/>
  <c r="AE86" i="1" l="1"/>
  <c r="AF85" i="1"/>
  <c r="Z37" i="7"/>
  <c r="Y38" i="7"/>
  <c r="B18" i="11"/>
  <c r="H22" i="11"/>
  <c r="G22" i="11"/>
  <c r="M50" i="1"/>
  <c r="M51" i="1" s="1"/>
  <c r="AF86" i="1" l="1"/>
  <c r="AG85" i="1"/>
  <c r="Z38" i="7"/>
  <c r="AA37" i="7"/>
  <c r="B22" i="11"/>
  <c r="C22" i="11"/>
  <c r="N50" i="1"/>
  <c r="N51" i="1" s="1"/>
  <c r="AG86" i="1" l="1"/>
  <c r="AH85" i="1"/>
  <c r="AB37" i="7"/>
  <c r="AA38" i="7"/>
  <c r="O50" i="1"/>
  <c r="O51" i="1" s="1"/>
  <c r="AH86" i="1" l="1"/>
  <c r="AI85" i="1"/>
  <c r="AI86" i="1" s="1"/>
  <c r="AC37" i="7"/>
  <c r="AB38" i="7"/>
  <c r="P50" i="1"/>
  <c r="P51" i="1" s="1"/>
  <c r="AD37" i="7" l="1"/>
  <c r="AC38" i="7"/>
  <c r="Q50" i="1"/>
  <c r="Q51" i="1" s="1"/>
  <c r="AE37" i="7" l="1"/>
  <c r="AD38" i="7"/>
  <c r="R50" i="1"/>
  <c r="R51" i="1" s="1"/>
  <c r="AF37" i="7" l="1"/>
  <c r="AE38" i="7"/>
  <c r="S50" i="1"/>
  <c r="S51" i="1" s="1"/>
  <c r="AG37" i="7" l="1"/>
  <c r="AF38" i="7"/>
  <c r="T50" i="1"/>
  <c r="T51" i="1" s="1"/>
  <c r="AH37" i="7" l="1"/>
  <c r="AG38" i="7"/>
  <c r="U50" i="1"/>
  <c r="U51" i="1" s="1"/>
  <c r="AI37" i="7" l="1"/>
  <c r="AH38" i="7"/>
  <c r="V50" i="1"/>
  <c r="V51" i="1" s="1"/>
  <c r="AJ37" i="7" l="1"/>
  <c r="AI38" i="7"/>
  <c r="W50" i="1"/>
  <c r="W51" i="1" s="1"/>
  <c r="AK37" i="7" l="1"/>
  <c r="AJ38" i="7"/>
  <c r="X50" i="1"/>
  <c r="X51" i="1" s="1"/>
  <c r="AL37" i="7" l="1"/>
  <c r="AK38" i="7"/>
  <c r="Y50" i="1"/>
  <c r="Y51" i="1" s="1"/>
  <c r="AM37" i="7" l="1"/>
  <c r="AL38" i="7"/>
  <c r="Z50" i="1"/>
  <c r="Z51" i="1" s="1"/>
  <c r="AN37" i="7" l="1"/>
  <c r="AM38" i="7"/>
  <c r="AA50" i="1"/>
  <c r="AA51" i="1" s="1"/>
  <c r="AO37" i="7" l="1"/>
  <c r="AN38" i="7"/>
  <c r="AB50" i="1"/>
  <c r="AB51" i="1" s="1"/>
  <c r="AP37" i="7" l="1"/>
  <c r="AO38" i="7"/>
  <c r="AC50" i="1"/>
  <c r="AC51" i="1" s="1"/>
  <c r="AQ37" i="7" l="1"/>
  <c r="AP38" i="7"/>
  <c r="AD50" i="1"/>
  <c r="AD51" i="1" s="1"/>
  <c r="AR37" i="7" l="1"/>
  <c r="AQ38" i="7"/>
  <c r="AE50" i="1"/>
  <c r="AE51" i="1" s="1"/>
  <c r="AR38" i="7" l="1"/>
  <c r="AS37" i="7"/>
  <c r="AF50" i="1"/>
  <c r="AF51" i="1" s="1"/>
  <c r="AS38" i="7" l="1"/>
  <c r="AT37" i="7"/>
  <c r="AG50" i="1"/>
  <c r="AG51" i="1" s="1"/>
  <c r="AU37" i="7" l="1"/>
  <c r="AT38" i="7"/>
  <c r="AH50" i="1"/>
  <c r="AH51" i="1" s="1"/>
  <c r="AV37" i="7" l="1"/>
  <c r="AU38" i="7"/>
  <c r="AI50" i="1"/>
  <c r="AI51" i="1" s="1"/>
  <c r="AW37" i="7" l="1"/>
  <c r="AW38" i="7" s="1"/>
  <c r="AV38" i="7"/>
  <c r="E195" i="1"/>
  <c r="C75" i="7" l="1"/>
  <c r="L75" i="7" l="1"/>
  <c r="U75" i="7"/>
</calcChain>
</file>

<file path=xl/sharedStrings.xml><?xml version="1.0" encoding="utf-8"?>
<sst xmlns="http://schemas.openxmlformats.org/spreadsheetml/2006/main" count="630" uniqueCount="263">
  <si>
    <t>Vendedor</t>
  </si>
  <si>
    <t>Zona</t>
  </si>
  <si>
    <t>1. RESULTADO DE LA CUOTA</t>
  </si>
  <si>
    <t>Total</t>
  </si>
  <si>
    <t>Monto</t>
  </si>
  <si>
    <t>Facturado</t>
  </si>
  <si>
    <t>Pedido</t>
  </si>
  <si>
    <t>Real</t>
  </si>
  <si>
    <t>% Avance</t>
  </si>
  <si>
    <t>nombrecompleto</t>
  </si>
  <si>
    <t>tipo</t>
  </si>
  <si>
    <t>c_vendedor</t>
  </si>
  <si>
    <t>c_linea</t>
  </si>
  <si>
    <t>c_familia</t>
  </si>
  <si>
    <t>c_subfamilia</t>
  </si>
  <si>
    <t>MAYORISTA</t>
  </si>
  <si>
    <t>persona</t>
  </si>
  <si>
    <t>nombre</t>
  </si>
  <si>
    <t>direccion</t>
  </si>
  <si>
    <t>descripdepart</t>
  </si>
  <si>
    <t>descriprovincia</t>
  </si>
  <si>
    <t>descripdistrito</t>
  </si>
  <si>
    <t>ReferenciasDireccion</t>
  </si>
  <si>
    <t>Ruc</t>
  </si>
  <si>
    <t>telefono</t>
  </si>
  <si>
    <t>TelefonoEmergencia</t>
  </si>
  <si>
    <t>cobrador</t>
  </si>
  <si>
    <t>area</t>
  </si>
  <si>
    <t>estado</t>
  </si>
  <si>
    <t>UnidadNegocio</t>
  </si>
  <si>
    <t>TipoNegocio</t>
  </si>
  <si>
    <t>Descripcion</t>
  </si>
  <si>
    <t>contacto</t>
  </si>
  <si>
    <t>cargo</t>
  </si>
  <si>
    <t>CompaniaSecundaria</t>
  </si>
  <si>
    <t>estadocliente</t>
  </si>
  <si>
    <t>descripcionestado</t>
  </si>
  <si>
    <t>compania</t>
  </si>
  <si>
    <t>catcobranza</t>
  </si>
  <si>
    <t>catventas</t>
  </si>
  <si>
    <t>descatcob</t>
  </si>
  <si>
    <t>descatventas</t>
  </si>
  <si>
    <t>estadoruteo</t>
  </si>
  <si>
    <t>estadocob</t>
  </si>
  <si>
    <t>zonadespacho</t>
  </si>
  <si>
    <t>desczonadespacho</t>
  </si>
  <si>
    <t>gestioncob</t>
  </si>
  <si>
    <t>c_codigoequipo</t>
  </si>
  <si>
    <t>c_descequipo</t>
  </si>
  <si>
    <t>c_desccortaequipo</t>
  </si>
  <si>
    <t>c_tipocategoria</t>
  </si>
  <si>
    <t>c_segmento</t>
  </si>
  <si>
    <t>c_dessegmento</t>
  </si>
  <si>
    <t>c_area</t>
  </si>
  <si>
    <t>c_zona</t>
  </si>
  <si>
    <t>c_localidad</t>
  </si>
  <si>
    <t>c_DesArea</t>
  </si>
  <si>
    <t>c_DesZona</t>
  </si>
  <si>
    <t>c_DesLocalidad</t>
  </si>
  <si>
    <t>c_situacioncli</t>
  </si>
  <si>
    <t>c_dessituacioncli</t>
  </si>
  <si>
    <t>ventasflag_rep</t>
  </si>
  <si>
    <t>despachoflag_rep</t>
  </si>
  <si>
    <t>cobranzaflag_rep</t>
  </si>
  <si>
    <t>documento_rep</t>
  </si>
  <si>
    <t>direccion_rep</t>
  </si>
  <si>
    <t>telefono_rep</t>
  </si>
  <si>
    <t>celular_rep</t>
  </si>
  <si>
    <t>anexo_rep</t>
  </si>
  <si>
    <t>SERVICIO</t>
  </si>
  <si>
    <t>PERMANENTE</t>
  </si>
  <si>
    <t>RIESGO 6</t>
  </si>
  <si>
    <t>DETALLISTA</t>
  </si>
  <si>
    <t>GENERAL</t>
  </si>
  <si>
    <t>RIESGO 3</t>
  </si>
  <si>
    <t>TRANSPORTE</t>
  </si>
  <si>
    <t>EESS</t>
  </si>
  <si>
    <t>RIESGO 9</t>
  </si>
  <si>
    <t>PERDIDO</t>
  </si>
  <si>
    <t>CREDITOS Y COBRANZAS</t>
  </si>
  <si>
    <t>BASE (COBERTURA)</t>
  </si>
  <si>
    <t>X</t>
  </si>
  <si>
    <t>CANAL</t>
  </si>
  <si>
    <t>Ranking</t>
  </si>
  <si>
    <t>Grafico de avance</t>
  </si>
  <si>
    <t>CUOTA</t>
  </si>
  <si>
    <t>Acumulado</t>
  </si>
  <si>
    <t>1.1. AVANCE MENSUAL</t>
  </si>
  <si>
    <t>Diario</t>
  </si>
  <si>
    <t>1.2. AVANCE DIARIO - PEDIDOS</t>
  </si>
  <si>
    <t>2. CARTERA DE CLIENTE</t>
  </si>
  <si>
    <t>2.1. SEGMENTOS</t>
  </si>
  <si>
    <t>UNID</t>
  </si>
  <si>
    <t>FACTURADO</t>
  </si>
  <si>
    <t>PEDIDO</t>
  </si>
  <si>
    <t>%</t>
  </si>
  <si>
    <t>PPU</t>
  </si>
  <si>
    <t>Contado</t>
  </si>
  <si>
    <t>Letra</t>
  </si>
  <si>
    <t>Forma de pago</t>
  </si>
  <si>
    <t>Monto total</t>
  </si>
  <si>
    <t>Skùs</t>
  </si>
  <si>
    <t>ZONA</t>
  </si>
  <si>
    <t>2.2. COBERTURA</t>
  </si>
  <si>
    <t>Grafico</t>
  </si>
  <si>
    <t>c_compania</t>
  </si>
  <si>
    <t>c_periodo</t>
  </si>
  <si>
    <t>c_ciasecundaria</t>
  </si>
  <si>
    <t>c_DesVendedor</t>
  </si>
  <si>
    <t>c_flagprovincia</t>
  </si>
  <si>
    <t>c_supervisor</t>
  </si>
  <si>
    <t>c_desSupervisor</t>
  </si>
  <si>
    <t>n_cliente</t>
  </si>
  <si>
    <t>c_razonsocial</t>
  </si>
  <si>
    <t>c_unidadnegocio</t>
  </si>
  <si>
    <t>c_estado</t>
  </si>
  <si>
    <t>c_flagprogramado</t>
  </si>
  <si>
    <t>c_tipocliente</t>
  </si>
  <si>
    <t>c_desTipoCliente</t>
  </si>
  <si>
    <t>N_DIA</t>
  </si>
  <si>
    <t>d_hora</t>
  </si>
  <si>
    <t>c_Pais</t>
  </si>
  <si>
    <t>c_Departamento</t>
  </si>
  <si>
    <t>c_Provincia</t>
  </si>
  <si>
    <t>c_Distrito</t>
  </si>
  <si>
    <t>c_DesPais</t>
  </si>
  <si>
    <t>c_DesDepartamento</t>
  </si>
  <si>
    <t>c_DesProvincia</t>
  </si>
  <si>
    <t>c_DesDistrito</t>
  </si>
  <si>
    <t>c_desTipoCategoria</t>
  </si>
  <si>
    <t>n_visitasxcliente</t>
  </si>
  <si>
    <t>c_flagcartera</t>
  </si>
  <si>
    <t>n_visitasxdiaxcliente</t>
  </si>
  <si>
    <t>General</t>
  </si>
  <si>
    <t>Cant. Clientes</t>
  </si>
  <si>
    <t>Total clientes</t>
  </si>
  <si>
    <t>Clientes vendidos</t>
  </si>
  <si>
    <t>Efectividad</t>
  </si>
  <si>
    <t>Total clientes vendidos</t>
  </si>
  <si>
    <t>2.1.1. Resumen x vendedor</t>
  </si>
  <si>
    <t>2.2.1. Resumen x vendedor</t>
  </si>
  <si>
    <t>2.2.2. General</t>
  </si>
  <si>
    <t>2.1.2. General</t>
  </si>
  <si>
    <t>nª</t>
  </si>
  <si>
    <t>Programadas</t>
  </si>
  <si>
    <t>Efectuadas</t>
  </si>
  <si>
    <t>No Programadas-Efectuadas</t>
  </si>
  <si>
    <t>Unid.</t>
  </si>
  <si>
    <t>Sku`s</t>
  </si>
  <si>
    <t>PROYECTADO</t>
  </si>
  <si>
    <t>VENDIDO - FACTURADO</t>
  </si>
  <si>
    <t>% Unid</t>
  </si>
  <si>
    <t>% Sku`s</t>
  </si>
  <si>
    <t>VENDIDO - PEDIDOS</t>
  </si>
  <si>
    <t>2.3. EFECTIVIDAD DE VISITAS</t>
  </si>
  <si>
    <t>2.4. SKU`S</t>
  </si>
  <si>
    <t>VTAS PEDIDO</t>
  </si>
  <si>
    <t>VTAS. FACTURADO</t>
  </si>
  <si>
    <t>AVANCE</t>
  </si>
  <si>
    <t>GRADO</t>
  </si>
  <si>
    <t>PUNTOS</t>
  </si>
  <si>
    <t>Y</t>
  </si>
  <si>
    <t>1.2.2. Por vendedor</t>
  </si>
  <si>
    <t>1.2.1. General</t>
  </si>
  <si>
    <t>Monitoreo de vendedores</t>
  </si>
  <si>
    <t>Cantidad de clientes</t>
  </si>
  <si>
    <t>Total Clientes</t>
  </si>
  <si>
    <t>c_codigousuario</t>
  </si>
  <si>
    <t>c_nombreusuario</t>
  </si>
  <si>
    <t>c_orden</t>
  </si>
  <si>
    <t>c_programado</t>
  </si>
  <si>
    <t>c_visito</t>
  </si>
  <si>
    <t>c_motivo</t>
  </si>
  <si>
    <t>n_montopedido</t>
  </si>
  <si>
    <t>n_cuota</t>
  </si>
  <si>
    <t>n_comprobante</t>
  </si>
  <si>
    <t>c_tipodocumento</t>
  </si>
  <si>
    <t>c_seriedocumento</t>
  </si>
  <si>
    <t>n_numerodocumento</t>
  </si>
  <si>
    <t>d_fechaemision</t>
  </si>
  <si>
    <t>c_tipocomponente</t>
  </si>
  <si>
    <t>c_componente</t>
  </si>
  <si>
    <t>c_vendedornombre</t>
  </si>
  <si>
    <t>c_sistemaventa</t>
  </si>
  <si>
    <t>c_tipopago</t>
  </si>
  <si>
    <t>c_opcion</t>
  </si>
  <si>
    <t>n_cantidadvalor</t>
  </si>
  <si>
    <t>n_montovalor</t>
  </si>
  <si>
    <t>c_segmentonombre</t>
  </si>
  <si>
    <t>c_categoria</t>
  </si>
  <si>
    <t>c_equipo</t>
  </si>
  <si>
    <t>c_supervisornombre</t>
  </si>
  <si>
    <t>c_situacioncliente</t>
  </si>
  <si>
    <t>n_direccion</t>
  </si>
  <si>
    <t>c_provincia</t>
  </si>
  <si>
    <t>c_tipopagonombre</t>
  </si>
  <si>
    <t>n_correla</t>
  </si>
  <si>
    <t>n_regunico</t>
  </si>
  <si>
    <t>c_usuario</t>
  </si>
  <si>
    <t>c_usuarionombre</t>
  </si>
  <si>
    <t>n_montofacturado</t>
  </si>
  <si>
    <t>n_montocomision</t>
  </si>
  <si>
    <t>n_porfact</t>
  </si>
  <si>
    <t>n_porpedido</t>
  </si>
  <si>
    <t>n_porcomis</t>
  </si>
  <si>
    <t>c_areaventa</t>
  </si>
  <si>
    <t>c_zonaventa</t>
  </si>
  <si>
    <t>c_zonaventanombre</t>
  </si>
  <si>
    <t>n_regunicozona</t>
  </si>
  <si>
    <t>Dias</t>
  </si>
  <si>
    <t>n_id</t>
  </si>
  <si>
    <t>n_regunicosegmento</t>
  </si>
  <si>
    <t>n_regunicoriesgo</t>
  </si>
  <si>
    <t>n_regunicocli</t>
  </si>
  <si>
    <t>c_tipodocfinal</t>
  </si>
  <si>
    <t>Factura</t>
  </si>
  <si>
    <t>Usuario</t>
  </si>
  <si>
    <t>Semana del Mes</t>
  </si>
  <si>
    <t>Dia Inicio Semana</t>
  </si>
  <si>
    <t>Dia 1</t>
  </si>
  <si>
    <t>Dia 2</t>
  </si>
  <si>
    <t>Dias 3</t>
  </si>
  <si>
    <t>Dia 4</t>
  </si>
  <si>
    <t>Dia 5</t>
  </si>
  <si>
    <t>SkuUsuario</t>
  </si>
  <si>
    <t>SkuSegmento</t>
  </si>
  <si>
    <t>n_cuotaunidades</t>
  </si>
  <si>
    <t>n_skus</t>
  </si>
  <si>
    <t>VENDEDOR NOMBRE</t>
  </si>
  <si>
    <t>USUARIO CODIGO</t>
  </si>
  <si>
    <t>SUPERVISOR NOMBRE</t>
  </si>
  <si>
    <t>CONC</t>
  </si>
  <si>
    <t>V.VEND</t>
  </si>
  <si>
    <t>AVAN</t>
  </si>
  <si>
    <t>c_sector</t>
  </si>
  <si>
    <t>CHANG MARTINEZ ABEL FRANCISCO</t>
  </si>
  <si>
    <t>ZONA GENERAL</t>
  </si>
  <si>
    <t>2.1. EFECTIVIDAD DE VISITAS</t>
  </si>
  <si>
    <t>2.2. SEGMENTOS</t>
  </si>
  <si>
    <t>2.3. COBERTURA</t>
  </si>
  <si>
    <t>Ejecutadas</t>
  </si>
  <si>
    <t>Visitas sin programar</t>
  </si>
  <si>
    <t>Total visitas</t>
  </si>
  <si>
    <t>Fecha</t>
  </si>
  <si>
    <t>DATOS DE CALCULOS</t>
  </si>
  <si>
    <t>c_nuevorec</t>
  </si>
  <si>
    <t>Comisionable</t>
  </si>
  <si>
    <t>n_avance_co</t>
  </si>
  <si>
    <t>c_nombre_vendedor</t>
  </si>
  <si>
    <t>VTAS. COMISIONABLE</t>
  </si>
  <si>
    <t>Fecha IMES</t>
  </si>
  <si>
    <t>Fec.IMES</t>
  </si>
  <si>
    <t>VELOCIMETRO POR VENDEDOR</t>
  </si>
  <si>
    <t>1.3. AVANCE DIARIO - FACTURA</t>
  </si>
  <si>
    <t>1.3.1. General</t>
  </si>
  <si>
    <t>1.3.2. Por vendedor</t>
  </si>
  <si>
    <t>d_fecha</t>
  </si>
  <si>
    <t>c_observacion</t>
  </si>
  <si>
    <t>Feriado</t>
  </si>
  <si>
    <t>U.Neg</t>
  </si>
  <si>
    <t>Rangk Uneg Otro</t>
  </si>
  <si>
    <t>Ranking REP</t>
  </si>
  <si>
    <t>RankFin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</si>
</sst>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S/.&quot;#,##0;[Red]&quot;S/.&quot;\-#,##0"/>
    <numFmt numFmtId="164" formatCode="_ &quot;S/.&quot;\ * #,##0.00_ ;_ &quot;S/.&quot;\ * \-#,##0.00_ ;_ &quot;S/.&quot;\ * &quot;-&quot;??_ ;_ @_ "/>
    <numFmt numFmtId="165" formatCode="0.0%"/>
    <numFmt numFmtId="166" formatCode="_ &quot;S/.&quot;\ * #,##0_ ;_ &quot;S/.&quot;\ * \-#,##0_ ;_ &quot;S/.&quot;\ * &quot;-&quot;??_ ;_ @_ "/>
    <numFmt numFmtId="167" formatCode="ddd"/>
    <numFmt numFmtId="168" formatCode="#,##0_ ;[Red]\-#,##0\ "/>
    <numFmt numFmtId="169" formatCode="dd/mm/yyyy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C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7.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sz val="9"/>
      <name val="Arial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b/>
      <sz val="16"/>
      <color rgb="FFC00000"/>
      <name val="MS UI Gothic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u/>
      <sz val="11"/>
      <color theme="0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C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left"/>
    </xf>
    <xf numFmtId="10" fontId="0" fillId="0" borderId="1" xfId="1" applyNumberFormat="1" applyFont="1" applyBorder="1"/>
    <xf numFmtId="10" fontId="0" fillId="0" borderId="0" xfId="1" applyNumberFormat="1" applyFont="1" applyBorder="1"/>
    <xf numFmtId="0" fontId="2" fillId="0" borderId="0" xfId="0" applyFont="1"/>
    <xf numFmtId="0" fontId="0" fillId="2" borderId="0" xfId="0" applyFill="1"/>
    <xf numFmtId="3" fontId="0" fillId="0" borderId="1" xfId="0" applyNumberFormat="1" applyBorder="1"/>
    <xf numFmtId="10" fontId="2" fillId="0" borderId="1" xfId="1" applyNumberFormat="1" applyFont="1" applyBorder="1"/>
    <xf numFmtId="10" fontId="5" fillId="2" borderId="0" xfId="1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left" vertical="center"/>
    </xf>
    <xf numFmtId="0" fontId="4" fillId="0" borderId="0" xfId="0" applyFont="1"/>
    <xf numFmtId="0" fontId="0" fillId="0" borderId="2" xfId="0" applyBorder="1"/>
    <xf numFmtId="3" fontId="2" fillId="0" borderId="0" xfId="0" applyNumberFormat="1" applyFont="1"/>
    <xf numFmtId="0" fontId="0" fillId="2" borderId="0" xfId="0" applyFill="1" applyAlignment="1">
      <alignment horizontal="center" vertical="center"/>
    </xf>
    <xf numFmtId="3" fontId="2" fillId="0" borderId="0" xfId="0" applyNumberFormat="1" applyFont="1" applyBorder="1"/>
    <xf numFmtId="0" fontId="0" fillId="0" borderId="0" xfId="0" applyBorder="1" applyAlignment="1">
      <alignment horizontal="left"/>
    </xf>
    <xf numFmtId="0" fontId="0" fillId="0" borderId="0" xfId="0" applyBorder="1"/>
    <xf numFmtId="10" fontId="0" fillId="0" borderId="13" xfId="1" applyNumberFormat="1" applyFont="1" applyBorder="1"/>
    <xf numFmtId="0" fontId="0" fillId="0" borderId="4" xfId="0" applyBorder="1" applyAlignment="1">
      <alignment horizontal="center"/>
    </xf>
    <xf numFmtId="10" fontId="0" fillId="0" borderId="11" xfId="1" applyNumberFormat="1" applyFont="1" applyBorder="1"/>
    <xf numFmtId="0" fontId="2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6" fontId="2" fillId="4" borderId="1" xfId="0" applyNumberFormat="1" applyFont="1" applyFill="1" applyBorder="1"/>
    <xf numFmtId="16" fontId="2" fillId="4" borderId="1" xfId="0" applyNumberFormat="1" applyFont="1" applyFill="1" applyBorder="1" applyAlignment="1">
      <alignment horizontal="center" vertical="center"/>
    </xf>
    <xf numFmtId="165" fontId="2" fillId="5" borderId="13" xfId="1" applyNumberFormat="1" applyFont="1" applyFill="1" applyBorder="1"/>
    <xf numFmtId="165" fontId="2" fillId="5" borderId="14" xfId="1" applyNumberFormat="1" applyFont="1" applyFill="1" applyBorder="1"/>
    <xf numFmtId="165" fontId="2" fillId="5" borderId="0" xfId="1" applyNumberFormat="1" applyFont="1" applyFill="1" applyBorder="1"/>
    <xf numFmtId="165" fontId="2" fillId="5" borderId="9" xfId="1" applyNumberFormat="1" applyFont="1" applyFill="1" applyBorder="1"/>
    <xf numFmtId="3" fontId="0" fillId="0" borderId="0" xfId="0" applyNumberFormat="1" applyBorder="1"/>
    <xf numFmtId="4" fontId="0" fillId="0" borderId="0" xfId="0" applyNumberFormat="1" applyBorder="1" applyAlignment="1">
      <alignment horizontal="center"/>
    </xf>
    <xf numFmtId="4" fontId="0" fillId="0" borderId="0" xfId="0" applyNumberFormat="1" applyBorder="1"/>
    <xf numFmtId="3" fontId="0" fillId="0" borderId="7" xfId="0" applyNumberFormat="1" applyBorder="1"/>
    <xf numFmtId="3" fontId="0" fillId="0" borderId="13" xfId="0" applyNumberFormat="1" applyBorder="1"/>
    <xf numFmtId="3" fontId="0" fillId="0" borderId="4" xfId="0" applyNumberFormat="1" applyBorder="1"/>
    <xf numFmtId="3" fontId="0" fillId="0" borderId="10" xfId="0" applyNumberFormat="1" applyBorder="1"/>
    <xf numFmtId="3" fontId="0" fillId="0" borderId="11" xfId="0" applyNumberFormat="1" applyBorder="1"/>
    <xf numFmtId="4" fontId="0" fillId="0" borderId="11" xfId="0" applyNumberFormat="1" applyBorder="1" applyAlignment="1">
      <alignment horizontal="center"/>
    </xf>
    <xf numFmtId="3" fontId="2" fillId="0" borderId="5" xfId="0" applyNumberFormat="1" applyFont="1" applyBorder="1"/>
    <xf numFmtId="3" fontId="2" fillId="0" borderId="15" xfId="0" applyNumberFormat="1" applyFont="1" applyBorder="1"/>
    <xf numFmtId="3" fontId="2" fillId="0" borderId="6" xfId="0" applyNumberFormat="1" applyFont="1" applyBorder="1"/>
    <xf numFmtId="4" fontId="0" fillId="0" borderId="13" xfId="0" applyNumberFormat="1" applyBorder="1"/>
    <xf numFmtId="4" fontId="0" fillId="0" borderId="11" xfId="0" applyNumberFormat="1" applyBorder="1"/>
    <xf numFmtId="0" fontId="2" fillId="0" borderId="10" xfId="0" applyFont="1" applyFill="1" applyBorder="1" applyAlignment="1">
      <alignment horizontal="center"/>
    </xf>
    <xf numFmtId="0" fontId="0" fillId="0" borderId="8" xfId="0" applyBorder="1"/>
    <xf numFmtId="0" fontId="0" fillId="0" borderId="3" xfId="0" applyBorder="1"/>
    <xf numFmtId="165" fontId="0" fillId="0" borderId="13" xfId="1" applyNumberFormat="1" applyFont="1" applyBorder="1"/>
    <xf numFmtId="165" fontId="0" fillId="0" borderId="0" xfId="1" applyNumberFormat="1" applyFont="1" applyBorder="1"/>
    <xf numFmtId="165" fontId="0" fillId="0" borderId="11" xfId="1" applyNumberFormat="1" applyFont="1" applyBorder="1"/>
    <xf numFmtId="4" fontId="0" fillId="0" borderId="11" xfId="1" applyNumberFormat="1" applyFont="1" applyBorder="1"/>
    <xf numFmtId="0" fontId="3" fillId="4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" fontId="0" fillId="4" borderId="1" xfId="0" applyNumberFormat="1" applyFill="1" applyBorder="1" applyAlignment="1">
      <alignment horizontal="center" vertical="center"/>
    </xf>
    <xf numFmtId="0" fontId="0" fillId="0" borderId="7" xfId="0" applyBorder="1"/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13" xfId="0" applyBorder="1"/>
    <xf numFmtId="3" fontId="0" fillId="0" borderId="2" xfId="0" applyNumberForma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/>
    </xf>
    <xf numFmtId="3" fontId="2" fillId="0" borderId="5" xfId="0" applyNumberFormat="1" applyFont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0" fontId="0" fillId="0" borderId="11" xfId="0" applyBorder="1"/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3" fontId="9" fillId="0" borderId="3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3" fontId="9" fillId="0" borderId="1" xfId="0" applyNumberFormat="1" applyFont="1" applyFill="1" applyBorder="1" applyAlignment="1">
      <alignment horizontal="center" vertical="center"/>
    </xf>
    <xf numFmtId="10" fontId="9" fillId="0" borderId="1" xfId="1" applyNumberFormat="1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9" fontId="0" fillId="0" borderId="9" xfId="1" applyFont="1" applyBorder="1"/>
    <xf numFmtId="9" fontId="0" fillId="0" borderId="12" xfId="1" applyFont="1" applyBorder="1"/>
    <xf numFmtId="9" fontId="0" fillId="0" borderId="14" xfId="1" applyFont="1" applyBorder="1"/>
    <xf numFmtId="0" fontId="0" fillId="0" borderId="0" xfId="0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/>
    </xf>
    <xf numFmtId="0" fontId="15" fillId="6" borderId="10" xfId="0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3" fontId="2" fillId="0" borderId="10" xfId="0" applyNumberFormat="1" applyFont="1" applyBorder="1"/>
    <xf numFmtId="3" fontId="2" fillId="0" borderId="11" xfId="0" applyNumberFormat="1" applyFont="1" applyBorder="1"/>
    <xf numFmtId="3" fontId="2" fillId="0" borderId="12" xfId="0" applyNumberFormat="1" applyFont="1" applyBorder="1"/>
    <xf numFmtId="3" fontId="0" fillId="0" borderId="14" xfId="0" applyNumberFormat="1" applyBorder="1"/>
    <xf numFmtId="3" fontId="0" fillId="0" borderId="9" xfId="0" applyNumberFormat="1" applyBorder="1"/>
    <xf numFmtId="3" fontId="0" fillId="0" borderId="12" xfId="0" applyNumberFormat="1" applyBorder="1"/>
    <xf numFmtId="0" fontId="7" fillId="4" borderId="2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9" fontId="0" fillId="0" borderId="13" xfId="1" applyFont="1" applyBorder="1"/>
    <xf numFmtId="9" fontId="0" fillId="0" borderId="0" xfId="1" applyFont="1" applyBorder="1"/>
    <xf numFmtId="9" fontId="0" fillId="0" borderId="11" xfId="1" applyFont="1" applyBorder="1"/>
    <xf numFmtId="3" fontId="17" fillId="0" borderId="7" xfId="0" applyNumberFormat="1" applyFont="1" applyBorder="1" applyAlignment="1">
      <alignment horizontal="right" vertical="center"/>
    </xf>
    <xf numFmtId="3" fontId="17" fillId="0" borderId="14" xfId="0" applyNumberFormat="1" applyFont="1" applyBorder="1" applyAlignment="1">
      <alignment horizontal="right" vertical="center"/>
    </xf>
    <xf numFmtId="3" fontId="17" fillId="0" borderId="4" xfId="0" applyNumberFormat="1" applyFont="1" applyBorder="1" applyAlignment="1">
      <alignment horizontal="right" vertical="center"/>
    </xf>
    <xf numFmtId="3" fontId="17" fillId="0" borderId="9" xfId="0" applyNumberFormat="1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right" vertical="center"/>
    </xf>
    <xf numFmtId="3" fontId="17" fillId="0" borderId="12" xfId="0" applyNumberFormat="1" applyFont="1" applyBorder="1" applyAlignment="1">
      <alignment horizontal="right" vertical="center"/>
    </xf>
    <xf numFmtId="9" fontId="2" fillId="0" borderId="14" xfId="1" applyFont="1" applyBorder="1"/>
    <xf numFmtId="9" fontId="2" fillId="0" borderId="9" xfId="1" applyFont="1" applyBorder="1"/>
    <xf numFmtId="9" fontId="2" fillId="0" borderId="12" xfId="1" applyFont="1" applyBorder="1"/>
    <xf numFmtId="0" fontId="7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3" fontId="0" fillId="0" borderId="10" xfId="0" applyNumberForma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1" xfId="0" applyBorder="1" applyAlignment="1">
      <alignment vertical="center"/>
    </xf>
    <xf numFmtId="165" fontId="2" fillId="0" borderId="11" xfId="1" applyNumberFormat="1" applyFont="1" applyBorder="1" applyAlignment="1">
      <alignment vertical="center"/>
    </xf>
    <xf numFmtId="165" fontId="2" fillId="0" borderId="12" xfId="1" applyNumberFormat="1" applyFont="1" applyBorder="1" applyAlignment="1">
      <alignment vertical="center"/>
    </xf>
    <xf numFmtId="3" fontId="0" fillId="0" borderId="2" xfId="0" applyNumberForma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4" fontId="0" fillId="0" borderId="0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2" fillId="0" borderId="0" xfId="0" applyFont="1" applyAlignment="1"/>
    <xf numFmtId="0" fontId="0" fillId="0" borderId="0" xfId="0" applyFont="1"/>
    <xf numFmtId="3" fontId="19" fillId="4" borderId="13" xfId="0" applyNumberFormat="1" applyFont="1" applyFill="1" applyBorder="1"/>
    <xf numFmtId="165" fontId="19" fillId="4" borderId="13" xfId="1" applyNumberFormat="1" applyFont="1" applyFill="1" applyBorder="1"/>
    <xf numFmtId="165" fontId="19" fillId="4" borderId="14" xfId="1" applyNumberFormat="1" applyFont="1" applyFill="1" applyBorder="1"/>
    <xf numFmtId="3" fontId="0" fillId="3" borderId="0" xfId="0" applyNumberFormat="1" applyFont="1" applyFill="1" applyBorder="1"/>
    <xf numFmtId="3" fontId="0" fillId="3" borderId="11" xfId="0" applyNumberFormat="1" applyFont="1" applyFill="1" applyBorder="1"/>
    <xf numFmtId="165" fontId="0" fillId="3" borderId="0" xfId="1" applyNumberFormat="1" applyFont="1" applyFill="1" applyBorder="1"/>
    <xf numFmtId="165" fontId="0" fillId="3" borderId="11" xfId="1" applyNumberFormat="1" applyFont="1" applyFill="1" applyBorder="1"/>
    <xf numFmtId="165" fontId="1" fillId="3" borderId="9" xfId="1" applyNumberFormat="1" applyFont="1" applyFill="1" applyBorder="1"/>
    <xf numFmtId="165" fontId="1" fillId="3" borderId="12" xfId="1" applyNumberFormat="1" applyFont="1" applyFill="1" applyBorder="1"/>
    <xf numFmtId="0" fontId="6" fillId="4" borderId="2" xfId="2" applyFont="1" applyFill="1" applyBorder="1" applyAlignment="1">
      <alignment vertical="center"/>
    </xf>
    <xf numFmtId="164" fontId="0" fillId="0" borderId="0" xfId="0" applyNumberFormat="1"/>
    <xf numFmtId="0" fontId="14" fillId="2" borderId="0" xfId="0" applyFont="1" applyFill="1" applyBorder="1" applyAlignment="1">
      <alignment horizontal="center" vertical="center"/>
    </xf>
    <xf numFmtId="164" fontId="15" fillId="2" borderId="0" xfId="0" applyNumberFormat="1" applyFont="1" applyFill="1" applyBorder="1" applyAlignment="1">
      <alignment vertical="center"/>
    </xf>
    <xf numFmtId="166" fontId="21" fillId="2" borderId="0" xfId="0" applyNumberFormat="1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/>
    </xf>
    <xf numFmtId="0" fontId="14" fillId="6" borderId="9" xfId="0" applyFont="1" applyFill="1" applyBorder="1"/>
    <xf numFmtId="10" fontId="14" fillId="6" borderId="1" xfId="1" applyNumberFormat="1" applyFont="1" applyFill="1" applyBorder="1"/>
    <xf numFmtId="3" fontId="14" fillId="6" borderId="1" xfId="0" applyNumberFormat="1" applyFont="1" applyFill="1" applyBorder="1"/>
    <xf numFmtId="0" fontId="2" fillId="5" borderId="7" xfId="0" applyFont="1" applyFill="1" applyBorder="1" applyAlignment="1">
      <alignment horizontal="center"/>
    </xf>
    <xf numFmtId="0" fontId="2" fillId="5" borderId="14" xfId="0" applyFont="1" applyFill="1" applyBorder="1"/>
    <xf numFmtId="10" fontId="2" fillId="5" borderId="1" xfId="1" applyNumberFormat="1" applyFont="1" applyFill="1" applyBorder="1"/>
    <xf numFmtId="3" fontId="2" fillId="5" borderId="1" xfId="0" applyNumberFormat="1" applyFont="1" applyFill="1" applyBorder="1"/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/>
    <xf numFmtId="0" fontId="2" fillId="5" borderId="13" xfId="0" applyFont="1" applyFill="1" applyBorder="1" applyAlignment="1">
      <alignment horizontal="left"/>
    </xf>
    <xf numFmtId="0" fontId="2" fillId="5" borderId="0" xfId="0" applyFont="1" applyFill="1" applyBorder="1" applyAlignment="1">
      <alignment horizontal="left"/>
    </xf>
    <xf numFmtId="0" fontId="19" fillId="4" borderId="7" xfId="0" applyFont="1" applyFill="1" applyBorder="1" applyAlignment="1"/>
    <xf numFmtId="0" fontId="6" fillId="4" borderId="3" xfId="2" applyFont="1" applyFill="1" applyBorder="1" applyAlignment="1">
      <alignment vertical="center"/>
    </xf>
    <xf numFmtId="10" fontId="2" fillId="0" borderId="2" xfId="1" applyNumberFormat="1" applyFont="1" applyBorder="1" applyAlignment="1">
      <alignment horizontal="center"/>
    </xf>
    <xf numFmtId="10" fontId="2" fillId="0" borderId="3" xfId="1" applyNumberFormat="1" applyFont="1" applyBorder="1" applyAlignment="1">
      <alignment horizontal="center"/>
    </xf>
    <xf numFmtId="3" fontId="0" fillId="0" borderId="8" xfId="0" applyNumberFormat="1" applyBorder="1"/>
    <xf numFmtId="3" fontId="0" fillId="0" borderId="3" xfId="0" applyNumberFormat="1" applyBorder="1"/>
    <xf numFmtId="0" fontId="0" fillId="3" borderId="7" xfId="0" applyFont="1" applyFill="1" applyBorder="1" applyAlignment="1">
      <alignment horizontal="center"/>
    </xf>
    <xf numFmtId="0" fontId="0" fillId="3" borderId="13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9" borderId="1" xfId="0" applyFill="1" applyBorder="1"/>
    <xf numFmtId="0" fontId="0" fillId="9" borderId="2" xfId="0" applyFill="1" applyBorder="1"/>
    <xf numFmtId="22" fontId="0" fillId="0" borderId="13" xfId="0" applyNumberFormat="1" applyBorder="1"/>
    <xf numFmtId="0" fontId="0" fillId="9" borderId="8" xfId="0" applyFill="1" applyBorder="1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4" borderId="1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/>
    </xf>
    <xf numFmtId="0" fontId="0" fillId="0" borderId="13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2" fillId="5" borderId="2" xfId="0" applyFont="1" applyFill="1" applyBorder="1" applyAlignment="1">
      <alignment horizontal="left"/>
    </xf>
    <xf numFmtId="0" fontId="2" fillId="5" borderId="8" xfId="0" applyFont="1" applyFill="1" applyBorder="1" applyAlignment="1">
      <alignment horizontal="left"/>
    </xf>
    <xf numFmtId="0" fontId="15" fillId="6" borderId="3" xfId="0" applyFont="1" applyFill="1" applyBorder="1" applyAlignment="1">
      <alignment horizontal="left"/>
    </xf>
    <xf numFmtId="0" fontId="15" fillId="6" borderId="8" xfId="0" applyFont="1" applyFill="1" applyBorder="1" applyAlignment="1">
      <alignment horizontal="left"/>
    </xf>
    <xf numFmtId="3" fontId="2" fillId="5" borderId="2" xfId="0" applyNumberFormat="1" applyFont="1" applyFill="1" applyBorder="1"/>
    <xf numFmtId="3" fontId="2" fillId="5" borderId="8" xfId="0" applyNumberFormat="1" applyFont="1" applyFill="1" applyBorder="1"/>
    <xf numFmtId="3" fontId="15" fillId="6" borderId="8" xfId="0" applyNumberFormat="1" applyFont="1" applyFill="1" applyBorder="1"/>
    <xf numFmtId="3" fontId="15" fillId="6" borderId="3" xfId="0" applyNumberFormat="1" applyFont="1" applyFill="1" applyBorder="1"/>
    <xf numFmtId="3" fontId="2" fillId="5" borderId="7" xfId="0" applyNumberFormat="1" applyFont="1" applyFill="1" applyBorder="1"/>
    <xf numFmtId="3" fontId="2" fillId="5" borderId="4" xfId="0" applyNumberFormat="1" applyFont="1" applyFill="1" applyBorder="1"/>
    <xf numFmtId="3" fontId="15" fillId="6" borderId="4" xfId="0" applyNumberFormat="1" applyFont="1" applyFill="1" applyBorder="1"/>
    <xf numFmtId="165" fontId="15" fillId="6" borderId="0" xfId="0" applyNumberFormat="1" applyFont="1" applyFill="1" applyBorder="1"/>
    <xf numFmtId="165" fontId="15" fillId="6" borderId="9" xfId="0" applyNumberFormat="1" applyFont="1" applyFill="1" applyBorder="1"/>
    <xf numFmtId="3" fontId="15" fillId="6" borderId="10" xfId="0" applyNumberFormat="1" applyFont="1" applyFill="1" applyBorder="1"/>
    <xf numFmtId="165" fontId="15" fillId="6" borderId="11" xfId="0" applyNumberFormat="1" applyFont="1" applyFill="1" applyBorder="1"/>
    <xf numFmtId="165" fontId="15" fillId="6" borderId="12" xfId="0" applyNumberFormat="1" applyFont="1" applyFill="1" applyBorder="1"/>
    <xf numFmtId="0" fontId="26" fillId="3" borderId="4" xfId="0" applyFont="1" applyFill="1" applyBorder="1" applyAlignment="1"/>
    <xf numFmtId="0" fontId="26" fillId="3" borderId="10" xfId="0" applyFont="1" applyFill="1" applyBorder="1" applyAlignment="1"/>
    <xf numFmtId="0" fontId="0" fillId="2" borderId="0" xfId="0" applyNumberFormat="1" applyFill="1"/>
    <xf numFmtId="0" fontId="0" fillId="0" borderId="1" xfId="0" applyNumberFormat="1" applyBorder="1"/>
    <xf numFmtId="0" fontId="0" fillId="4" borderId="1" xfId="0" applyNumberFormat="1" applyFill="1" applyBorder="1" applyAlignment="1">
      <alignment horizontal="center" vertical="center"/>
    </xf>
    <xf numFmtId="0" fontId="2" fillId="0" borderId="0" xfId="0" applyNumberFormat="1" applyFont="1" applyBorder="1"/>
    <xf numFmtId="0" fontId="0" fillId="0" borderId="0" xfId="0" applyNumberFormat="1"/>
    <xf numFmtId="0" fontId="0" fillId="0" borderId="13" xfId="0" applyNumberFormat="1" applyBorder="1"/>
    <xf numFmtId="0" fontId="0" fillId="0" borderId="0" xfId="0" applyNumberFormat="1" applyBorder="1"/>
    <xf numFmtId="0" fontId="13" fillId="7" borderId="1" xfId="0" applyNumberFormat="1" applyFont="1" applyFill="1" applyBorder="1" applyAlignment="1">
      <alignment horizontal="center" vertical="center" wrapText="1"/>
    </xf>
    <xf numFmtId="0" fontId="0" fillId="0" borderId="11" xfId="0" applyNumberFormat="1" applyBorder="1"/>
    <xf numFmtId="0" fontId="0" fillId="4" borderId="2" xfId="0" applyNumberFormat="1" applyFont="1" applyFill="1" applyBorder="1" applyAlignment="1">
      <alignment horizontal="center" vertical="center"/>
    </xf>
    <xf numFmtId="0" fontId="27" fillId="5" borderId="2" xfId="1" applyNumberFormat="1" applyFont="1" applyFill="1" applyBorder="1" applyAlignment="1">
      <alignment horizontal="left"/>
    </xf>
    <xf numFmtId="0" fontId="27" fillId="5" borderId="8" xfId="1" applyNumberFormat="1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3" borderId="0" xfId="0" applyFont="1" applyFill="1" applyBorder="1" applyAlignment="1"/>
    <xf numFmtId="0" fontId="2" fillId="0" borderId="4" xfId="0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left"/>
    </xf>
    <xf numFmtId="3" fontId="0" fillId="0" borderId="8" xfId="0" applyNumberFormat="1" applyFont="1" applyBorder="1"/>
    <xf numFmtId="3" fontId="0" fillId="2" borderId="4" xfId="0" applyNumberFormat="1" applyFont="1" applyFill="1" applyBorder="1"/>
    <xf numFmtId="165" fontId="1" fillId="2" borderId="0" xfId="1" applyNumberFormat="1" applyFont="1" applyFill="1" applyBorder="1"/>
    <xf numFmtId="165" fontId="1" fillId="2" borderId="9" xfId="1" applyNumberFormat="1" applyFont="1" applyFill="1" applyBorder="1"/>
    <xf numFmtId="0" fontId="28" fillId="2" borderId="8" xfId="1" applyNumberFormat="1" applyFont="1" applyFill="1" applyBorder="1" applyAlignment="1">
      <alignment horizontal="left"/>
    </xf>
    <xf numFmtId="0" fontId="2" fillId="3" borderId="3" xfId="0" applyFont="1" applyFill="1" applyBorder="1" applyAlignment="1">
      <alignment horizontal="center"/>
    </xf>
    <xf numFmtId="0" fontId="0" fillId="9" borderId="0" xfId="0" applyFill="1"/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1" fillId="4" borderId="1" xfId="0" applyFont="1" applyFill="1" applyBorder="1" applyAlignment="1"/>
    <xf numFmtId="0" fontId="11" fillId="0" borderId="4" xfId="0" applyFont="1" applyFill="1" applyBorder="1" applyAlignment="1"/>
    <xf numFmtId="0" fontId="0" fillId="0" borderId="4" xfId="0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3" fontId="2" fillId="0" borderId="10" xfId="0" applyNumberFormat="1" applyFont="1" applyBorder="1" applyAlignment="1">
      <alignment horizontal="center"/>
    </xf>
    <xf numFmtId="3" fontId="0" fillId="0" borderId="2" xfId="0" applyNumberFormat="1" applyBorder="1"/>
    <xf numFmtId="0" fontId="9" fillId="0" borderId="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3" fontId="0" fillId="0" borderId="7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5" fontId="0" fillId="0" borderId="14" xfId="1" applyNumberFormat="1" applyFont="1" applyBorder="1" applyAlignment="1">
      <alignment horizontal="center" vertical="center"/>
    </xf>
    <xf numFmtId="165" fontId="0" fillId="0" borderId="9" xfId="1" applyNumberFormat="1" applyFont="1" applyBorder="1" applyAlignment="1">
      <alignment horizontal="center" vertical="center"/>
    </xf>
    <xf numFmtId="165" fontId="0" fillId="0" borderId="12" xfId="1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4" fontId="29" fillId="0" borderId="1" xfId="0" applyNumberFormat="1" applyFont="1" applyBorder="1" applyAlignment="1">
      <alignment horizontal="center"/>
    </xf>
    <xf numFmtId="0" fontId="3" fillId="4" borderId="7" xfId="0" applyFont="1" applyFill="1" applyBorder="1" applyAlignment="1">
      <alignment horizontal="center" vertical="center"/>
    </xf>
    <xf numFmtId="0" fontId="0" fillId="9" borderId="0" xfId="0" applyFill="1" applyBorder="1"/>
    <xf numFmtId="0" fontId="3" fillId="4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9" fontId="0" fillId="0" borderId="4" xfId="3" applyFont="1" applyBorder="1"/>
    <xf numFmtId="9" fontId="0" fillId="0" borderId="10" xfId="3" applyFont="1" applyBorder="1"/>
    <xf numFmtId="9" fontId="0" fillId="0" borderId="7" xfId="3" applyFont="1" applyBorder="1"/>
    <xf numFmtId="0" fontId="3" fillId="0" borderId="5" xfId="0" applyFont="1" applyBorder="1"/>
    <xf numFmtId="0" fontId="3" fillId="0" borderId="1" xfId="0" applyFont="1" applyBorder="1"/>
    <xf numFmtId="0" fontId="3" fillId="9" borderId="5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22" fillId="0" borderId="0" xfId="0" applyFont="1"/>
    <xf numFmtId="167" fontId="0" fillId="4" borderId="1" xfId="0" applyNumberForma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5" fontId="1" fillId="0" borderId="12" xfId="1" applyNumberFormat="1" applyFont="1" applyBorder="1"/>
    <xf numFmtId="10" fontId="0" fillId="0" borderId="12" xfId="1" applyNumberFormat="1" applyFont="1" applyBorder="1"/>
    <xf numFmtId="0" fontId="16" fillId="0" borderId="0" xfId="0" applyFont="1" applyAlignment="1"/>
    <xf numFmtId="0" fontId="3" fillId="0" borderId="3" xfId="2" applyFont="1" applyFill="1" applyBorder="1" applyAlignment="1">
      <alignment vertical="center"/>
    </xf>
    <xf numFmtId="10" fontId="9" fillId="0" borderId="8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/>
    </xf>
    <xf numFmtId="0" fontId="25" fillId="0" borderId="0" xfId="0" applyFont="1" applyAlignment="1"/>
    <xf numFmtId="168" fontId="0" fillId="0" borderId="13" xfId="0" applyNumberFormat="1" applyFont="1" applyBorder="1"/>
    <xf numFmtId="168" fontId="0" fillId="0" borderId="14" xfId="0" applyNumberFormat="1" applyFont="1" applyBorder="1"/>
    <xf numFmtId="168" fontId="0" fillId="0" borderId="0" xfId="0" applyNumberFormat="1" applyBorder="1"/>
    <xf numFmtId="168" fontId="0" fillId="0" borderId="9" xfId="0" applyNumberFormat="1" applyBorder="1"/>
    <xf numFmtId="168" fontId="0" fillId="0" borderId="11" xfId="0" applyNumberFormat="1" applyBorder="1"/>
    <xf numFmtId="168" fontId="0" fillId="0" borderId="12" xfId="0" applyNumberFormat="1" applyBorder="1"/>
    <xf numFmtId="0" fontId="0" fillId="0" borderId="2" xfId="0" applyFont="1" applyBorder="1"/>
    <xf numFmtId="3" fontId="0" fillId="2" borderId="8" xfId="0" applyNumberFormat="1" applyFill="1" applyBorder="1" applyAlignment="1">
      <alignment horizontal="left" vertical="center"/>
    </xf>
    <xf numFmtId="0" fontId="0" fillId="2" borderId="3" xfId="0" applyFill="1" applyBorder="1" applyAlignment="1">
      <alignment horizontal="left"/>
    </xf>
    <xf numFmtId="168" fontId="0" fillId="0" borderId="7" xfId="0" applyNumberFormat="1" applyFont="1" applyBorder="1"/>
    <xf numFmtId="168" fontId="0" fillId="0" borderId="4" xfId="0" applyNumberFormat="1" applyBorder="1"/>
    <xf numFmtId="168" fontId="0" fillId="0" borderId="10" xfId="0" applyNumberFormat="1" applyBorder="1"/>
    <xf numFmtId="0" fontId="0" fillId="2" borderId="8" xfId="0" applyFill="1" applyBorder="1" applyAlignment="1">
      <alignment horizontal="left"/>
    </xf>
    <xf numFmtId="10" fontId="1" fillId="0" borderId="1" xfId="1" applyNumberFormat="1" applyFont="1" applyBorder="1"/>
    <xf numFmtId="2" fontId="0" fillId="0" borderId="1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0" fontId="31" fillId="0" borderId="0" xfId="0" applyFont="1"/>
    <xf numFmtId="0" fontId="31" fillId="2" borderId="0" xfId="0" applyFont="1" applyFill="1"/>
    <xf numFmtId="166" fontId="32" fillId="2" borderId="0" xfId="0" applyNumberFormat="1" applyFont="1" applyFill="1" applyBorder="1" applyAlignment="1">
      <alignment vertical="center"/>
    </xf>
    <xf numFmtId="0" fontId="31" fillId="0" borderId="0" xfId="0" applyFont="1" applyBorder="1"/>
    <xf numFmtId="0" fontId="30" fillId="0" borderId="16" xfId="0" applyFont="1" applyBorder="1"/>
    <xf numFmtId="0" fontId="31" fillId="0" borderId="16" xfId="0" applyFont="1" applyBorder="1"/>
    <xf numFmtId="3" fontId="31" fillId="2" borderId="16" xfId="0" applyNumberFormat="1" applyFont="1" applyFill="1" applyBorder="1" applyAlignment="1">
      <alignment horizontal="center" vertical="center"/>
    </xf>
    <xf numFmtId="165" fontId="34" fillId="3" borderId="16" xfId="1" applyNumberFormat="1" applyFont="1" applyFill="1" applyBorder="1" applyAlignment="1">
      <alignment horizontal="center" vertical="center"/>
    </xf>
    <xf numFmtId="0" fontId="30" fillId="2" borderId="16" xfId="0" applyFont="1" applyFill="1" applyBorder="1" applyAlignment="1">
      <alignment horizontal="center" vertical="center"/>
    </xf>
    <xf numFmtId="164" fontId="31" fillId="2" borderId="16" xfId="0" applyNumberFormat="1" applyFont="1" applyFill="1" applyBorder="1" applyAlignment="1">
      <alignment vertical="center"/>
    </xf>
    <xf numFmtId="0" fontId="30" fillId="8" borderId="16" xfId="0" applyFont="1" applyFill="1" applyBorder="1" applyAlignment="1">
      <alignment horizontal="center" vertical="center"/>
    </xf>
    <xf numFmtId="0" fontId="33" fillId="4" borderId="16" xfId="0" applyFont="1" applyFill="1" applyBorder="1" applyAlignment="1">
      <alignment vertical="center"/>
    </xf>
    <xf numFmtId="3" fontId="31" fillId="2" borderId="17" xfId="0" applyNumberFormat="1" applyFont="1" applyFill="1" applyBorder="1" applyAlignment="1">
      <alignment horizontal="center" vertical="center"/>
    </xf>
    <xf numFmtId="165" fontId="31" fillId="2" borderId="17" xfId="1" applyNumberFormat="1" applyFont="1" applyFill="1" applyBorder="1" applyAlignment="1">
      <alignment horizontal="center" vertical="center"/>
    </xf>
    <xf numFmtId="6" fontId="31" fillId="2" borderId="17" xfId="0" applyNumberFormat="1" applyFont="1" applyFill="1" applyBorder="1" applyAlignment="1">
      <alignment vertical="center"/>
    </xf>
    <xf numFmtId="3" fontId="31" fillId="2" borderId="18" xfId="0" applyNumberFormat="1" applyFont="1" applyFill="1" applyBorder="1" applyAlignment="1">
      <alignment horizontal="center" vertical="center"/>
    </xf>
    <xf numFmtId="165" fontId="31" fillId="2" borderId="18" xfId="1" applyNumberFormat="1" applyFont="1" applyFill="1" applyBorder="1" applyAlignment="1">
      <alignment horizontal="center" vertical="center"/>
    </xf>
    <xf numFmtId="6" fontId="31" fillId="2" borderId="18" xfId="0" applyNumberFormat="1" applyFont="1" applyFill="1" applyBorder="1" applyAlignment="1">
      <alignment vertical="center"/>
    </xf>
    <xf numFmtId="0" fontId="35" fillId="0" borderId="0" xfId="0" applyFont="1"/>
    <xf numFmtId="0" fontId="30" fillId="0" borderId="16" xfId="0" applyFont="1" applyBorder="1" applyAlignment="1"/>
    <xf numFmtId="3" fontId="31" fillId="2" borderId="16" xfId="0" applyNumberFormat="1" applyFont="1" applyFill="1" applyBorder="1" applyAlignment="1">
      <alignment vertical="center"/>
    </xf>
    <xf numFmtId="165" fontId="34" fillId="3" borderId="16" xfId="1" applyNumberFormat="1" applyFont="1" applyFill="1" applyBorder="1" applyAlignment="1">
      <alignment vertical="center"/>
    </xf>
    <xf numFmtId="166" fontId="32" fillId="2" borderId="16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165" fontId="1" fillId="3" borderId="0" xfId="1" applyNumberFormat="1" applyFont="1" applyFill="1" applyBorder="1"/>
    <xf numFmtId="165" fontId="1" fillId="3" borderId="11" xfId="1" applyNumberFormat="1" applyFont="1" applyFill="1" applyBorder="1"/>
    <xf numFmtId="10" fontId="0" fillId="9" borderId="1" xfId="0" applyNumberFormat="1" applyFill="1" applyBorder="1"/>
    <xf numFmtId="169" fontId="29" fillId="0" borderId="0" xfId="0" applyNumberFormat="1" applyFont="1"/>
    <xf numFmtId="14" fontId="29" fillId="0" borderId="1" xfId="0" applyNumberFormat="1" applyFont="1" applyBorder="1"/>
    <xf numFmtId="165" fontId="0" fillId="9" borderId="1" xfId="0" applyNumberFormat="1" applyFill="1" applyBorder="1"/>
    <xf numFmtId="3" fontId="15" fillId="2" borderId="0" xfId="0" applyNumberFormat="1" applyFont="1" applyFill="1" applyBorder="1" applyAlignment="1">
      <alignment vertical="center"/>
    </xf>
    <xf numFmtId="165" fontId="5" fillId="2" borderId="0" xfId="1" applyNumberFormat="1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169" fontId="29" fillId="0" borderId="0" xfId="0" applyNumberFormat="1" applyFont="1" applyAlignment="1">
      <alignment horizontal="center"/>
    </xf>
    <xf numFmtId="14" fontId="0" fillId="9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6" fontId="2" fillId="4" borderId="1" xfId="0" applyNumberFormat="1" applyFont="1" applyFill="1" applyBorder="1" applyAlignment="1">
      <alignment horizontal="center"/>
    </xf>
    <xf numFmtId="14" fontId="29" fillId="0" borderId="0" xfId="0" applyNumberFormat="1" applyFont="1" applyBorder="1"/>
    <xf numFmtId="14" fontId="29" fillId="0" borderId="0" xfId="0" applyNumberFormat="1" applyFont="1"/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top"/>
    </xf>
    <xf numFmtId="3" fontId="15" fillId="2" borderId="0" xfId="0" applyNumberFormat="1" applyFont="1" applyFill="1" applyBorder="1" applyAlignment="1">
      <alignment horizontal="center" vertical="center"/>
    </xf>
    <xf numFmtId="165" fontId="5" fillId="2" borderId="0" xfId="1" applyNumberFormat="1" applyFont="1" applyFill="1" applyBorder="1" applyAlignment="1">
      <alignment horizontal="center" vertical="center"/>
    </xf>
    <xf numFmtId="0" fontId="3" fillId="4" borderId="5" xfId="2" applyFill="1" applyBorder="1" applyAlignment="1">
      <alignment horizontal="center" vertical="center"/>
    </xf>
    <xf numFmtId="0" fontId="3" fillId="4" borderId="6" xfId="2" applyFill="1" applyBorder="1" applyAlignment="1">
      <alignment horizontal="center" vertical="center"/>
    </xf>
    <xf numFmtId="0" fontId="3" fillId="4" borderId="1" xfId="2" applyFill="1" applyBorder="1" applyAlignment="1">
      <alignment horizontal="center" vertical="center"/>
    </xf>
    <xf numFmtId="0" fontId="18" fillId="4" borderId="2" xfId="0" applyNumberFormat="1" applyFont="1" applyFill="1" applyBorder="1" applyAlignment="1">
      <alignment horizontal="center" vertical="center" wrapText="1"/>
    </xf>
    <xf numFmtId="0" fontId="18" fillId="4" borderId="3" xfId="0" applyNumberFormat="1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3" fillId="4" borderId="2" xfId="0" applyNumberFormat="1" applyFont="1" applyFill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/>
    </xf>
    <xf numFmtId="0" fontId="3" fillId="4" borderId="7" xfId="2" applyFill="1" applyBorder="1" applyAlignment="1">
      <alignment horizontal="center" vertical="center"/>
    </xf>
    <xf numFmtId="0" fontId="3" fillId="4" borderId="13" xfId="2" applyFill="1" applyBorder="1" applyAlignment="1">
      <alignment horizontal="center" vertical="center"/>
    </xf>
    <xf numFmtId="0" fontId="3" fillId="4" borderId="14" xfId="2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23" fillId="4" borderId="2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2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 wrapText="1"/>
    </xf>
    <xf numFmtId="0" fontId="10" fillId="4" borderId="8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 wrapText="1"/>
    </xf>
    <xf numFmtId="0" fontId="12" fillId="4" borderId="14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0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0" fillId="4" borderId="1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10" fillId="0" borderId="4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1" fontId="0" fillId="4" borderId="5" xfId="0" applyNumberFormat="1" applyFill="1" applyBorder="1" applyAlignment="1">
      <alignment horizontal="center"/>
    </xf>
    <xf numFmtId="1" fontId="0" fillId="4" borderId="15" xfId="0" applyNumberFormat="1" applyFill="1" applyBorder="1" applyAlignment="1">
      <alignment horizontal="center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3" fillId="4" borderId="15" xfId="2" applyFill="1" applyBorder="1" applyAlignment="1">
      <alignment horizontal="center" vertical="center"/>
    </xf>
    <xf numFmtId="0" fontId="3" fillId="4" borderId="10" xfId="2" applyFill="1" applyBorder="1" applyAlignment="1">
      <alignment horizontal="center" vertical="center"/>
    </xf>
    <xf numFmtId="0" fontId="3" fillId="4" borderId="11" xfId="2" applyFill="1" applyBorder="1" applyAlignment="1">
      <alignment horizontal="center" vertical="center"/>
    </xf>
    <xf numFmtId="0" fontId="3" fillId="4" borderId="12" xfId="2" applyFill="1" applyBorder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/>
    </xf>
    <xf numFmtId="0" fontId="3" fillId="4" borderId="8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</cellXfs>
  <cellStyles count="4">
    <cellStyle name="Normal" xfId="0" builtinId="0"/>
    <cellStyle name="Normal 10 2" xfId="2"/>
    <cellStyle name="Porcentaje" xfId="1" builtinId="5"/>
    <cellStyle name="Porcentaje 2" xfId="3"/>
  </cellStyles>
  <dxfs count="10"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</dxfs>
  <tableStyles count="0" defaultTableStyle="TableStyleMedium2" defaultPivotStyle="PivotStyleLight16"/>
  <colors>
    <mruColors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9344107577103"/>
          <c:y val="1.1994949494949485E-2"/>
          <c:w val="0.70647419072615913"/>
          <c:h val="0.9880050505050505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prst="angle"/>
              <a:bevelB/>
            </a:sp3d>
          </c:spPr>
          <c:dPt>
            <c:idx val="0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2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3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4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5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6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7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8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9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0.14280148758834613"/>
                  <c:y val="5.004898155336163E-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D909BECE-C1A0-4863-9CF0-F37A5F092649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-0.15273533598268868"/>
                  <c:y val="-2.741211045802378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7A78C4BA-2E6D-4F70-A23A-C4BE14F52465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2"/>
              <c:layout>
                <c:manualLayout>
                  <c:x val="-0.1608644138918372"/>
                  <c:y val="-5.30964659347159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8F73B316-F5CA-4950-8C2E-8ED78B8CFC5F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5254650770534564"/>
                  <c:y val="-9.379505378729068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1EF711D-14AF-4ABF-822F-497F0D4BF95D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4"/>
              <c:layout>
                <c:manualLayout>
                  <c:x val="-0.12539184952978055"/>
                  <c:y val="-0.134976525821596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0B000B11-BF27-44EA-8428-E71773BB1BDA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5"/>
              <c:layout>
                <c:manualLayout>
                  <c:x val="-4.7021943573667714E-2"/>
                  <c:y val="-0.1643192488262910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2BCB6B96-EE56-484C-BA79-8BBB37467DEE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6"/>
              <c:layout>
                <c:manualLayout>
                  <c:x val="4.1797283176593425E-2"/>
                  <c:y val="-0.1584507042253521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612F28CF-53DF-4B91-8D99-823C1C78955C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7"/>
              <c:layout>
                <c:manualLayout>
                  <c:x val="6.7920585161964378E-2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2ABBFCE-C5E9-4D4D-9480-B07E73793841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8"/>
              <c:layout>
                <c:manualLayout>
                  <c:x val="0.1097178683385579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9AF704A2-E491-4EB0-A7DB-B359F2117F38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9"/>
              <c:layout>
                <c:manualLayout>
                  <c:x val="0.13584117032392895"/>
                  <c:y val="-0.1115023474178404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AECC3B7F-E28A-4230-B91F-B7E6A9B8C23D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</c:ext>
              </c:extLst>
            </c:dLbl>
            <c:spPr>
              <a:noFill/>
              <a:ln w="12700" cap="flat" cmpd="sng" algn="ctr">
                <a:noFill/>
                <a:round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solidFill>
                    <a:schemeClr val="lt1">
                      <a:alpha val="90000"/>
                    </a:schemeClr>
                  </a:solidFill>
                  <a:ln w="12700" cap="flat" cmpd="sng" algn="ctr">
                    <a:solidFill>
                      <a:schemeClr val="accent1"/>
                    </a:solidFill>
                    <a:round/>
                  </a:ln>
                </c15:spPr>
              </c:ext>
            </c:extLst>
          </c:dLbls>
          <c:cat>
            <c:numRef>
              <c:f>VELOCIMETRO!$A$3:$A$13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VELOCIMETRO!$B$3:$B$13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smoothMarker"/>
        <c:varyColors val="0"/>
        <c:ser>
          <c:idx val="1"/>
          <c:order val="1"/>
          <c:tx>
            <c:strRef>
              <c:f>VELOCIMETRO!$F$20</c:f>
              <c:strCache>
                <c:ptCount val="1"/>
                <c:pt idx="0">
                  <c:v>PUNTOS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VELOCIMETRO!$G$21:$G$22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VELOCIMETRO!$H$21:$H$22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30848"/>
        <c:axId val="382129280"/>
      </c:scatterChart>
      <c:valAx>
        <c:axId val="382129280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30848"/>
        <c:crossesAt val="0"/>
        <c:crossBetween val="midCat"/>
      </c:valAx>
      <c:valAx>
        <c:axId val="382130848"/>
        <c:scaling>
          <c:orientation val="minMax"/>
          <c:max val="1"/>
          <c:min val="-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2928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9344107577103"/>
          <c:y val="1.1994949494949485E-2"/>
          <c:w val="0.70647419072615913"/>
          <c:h val="0.9880050505050505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prst="angle"/>
              <a:bevelB/>
            </a:sp3d>
          </c:spPr>
          <c:dPt>
            <c:idx val="0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2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3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4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5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6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7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8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9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0.14280148758834613"/>
                  <c:y val="5.004898155336163E-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D909BECE-C1A0-4863-9CF0-F37A5F092649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-0.15273533598268868"/>
                  <c:y val="-2.741211045802378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7A78C4BA-2E6D-4F70-A23A-C4BE14F52465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2"/>
              <c:layout>
                <c:manualLayout>
                  <c:x val="-0.1608644138918372"/>
                  <c:y val="-5.30964659347159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8F73B316-F5CA-4950-8C2E-8ED78B8CFC5F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5254650770534564"/>
                  <c:y val="-9.379505378729068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1EF711D-14AF-4ABF-822F-497F0D4BF95D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4"/>
              <c:layout>
                <c:manualLayout>
                  <c:x val="-0.12539184952978055"/>
                  <c:y val="-0.134976525821596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0B000B11-BF27-44EA-8428-E71773BB1BDA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5"/>
              <c:layout>
                <c:manualLayout>
                  <c:x val="-4.7021943573667714E-2"/>
                  <c:y val="-0.1643192488262910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2BCB6B96-EE56-484C-BA79-8BBB37467DEE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6"/>
              <c:layout>
                <c:manualLayout>
                  <c:x val="4.1797283176593425E-2"/>
                  <c:y val="-0.1584507042253521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612F28CF-53DF-4B91-8D99-823C1C78955C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7"/>
              <c:layout>
                <c:manualLayout>
                  <c:x val="6.7920585161964378E-2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2ABBFCE-C5E9-4D4D-9480-B07E73793841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8"/>
              <c:layout>
                <c:manualLayout>
                  <c:x val="0.1097178683385579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9AF704A2-E491-4EB0-A7DB-B359F2117F38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9"/>
              <c:layout>
                <c:manualLayout>
                  <c:x val="0.13584117032392895"/>
                  <c:y val="-0.1115023474178404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AECC3B7F-E28A-4230-B91F-B7E6A9B8C23D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</c:ext>
              </c:extLst>
            </c:dLbl>
            <c:spPr>
              <a:noFill/>
              <a:ln w="12700" cap="flat" cmpd="sng" algn="ctr">
                <a:noFill/>
                <a:round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solidFill>
                    <a:schemeClr val="lt1">
                      <a:alpha val="90000"/>
                    </a:schemeClr>
                  </a:solidFill>
                  <a:ln w="12700" cap="flat" cmpd="sng" algn="ctr">
                    <a:solidFill>
                      <a:schemeClr val="accent1"/>
                    </a:solidFill>
                    <a:round/>
                  </a:ln>
                </c15:spPr>
              </c:ext>
            </c:extLst>
          </c:dLbls>
          <c:cat>
            <c:numRef>
              <c:f>VELOCIMETRO!$A$3:$A$13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VELOCIMETRO!$B$3:$B$13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smoothMarker"/>
        <c:varyColors val="0"/>
        <c:ser>
          <c:idx val="1"/>
          <c:order val="1"/>
          <c:tx>
            <c:strRef>
              <c:f>VELOCIMETRO!$A$20</c:f>
              <c:strCache>
                <c:ptCount val="1"/>
                <c:pt idx="0">
                  <c:v>PUNTOS</c:v>
                </c:pt>
              </c:strCache>
            </c:strRef>
          </c:tx>
          <c:spPr>
            <a:ln w="47625" cap="rnd">
              <a:solidFill>
                <a:schemeClr val="accent4">
                  <a:lumMod val="75000"/>
                </a:schemeClr>
              </a:solidFill>
              <a:round/>
              <a:headEnd type="oval" w="sm" len="sm"/>
              <a:tailEnd type="stealth" w="lg" len="lg"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chemeClr val="lt1"/>
                </a:solidFill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>
                  <a:solidFill>
                    <a:schemeClr val="lt1"/>
                  </a:solidFill>
                </a:ln>
                <a:effectLst/>
              </c:spPr>
            </c:marker>
            <c:bubble3D val="0"/>
            <c:spPr>
              <a:ln w="47625" cap="rnd">
                <a:solidFill>
                  <a:schemeClr val="accent4">
                    <a:lumMod val="75000"/>
                  </a:schemeClr>
                </a:solidFill>
                <a:round/>
                <a:headEnd type="oval" w="sm" len="sm"/>
                <a:tailEnd type="stealth" w="lg" len="lg"/>
              </a:ln>
              <a:effectLst/>
            </c:spPr>
          </c:dPt>
          <c:xVal>
            <c:numRef>
              <c:f>VELOCIMETRO!$B$21:$B$22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VELOCIMETRO!$C$21:$C$22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32024"/>
        <c:axId val="382131632"/>
      </c:scatterChart>
      <c:valAx>
        <c:axId val="382131632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32024"/>
        <c:crossesAt val="0"/>
        <c:crossBetween val="midCat"/>
      </c:valAx>
      <c:valAx>
        <c:axId val="382132024"/>
        <c:scaling>
          <c:orientation val="minMax"/>
          <c:max val="1"/>
          <c:min val="-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3163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9344107577103"/>
          <c:y val="1.1994949494949485E-2"/>
          <c:w val="0.70647419072615913"/>
          <c:h val="0.9880050505050505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prst="angle"/>
              <a:bevelB/>
            </a:sp3d>
          </c:spPr>
          <c:dPt>
            <c:idx val="0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2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3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4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5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6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7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8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9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0.14280148758834613"/>
                  <c:y val="5.004898155336163E-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D909BECE-C1A0-4863-9CF0-F37A5F092649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-0.15273533598268868"/>
                  <c:y val="-2.741211045802378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7A78C4BA-2E6D-4F70-A23A-C4BE14F52465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2"/>
              <c:layout>
                <c:manualLayout>
                  <c:x val="-0.1608644138918372"/>
                  <c:y val="-5.30964659347159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8F73B316-F5CA-4950-8C2E-8ED78B8CFC5F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5254650770534564"/>
                  <c:y val="-9.379505378729068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1EF711D-14AF-4ABF-822F-497F0D4BF95D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4"/>
              <c:layout>
                <c:manualLayout>
                  <c:x val="-0.12539184952978055"/>
                  <c:y val="-0.134976525821596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0B000B11-BF27-44EA-8428-E71773BB1BDA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5"/>
              <c:layout>
                <c:manualLayout>
                  <c:x val="-4.7021943573667714E-2"/>
                  <c:y val="-0.1643192488262910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2BCB6B96-EE56-484C-BA79-8BBB37467DEE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6"/>
              <c:layout>
                <c:manualLayout>
                  <c:x val="4.1797283176593425E-2"/>
                  <c:y val="-0.1584507042253521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612F28CF-53DF-4B91-8D99-823C1C78955C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7"/>
              <c:layout>
                <c:manualLayout>
                  <c:x val="6.7920585161964378E-2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2ABBFCE-C5E9-4D4D-9480-B07E73793841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8"/>
              <c:layout>
                <c:manualLayout>
                  <c:x val="0.1097178683385579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9AF704A2-E491-4EB0-A7DB-B359F2117F38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9"/>
              <c:layout>
                <c:manualLayout>
                  <c:x val="0.13584117032392895"/>
                  <c:y val="-0.1115023474178404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AECC3B7F-E28A-4230-B91F-B7E6A9B8C23D}" type="CATEGORYNAME">
                      <a:rPr lang="en-US"/>
                      <a:pPr>
                        <a:defRPr sz="8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</c:ext>
              </c:extLst>
            </c:dLbl>
            <c:spPr>
              <a:noFill/>
              <a:ln w="12700" cap="flat" cmpd="sng" algn="ctr">
                <a:noFill/>
                <a:round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solidFill>
                    <a:schemeClr val="lt1">
                      <a:alpha val="90000"/>
                    </a:schemeClr>
                  </a:solidFill>
                  <a:ln w="12700" cap="flat" cmpd="sng" algn="ctr">
                    <a:solidFill>
                      <a:schemeClr val="accent1"/>
                    </a:solidFill>
                    <a:round/>
                  </a:ln>
                </c15:spPr>
              </c:ext>
            </c:extLst>
          </c:dLbls>
          <c:cat>
            <c:numRef>
              <c:f>VELOCIMETRO!$A$3:$A$13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VELOCIMETRO!$B$3:$B$13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smoothMarker"/>
        <c:varyColors val="0"/>
        <c:ser>
          <c:idx val="1"/>
          <c:order val="1"/>
          <c:tx>
            <c:strRef>
              <c:f>VELOCIMETRO!$K$20</c:f>
              <c:strCache>
                <c:ptCount val="1"/>
                <c:pt idx="0">
                  <c:v>PUNTOS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VELOCIMETRO!$L$21:$L$22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VELOCIMETRO!$M$21:$M$22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35160"/>
        <c:axId val="382138296"/>
      </c:scatterChart>
      <c:valAx>
        <c:axId val="382138296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35160"/>
        <c:crossesAt val="0"/>
        <c:crossBetween val="midCat"/>
      </c:valAx>
      <c:valAx>
        <c:axId val="382135160"/>
        <c:scaling>
          <c:orientation val="minMax"/>
          <c:max val="1"/>
          <c:min val="-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3829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rgbClr val="C00000"/>
                </a:solidFill>
              </a:rPr>
              <a:t>Avance Diario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PORVENDEDOR!$R$34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PORVENDEDOR!$S$33:$AW$33</c:f>
              <c:numCache>
                <c:formatCode>d\-mmm</c:formatCode>
                <c:ptCount val="31"/>
                <c:pt idx="0">
                  <c:v>42125</c:v>
                </c:pt>
                <c:pt idx="1">
                  <c:v>42126</c:v>
                </c:pt>
                <c:pt idx="2">
                  <c:v>42127</c:v>
                </c:pt>
                <c:pt idx="3">
                  <c:v>42128</c:v>
                </c:pt>
                <c:pt idx="4">
                  <c:v>42129</c:v>
                </c:pt>
                <c:pt idx="5">
                  <c:v>42130</c:v>
                </c:pt>
                <c:pt idx="6">
                  <c:v>42131</c:v>
                </c:pt>
                <c:pt idx="7">
                  <c:v>42132</c:v>
                </c:pt>
                <c:pt idx="8">
                  <c:v>42133</c:v>
                </c:pt>
                <c:pt idx="9">
                  <c:v>42134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42140</c:v>
                </c:pt>
                <c:pt idx="16">
                  <c:v>42141</c:v>
                </c:pt>
                <c:pt idx="17">
                  <c:v>42142</c:v>
                </c:pt>
                <c:pt idx="18">
                  <c:v>42143</c:v>
                </c:pt>
                <c:pt idx="19">
                  <c:v>42144</c:v>
                </c:pt>
                <c:pt idx="20">
                  <c:v>42145</c:v>
                </c:pt>
                <c:pt idx="21">
                  <c:v>42146</c:v>
                </c:pt>
                <c:pt idx="22">
                  <c:v>42147</c:v>
                </c:pt>
                <c:pt idx="23">
                  <c:v>42148</c:v>
                </c:pt>
                <c:pt idx="24">
                  <c:v>42149</c:v>
                </c:pt>
                <c:pt idx="25">
                  <c:v>42150</c:v>
                </c:pt>
                <c:pt idx="26">
                  <c:v>42151</c:v>
                </c:pt>
                <c:pt idx="27">
                  <c:v>42152</c:v>
                </c:pt>
                <c:pt idx="28">
                  <c:v>42153</c:v>
                </c:pt>
                <c:pt idx="29">
                  <c:v>42154</c:v>
                </c:pt>
                <c:pt idx="30">
                  <c:v>42155</c:v>
                </c:pt>
              </c:numCache>
            </c:numRef>
          </c:cat>
          <c:val>
            <c:numRef>
              <c:f>PORVENDEDOR!$S$34:$AW$34</c:f>
              <c:numCache>
                <c:formatCode>#,##0_ ;[Red]\-#,##0\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PORVENDEDOR!$R$35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PORVENDEDOR!$S$33:$AW$33</c:f>
              <c:numCache>
                <c:formatCode>d\-mmm</c:formatCode>
                <c:ptCount val="31"/>
                <c:pt idx="0">
                  <c:v>42125</c:v>
                </c:pt>
                <c:pt idx="1">
                  <c:v>42126</c:v>
                </c:pt>
                <c:pt idx="2">
                  <c:v>42127</c:v>
                </c:pt>
                <c:pt idx="3">
                  <c:v>42128</c:v>
                </c:pt>
                <c:pt idx="4">
                  <c:v>42129</c:v>
                </c:pt>
                <c:pt idx="5">
                  <c:v>42130</c:v>
                </c:pt>
                <c:pt idx="6">
                  <c:v>42131</c:v>
                </c:pt>
                <c:pt idx="7">
                  <c:v>42132</c:v>
                </c:pt>
                <c:pt idx="8">
                  <c:v>42133</c:v>
                </c:pt>
                <c:pt idx="9">
                  <c:v>42134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42140</c:v>
                </c:pt>
                <c:pt idx="16">
                  <c:v>42141</c:v>
                </c:pt>
                <c:pt idx="17">
                  <c:v>42142</c:v>
                </c:pt>
                <c:pt idx="18">
                  <c:v>42143</c:v>
                </c:pt>
                <c:pt idx="19">
                  <c:v>42144</c:v>
                </c:pt>
                <c:pt idx="20">
                  <c:v>42145</c:v>
                </c:pt>
                <c:pt idx="21">
                  <c:v>42146</c:v>
                </c:pt>
                <c:pt idx="22">
                  <c:v>42147</c:v>
                </c:pt>
                <c:pt idx="23">
                  <c:v>42148</c:v>
                </c:pt>
                <c:pt idx="24">
                  <c:v>42149</c:v>
                </c:pt>
                <c:pt idx="25">
                  <c:v>42150</c:v>
                </c:pt>
                <c:pt idx="26">
                  <c:v>42151</c:v>
                </c:pt>
                <c:pt idx="27">
                  <c:v>42152</c:v>
                </c:pt>
                <c:pt idx="28">
                  <c:v>42153</c:v>
                </c:pt>
                <c:pt idx="29">
                  <c:v>42154</c:v>
                </c:pt>
                <c:pt idx="30">
                  <c:v>42155</c:v>
                </c:pt>
              </c:numCache>
            </c:numRef>
          </c:cat>
          <c:val>
            <c:numRef>
              <c:f>PORVENDEDOR!$S$35:$AW$35</c:f>
              <c:numCache>
                <c:formatCode>#,##0_ ;[Red]\-#,##0\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PORVENDEDOR!$R$36</c:f>
              <c:strCache>
                <c:ptCount val="1"/>
                <c:pt idx="0">
                  <c:v>Diario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PORVENDEDOR!$S$33:$AW$33</c:f>
              <c:numCache>
                <c:formatCode>d\-mmm</c:formatCode>
                <c:ptCount val="31"/>
                <c:pt idx="0">
                  <c:v>42125</c:v>
                </c:pt>
                <c:pt idx="1">
                  <c:v>42126</c:v>
                </c:pt>
                <c:pt idx="2">
                  <c:v>42127</c:v>
                </c:pt>
                <c:pt idx="3">
                  <c:v>42128</c:v>
                </c:pt>
                <c:pt idx="4">
                  <c:v>42129</c:v>
                </c:pt>
                <c:pt idx="5">
                  <c:v>42130</c:v>
                </c:pt>
                <c:pt idx="6">
                  <c:v>42131</c:v>
                </c:pt>
                <c:pt idx="7">
                  <c:v>42132</c:v>
                </c:pt>
                <c:pt idx="8">
                  <c:v>42133</c:v>
                </c:pt>
                <c:pt idx="9">
                  <c:v>42134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42140</c:v>
                </c:pt>
                <c:pt idx="16">
                  <c:v>42141</c:v>
                </c:pt>
                <c:pt idx="17">
                  <c:v>42142</c:v>
                </c:pt>
                <c:pt idx="18">
                  <c:v>42143</c:v>
                </c:pt>
                <c:pt idx="19">
                  <c:v>42144</c:v>
                </c:pt>
                <c:pt idx="20">
                  <c:v>42145</c:v>
                </c:pt>
                <c:pt idx="21">
                  <c:v>42146</c:v>
                </c:pt>
                <c:pt idx="22">
                  <c:v>42147</c:v>
                </c:pt>
                <c:pt idx="23">
                  <c:v>42148</c:v>
                </c:pt>
                <c:pt idx="24">
                  <c:v>42149</c:v>
                </c:pt>
                <c:pt idx="25">
                  <c:v>42150</c:v>
                </c:pt>
                <c:pt idx="26">
                  <c:v>42151</c:v>
                </c:pt>
                <c:pt idx="27">
                  <c:v>42152</c:v>
                </c:pt>
                <c:pt idx="28">
                  <c:v>42153</c:v>
                </c:pt>
                <c:pt idx="29">
                  <c:v>42154</c:v>
                </c:pt>
                <c:pt idx="30">
                  <c:v>42155</c:v>
                </c:pt>
              </c:numCache>
            </c:numRef>
          </c:cat>
          <c:val>
            <c:numRef>
              <c:f>PORVENDEDOR!$S$36:$AW$36</c:f>
              <c:numCache>
                <c:formatCode>#,##0_ ;[Red]\-#,##0\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137120"/>
        <c:axId val="382136728"/>
      </c:lineChart>
      <c:dateAx>
        <c:axId val="38213712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2136728"/>
        <c:crosses val="autoZero"/>
        <c:auto val="1"/>
        <c:lblOffset val="100"/>
        <c:baseTimeUnit val="days"/>
      </c:dateAx>
      <c:valAx>
        <c:axId val="38213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213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/>
      </a:solidFill>
      <a:prstDash val="sysDash"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9344107577103"/>
          <c:y val="1.1994949494949485E-2"/>
          <c:w val="0.70647419072615913"/>
          <c:h val="0.9880050505050505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prst="angle"/>
              <a:bevelB/>
            </a:sp3d>
          </c:spPr>
          <c:dPt>
            <c:idx val="0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2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3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4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5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6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7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8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9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0.14280148758834613"/>
                  <c:y val="5.004898155336163E-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D909BECE-C1A0-4863-9CF0-F37A5F092649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-0.15273533598268868"/>
                  <c:y val="-2.741211045802378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7A78C4BA-2E6D-4F70-A23A-C4BE14F52465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2"/>
              <c:layout>
                <c:manualLayout>
                  <c:x val="-0.1608644138918372"/>
                  <c:y val="-5.30964659347159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8F73B316-F5CA-4950-8C2E-8ED78B8CFC5F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5254650770534564"/>
                  <c:y val="-9.379505378729068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1EF711D-14AF-4ABF-822F-497F0D4BF95D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4"/>
              <c:layout>
                <c:manualLayout>
                  <c:x val="-0.12539184952978055"/>
                  <c:y val="-0.134976525821596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0B000B11-BF27-44EA-8428-E71773BB1BDA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5"/>
              <c:layout>
                <c:manualLayout>
                  <c:x val="-4.7021943573667714E-2"/>
                  <c:y val="-0.1643192488262910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2BCB6B96-EE56-484C-BA79-8BBB37467DEE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6"/>
              <c:layout>
                <c:manualLayout>
                  <c:x val="4.1797283176593425E-2"/>
                  <c:y val="-0.1584507042253521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612F28CF-53DF-4B91-8D99-823C1C78955C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7"/>
              <c:layout>
                <c:manualLayout>
                  <c:x val="6.7920585161964378E-2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2ABBFCE-C5E9-4D4D-9480-B07E73793841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8"/>
              <c:layout>
                <c:manualLayout>
                  <c:x val="0.1097178683385579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9AF704A2-E491-4EB0-A7DB-B359F2117F38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9"/>
              <c:layout>
                <c:manualLayout>
                  <c:x val="0.13584117032392895"/>
                  <c:y val="-0.1115023474178404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AECC3B7F-E28A-4230-B91F-B7E6A9B8C23D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</c:ext>
              </c:extLst>
            </c:dLbl>
            <c:spPr>
              <a:noFill/>
              <a:ln w="12700" cap="flat" cmpd="sng" algn="ctr">
                <a:noFill/>
                <a:round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solidFill>
                    <a:schemeClr val="lt1">
                      <a:alpha val="90000"/>
                    </a:schemeClr>
                  </a:solidFill>
                  <a:ln w="12700" cap="flat" cmpd="sng" algn="ctr">
                    <a:solidFill>
                      <a:schemeClr val="accent1"/>
                    </a:solidFill>
                    <a:round/>
                  </a:ln>
                </c15:spPr>
              </c:ext>
            </c:extLst>
          </c:dLbls>
          <c:cat>
            <c:numRef>
              <c:f>VELOCIMETRO!$A$3:$A$13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VELOCIMETRO!$B$3:$B$13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smoothMarker"/>
        <c:varyColors val="0"/>
        <c:ser>
          <c:idx val="1"/>
          <c:order val="1"/>
          <c:tx>
            <c:strRef>
              <c:f>VELOCIMETRO!$F$47</c:f>
              <c:strCache>
                <c:ptCount val="1"/>
                <c:pt idx="0">
                  <c:v>PUNTOS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VELOCIMETRO!$G$48:$G$49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VELOCIMETRO!$H$48:$H$49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36336"/>
        <c:axId val="382135944"/>
      </c:scatterChart>
      <c:valAx>
        <c:axId val="382135944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36336"/>
        <c:crossesAt val="0"/>
        <c:crossBetween val="midCat"/>
      </c:valAx>
      <c:valAx>
        <c:axId val="382136336"/>
        <c:scaling>
          <c:orientation val="minMax"/>
          <c:max val="1"/>
          <c:min val="-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213594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9344107577103"/>
          <c:y val="1.1994949494949485E-2"/>
          <c:w val="0.70647419072615913"/>
          <c:h val="0.9880050505050505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prst="angle"/>
              <a:bevelB/>
            </a:sp3d>
          </c:spPr>
          <c:dPt>
            <c:idx val="0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"/>
            <c:bubble3D val="0"/>
            <c:spPr>
              <a:solidFill>
                <a:srgbClr val="C0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2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3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4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5"/>
            <c:bubble3D val="0"/>
            <c:spPr>
              <a:solidFill>
                <a:srgbClr val="FFC0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6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7"/>
            <c:bubble3D val="0"/>
            <c:spPr>
              <a:solidFill>
                <a:srgbClr val="FFFF0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8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9"/>
            <c:bubble3D val="0"/>
            <c:spPr>
              <a:solidFill>
                <a:srgbClr val="00B050">
                  <a:alpha val="70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  <a:bevelB/>
              </a:sp3d>
            </c:spPr>
          </c:dPt>
          <c:dPt>
            <c:idx val="10"/>
            <c:bubble3D val="0"/>
            <c:spPr>
              <a:noFill/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0.14280148758834613"/>
                  <c:y val="5.004898155336163E-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D909BECE-C1A0-4863-9CF0-F37A5F092649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-0.15273533598268868"/>
                  <c:y val="-2.741211045802378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7A78C4BA-2E6D-4F70-A23A-C4BE14F52465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2"/>
              <c:layout>
                <c:manualLayout>
                  <c:x val="-0.1608644138918372"/>
                  <c:y val="-5.30964659347159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8F73B316-F5CA-4950-8C2E-8ED78B8CFC5F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5254650770534564"/>
                  <c:y val="-9.379505378729068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1EF711D-14AF-4ABF-822F-497F0D4BF95D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4"/>
              <c:layout>
                <c:manualLayout>
                  <c:x val="-0.12539184952978055"/>
                  <c:y val="-0.134976525821596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0B000B11-BF27-44EA-8428-E71773BB1BDA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5"/>
              <c:layout>
                <c:manualLayout>
                  <c:x val="-4.7021943573667714E-2"/>
                  <c:y val="-0.1643192488262910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2BCB6B96-EE56-484C-BA79-8BBB37467DEE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6"/>
              <c:layout>
                <c:manualLayout>
                  <c:x val="4.1797283176593425E-2"/>
                  <c:y val="-0.1584507042253521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612F28CF-53DF-4B91-8D99-823C1C78955C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7"/>
              <c:layout>
                <c:manualLayout>
                  <c:x val="6.7920585161964378E-2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2ABBFCE-C5E9-4D4D-9480-B07E73793841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8"/>
              <c:layout>
                <c:manualLayout>
                  <c:x val="0.1097178683385579"/>
                  <c:y val="-0.14084507042253525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9AF704A2-E491-4EB0-A7DB-B359F2117F38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9"/>
              <c:layout>
                <c:manualLayout>
                  <c:x val="0.13584117032392895"/>
                  <c:y val="-0.11150234741784043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AECC3B7F-E28A-4230-B91F-B7E6A9B8C23D}" type="CATEGORYNAME">
                      <a:rPr lang="en-US" sz="900"/>
                      <a:pPr>
                        <a:defRPr sz="900">
                          <a:solidFill>
                            <a:sysClr val="windowText" lastClr="000000"/>
                          </a:solidFill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noFill/>
                <a:ln w="12700" cap="flat" cmpd="sng" algn="ctr">
                  <a:noFill/>
                  <a:round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  <c15:dlblFieldTable/>
                  <c15:showDataLabelsRange val="0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solidFill>
                      <a:schemeClr val="lt1">
                        <a:alpha val="90000"/>
                      </a:schemeClr>
                    </a:solidFill>
                    <a:ln w="12700" cap="flat" cmpd="sng" algn="ctr">
                      <a:solidFill>
                        <a:schemeClr val="accent1"/>
                      </a:solidFill>
                      <a:round/>
                    </a:ln>
                  </c15:spPr>
                  <c15:layout/>
                </c:ext>
              </c:extLst>
            </c:dLbl>
            <c:spPr>
              <a:noFill/>
              <a:ln w="12700" cap="flat" cmpd="sng" algn="ctr">
                <a:noFill/>
                <a:round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solidFill>
                    <a:schemeClr val="lt1">
                      <a:alpha val="90000"/>
                    </a:schemeClr>
                  </a:solidFill>
                  <a:ln w="12700" cap="flat" cmpd="sng" algn="ctr">
                    <a:solidFill>
                      <a:schemeClr val="accent1"/>
                    </a:solidFill>
                    <a:round/>
                  </a:ln>
                </c15:spPr>
              </c:ext>
            </c:extLst>
          </c:dLbls>
          <c:cat>
            <c:numRef>
              <c:f>VELOCIMETRO!$A$3:$A$13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VELOCIMETRO!$B$3:$B$13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smoothMarker"/>
        <c:varyColors val="0"/>
        <c:ser>
          <c:idx val="1"/>
          <c:order val="1"/>
          <c:tx>
            <c:strRef>
              <c:f>VELOCIMETRO!$A$47</c:f>
              <c:strCache>
                <c:ptCount val="1"/>
                <c:pt idx="0">
                  <c:v>PUNTOS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VELOCIMETRO!$B$48:$B$49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VELOCIMETRO!$C$48:$C$49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461264"/>
        <c:axId val="387458128"/>
      </c:scatterChart>
      <c:valAx>
        <c:axId val="387458128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7461264"/>
        <c:crossesAt val="0"/>
        <c:crossBetween val="midCat"/>
      </c:valAx>
      <c:valAx>
        <c:axId val="387461264"/>
        <c:scaling>
          <c:orientation val="minMax"/>
          <c:max val="1"/>
          <c:min val="-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8745812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s-PE" sz="1200" b="1">
                <a:solidFill>
                  <a:srgbClr val="C00000"/>
                </a:solidFill>
              </a:rPr>
              <a:t>Sistema de Venta - Facturado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688840237178398E-2"/>
          <c:y val="0.23045317615653227"/>
          <c:w val="0.98731115976282158"/>
          <c:h val="0.5794627328017888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dLbl>
              <c:idx val="0"/>
              <c:layout>
                <c:manualLayout>
                  <c:x val="0.1189033374083277"/>
                  <c:y val="1.76801114287216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2204400431110552"/>
                  <c:y val="1.12616391666296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PORVENDEDOR!$AT$8:$AV$8</c:f>
              <c:strCache>
                <c:ptCount val="3"/>
                <c:pt idx="0">
                  <c:v>Contado</c:v>
                </c:pt>
                <c:pt idx="1">
                  <c:v>Letra</c:v>
                </c:pt>
                <c:pt idx="2">
                  <c:v>Factura</c:v>
                </c:pt>
              </c:strCache>
            </c:strRef>
          </c:cat>
          <c:val>
            <c:numRef>
              <c:f>PORVENDEDOR!$AT$9:$AV$9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5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99"/>
    </a:solidFill>
    <a:ln w="12700" cap="flat" cmpd="sng" algn="ctr">
      <a:noFill/>
      <a:prstDash val="solid"/>
      <a:miter lim="800000"/>
    </a:ln>
    <a:effectLst>
      <a:outerShdw blurRad="50800" dist="38100" dir="2700000" algn="tl" rotWithShape="0">
        <a:prstClr val="black">
          <a:alpha val="40000"/>
        </a:prstClr>
      </a:outerShdw>
    </a:effectLst>
    <a:scene3d>
      <a:camera prst="orthographicFront"/>
      <a:lightRig rig="threePt" dir="t"/>
    </a:scene3d>
    <a:sp3d>
      <a:bevelT/>
    </a:sp3d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s-PE" sz="1200" b="1">
                <a:solidFill>
                  <a:srgbClr val="C00000"/>
                </a:solidFill>
              </a:rPr>
              <a:t>Sistema de Venta - Pedido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251710519474818E-3"/>
          <c:y val="0.22963050384679176"/>
          <c:w val="0.99707482894805255"/>
          <c:h val="0.5890120826262806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PORVENDEDOR!$AT$8:$AV$8</c:f>
              <c:strCache>
                <c:ptCount val="3"/>
                <c:pt idx="0">
                  <c:v>Contado</c:v>
                </c:pt>
                <c:pt idx="1">
                  <c:v>Letra</c:v>
                </c:pt>
                <c:pt idx="2">
                  <c:v>Factura</c:v>
                </c:pt>
              </c:strCache>
            </c:strRef>
          </c:cat>
          <c:val>
            <c:numRef>
              <c:f>PORVENDEDOR!$AT$10:$AV$10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99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rgbClr val="C00000"/>
                </a:solidFill>
              </a:rPr>
              <a:t>Visitas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PORVENDEDOR!$R$52</c:f>
              <c:strCache>
                <c:ptCount val="1"/>
                <c:pt idx="0">
                  <c:v>Programadas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PORVENDEDOR!$S$51:$AW$51</c:f>
              <c:numCache>
                <c:formatCode>d\-mmm</c:formatCode>
                <c:ptCount val="31"/>
                <c:pt idx="0">
                  <c:v>42125</c:v>
                </c:pt>
                <c:pt idx="1">
                  <c:v>42126</c:v>
                </c:pt>
                <c:pt idx="2">
                  <c:v>42127</c:v>
                </c:pt>
                <c:pt idx="3">
                  <c:v>42128</c:v>
                </c:pt>
                <c:pt idx="4">
                  <c:v>42129</c:v>
                </c:pt>
                <c:pt idx="5">
                  <c:v>42130</c:v>
                </c:pt>
                <c:pt idx="6">
                  <c:v>42131</c:v>
                </c:pt>
                <c:pt idx="7">
                  <c:v>42132</c:v>
                </c:pt>
                <c:pt idx="8">
                  <c:v>42133</c:v>
                </c:pt>
                <c:pt idx="9">
                  <c:v>42134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42140</c:v>
                </c:pt>
                <c:pt idx="16">
                  <c:v>42141</c:v>
                </c:pt>
                <c:pt idx="17">
                  <c:v>42142</c:v>
                </c:pt>
                <c:pt idx="18">
                  <c:v>42143</c:v>
                </c:pt>
                <c:pt idx="19">
                  <c:v>42144</c:v>
                </c:pt>
                <c:pt idx="20">
                  <c:v>42145</c:v>
                </c:pt>
                <c:pt idx="21">
                  <c:v>42146</c:v>
                </c:pt>
                <c:pt idx="22">
                  <c:v>42147</c:v>
                </c:pt>
                <c:pt idx="23">
                  <c:v>42148</c:v>
                </c:pt>
                <c:pt idx="24">
                  <c:v>42149</c:v>
                </c:pt>
                <c:pt idx="25">
                  <c:v>42150</c:v>
                </c:pt>
                <c:pt idx="26">
                  <c:v>42151</c:v>
                </c:pt>
                <c:pt idx="27">
                  <c:v>42152</c:v>
                </c:pt>
                <c:pt idx="28">
                  <c:v>42153</c:v>
                </c:pt>
                <c:pt idx="29">
                  <c:v>42154</c:v>
                </c:pt>
                <c:pt idx="30">
                  <c:v>42155</c:v>
                </c:pt>
              </c:numCache>
            </c:numRef>
          </c:cat>
          <c:val>
            <c:numRef>
              <c:f>PORVENDEDOR!$S$52:$AW$52</c:f>
              <c:numCache>
                <c:formatCode>#,##0_ ;[Red]\-#,##0\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PORVENDEDOR!$R$53</c:f>
              <c:strCache>
                <c:ptCount val="1"/>
                <c:pt idx="0">
                  <c:v>Ejecutadas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PORVENDEDOR!$S$51:$AW$51</c:f>
              <c:numCache>
                <c:formatCode>d\-mmm</c:formatCode>
                <c:ptCount val="31"/>
                <c:pt idx="0">
                  <c:v>42125</c:v>
                </c:pt>
                <c:pt idx="1">
                  <c:v>42126</c:v>
                </c:pt>
                <c:pt idx="2">
                  <c:v>42127</c:v>
                </c:pt>
                <c:pt idx="3">
                  <c:v>42128</c:v>
                </c:pt>
                <c:pt idx="4">
                  <c:v>42129</c:v>
                </c:pt>
                <c:pt idx="5">
                  <c:v>42130</c:v>
                </c:pt>
                <c:pt idx="6">
                  <c:v>42131</c:v>
                </c:pt>
                <c:pt idx="7">
                  <c:v>42132</c:v>
                </c:pt>
                <c:pt idx="8">
                  <c:v>42133</c:v>
                </c:pt>
                <c:pt idx="9">
                  <c:v>42134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42140</c:v>
                </c:pt>
                <c:pt idx="16">
                  <c:v>42141</c:v>
                </c:pt>
                <c:pt idx="17">
                  <c:v>42142</c:v>
                </c:pt>
                <c:pt idx="18">
                  <c:v>42143</c:v>
                </c:pt>
                <c:pt idx="19">
                  <c:v>42144</c:v>
                </c:pt>
                <c:pt idx="20">
                  <c:v>42145</c:v>
                </c:pt>
                <c:pt idx="21">
                  <c:v>42146</c:v>
                </c:pt>
                <c:pt idx="22">
                  <c:v>42147</c:v>
                </c:pt>
                <c:pt idx="23">
                  <c:v>42148</c:v>
                </c:pt>
                <c:pt idx="24">
                  <c:v>42149</c:v>
                </c:pt>
                <c:pt idx="25">
                  <c:v>42150</c:v>
                </c:pt>
                <c:pt idx="26">
                  <c:v>42151</c:v>
                </c:pt>
                <c:pt idx="27">
                  <c:v>42152</c:v>
                </c:pt>
                <c:pt idx="28">
                  <c:v>42153</c:v>
                </c:pt>
                <c:pt idx="29">
                  <c:v>42154</c:v>
                </c:pt>
                <c:pt idx="30">
                  <c:v>42155</c:v>
                </c:pt>
              </c:numCache>
            </c:numRef>
          </c:cat>
          <c:val>
            <c:numRef>
              <c:f>PORVENDEDOR!$S$53:$AW$53</c:f>
              <c:numCache>
                <c:formatCode>#,##0_ ;[Red]\-#,##0\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PORVENDEDOR!$R$54</c:f>
              <c:strCache>
                <c:ptCount val="1"/>
                <c:pt idx="0">
                  <c:v>Visitas sin programar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PORVENDEDOR!$S$51:$AW$51</c:f>
              <c:numCache>
                <c:formatCode>d\-mmm</c:formatCode>
                <c:ptCount val="31"/>
                <c:pt idx="0">
                  <c:v>42125</c:v>
                </c:pt>
                <c:pt idx="1">
                  <c:v>42126</c:v>
                </c:pt>
                <c:pt idx="2">
                  <c:v>42127</c:v>
                </c:pt>
                <c:pt idx="3">
                  <c:v>42128</c:v>
                </c:pt>
                <c:pt idx="4">
                  <c:v>42129</c:v>
                </c:pt>
                <c:pt idx="5">
                  <c:v>42130</c:v>
                </c:pt>
                <c:pt idx="6">
                  <c:v>42131</c:v>
                </c:pt>
                <c:pt idx="7">
                  <c:v>42132</c:v>
                </c:pt>
                <c:pt idx="8">
                  <c:v>42133</c:v>
                </c:pt>
                <c:pt idx="9">
                  <c:v>42134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42140</c:v>
                </c:pt>
                <c:pt idx="16">
                  <c:v>42141</c:v>
                </c:pt>
                <c:pt idx="17">
                  <c:v>42142</c:v>
                </c:pt>
                <c:pt idx="18">
                  <c:v>42143</c:v>
                </c:pt>
                <c:pt idx="19">
                  <c:v>42144</c:v>
                </c:pt>
                <c:pt idx="20">
                  <c:v>42145</c:v>
                </c:pt>
                <c:pt idx="21">
                  <c:v>42146</c:v>
                </c:pt>
                <c:pt idx="22">
                  <c:v>42147</c:v>
                </c:pt>
                <c:pt idx="23">
                  <c:v>42148</c:v>
                </c:pt>
                <c:pt idx="24">
                  <c:v>42149</c:v>
                </c:pt>
                <c:pt idx="25">
                  <c:v>42150</c:v>
                </c:pt>
                <c:pt idx="26">
                  <c:v>42151</c:v>
                </c:pt>
                <c:pt idx="27">
                  <c:v>42152</c:v>
                </c:pt>
                <c:pt idx="28">
                  <c:v>42153</c:v>
                </c:pt>
                <c:pt idx="29">
                  <c:v>42154</c:v>
                </c:pt>
                <c:pt idx="30">
                  <c:v>42155</c:v>
                </c:pt>
              </c:numCache>
            </c:numRef>
          </c:cat>
          <c:val>
            <c:numRef>
              <c:f>PORVENDEDOR!$S$54:$AW$54</c:f>
              <c:numCache>
                <c:formatCode>#,##0_ ;[Red]\-#,##0\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PORVENDEDOR!$R$55</c:f>
              <c:strCache>
                <c:ptCount val="1"/>
                <c:pt idx="0">
                  <c:v>Total visitas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PORVENDEDOR!$S$51:$AW$51</c:f>
              <c:numCache>
                <c:formatCode>d\-mmm</c:formatCode>
                <c:ptCount val="31"/>
                <c:pt idx="0">
                  <c:v>42125</c:v>
                </c:pt>
                <c:pt idx="1">
                  <c:v>42126</c:v>
                </c:pt>
                <c:pt idx="2">
                  <c:v>42127</c:v>
                </c:pt>
                <c:pt idx="3">
                  <c:v>42128</c:v>
                </c:pt>
                <c:pt idx="4">
                  <c:v>42129</c:v>
                </c:pt>
                <c:pt idx="5">
                  <c:v>42130</c:v>
                </c:pt>
                <c:pt idx="6">
                  <c:v>42131</c:v>
                </c:pt>
                <c:pt idx="7">
                  <c:v>42132</c:v>
                </c:pt>
                <c:pt idx="8">
                  <c:v>42133</c:v>
                </c:pt>
                <c:pt idx="9">
                  <c:v>42134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42140</c:v>
                </c:pt>
                <c:pt idx="16">
                  <c:v>42141</c:v>
                </c:pt>
                <c:pt idx="17">
                  <c:v>42142</c:v>
                </c:pt>
                <c:pt idx="18">
                  <c:v>42143</c:v>
                </c:pt>
                <c:pt idx="19">
                  <c:v>42144</c:v>
                </c:pt>
                <c:pt idx="20">
                  <c:v>42145</c:v>
                </c:pt>
                <c:pt idx="21">
                  <c:v>42146</c:v>
                </c:pt>
                <c:pt idx="22">
                  <c:v>42147</c:v>
                </c:pt>
                <c:pt idx="23">
                  <c:v>42148</c:v>
                </c:pt>
                <c:pt idx="24">
                  <c:v>42149</c:v>
                </c:pt>
                <c:pt idx="25">
                  <c:v>42150</c:v>
                </c:pt>
                <c:pt idx="26">
                  <c:v>42151</c:v>
                </c:pt>
                <c:pt idx="27">
                  <c:v>42152</c:v>
                </c:pt>
                <c:pt idx="28">
                  <c:v>42153</c:v>
                </c:pt>
                <c:pt idx="29">
                  <c:v>42154</c:v>
                </c:pt>
                <c:pt idx="30">
                  <c:v>42155</c:v>
                </c:pt>
              </c:numCache>
            </c:numRef>
          </c:cat>
          <c:val>
            <c:numRef>
              <c:f>PORVENDEDOR!$S$55:$AW$55</c:f>
              <c:numCache>
                <c:formatCode>#,##0_ ;[Red]\-#,##0\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7452640"/>
        <c:axId val="387453032"/>
      </c:lineChart>
      <c:dateAx>
        <c:axId val="38745264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7453032"/>
        <c:crosses val="autoZero"/>
        <c:auto val="1"/>
        <c:lblOffset val="100"/>
        <c:baseTimeUnit val="days"/>
      </c:dateAx>
      <c:valAx>
        <c:axId val="38745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745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/>
      </a:solidFill>
      <a:prstDash val="sysDash"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2303806</xdr:colOff>
      <xdr:row>5</xdr:row>
      <xdr:rowOff>112059</xdr:rowOff>
    </xdr:from>
    <xdr:to>
      <xdr:col>7</xdr:col>
      <xdr:colOff>694764</xdr:colOff>
      <xdr:row>18</xdr:row>
      <xdr:rowOff>97254</xdr:rowOff>
    </xdr:to>
    <xdr:grpSp>
      <xdr:nvGrpSpPr>
        <xdr:cNvPr id="11" name="Grupo 10"/>
        <xdr:cNvGrpSpPr/>
      </xdr:nvGrpSpPr>
      <xdr:grpSpPr>
        <a:xfrm>
          <a:off x="3166659" y="1120588"/>
          <a:ext cx="2559546" cy="2472901"/>
          <a:chOff x="259080" y="1005839"/>
          <a:chExt cx="1823182" cy="1883720"/>
        </a:xfrm>
        <a:solidFill>
          <a:srgbClr val="FFFF99"/>
        </a:solidFill>
      </xdr:grpSpPr>
      <xdr:sp macro="" textlink="">
        <xdr:nvSpPr>
          <xdr:cNvPr id="2" name="Rectángulo redondeado 1"/>
          <xdr:cNvSpPr/>
        </xdr:nvSpPr>
        <xdr:spPr>
          <a:xfrm>
            <a:off x="259080" y="1005839"/>
            <a:ext cx="1821180" cy="1468196"/>
          </a:xfrm>
          <a:prstGeom prst="roundRect">
            <a:avLst/>
          </a:prstGeom>
          <a:grpFill/>
          <a:ln>
            <a:solidFill>
              <a:srgbClr val="FFFF00"/>
            </a:solidFill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200" b="1">
                <a:solidFill>
                  <a:srgbClr val="C00000"/>
                </a:solidFill>
              </a:rPr>
              <a:t>PEDIDO</a:t>
            </a:r>
          </a:p>
        </xdr:txBody>
      </xdr:sp>
      <xdr:graphicFrame macro="">
        <xdr:nvGraphicFramePr>
          <xdr:cNvPr id="3" name="Gráfico 2"/>
          <xdr:cNvGraphicFramePr>
            <a:graphicFrameLocks/>
          </xdr:cNvGraphicFramePr>
        </xdr:nvGraphicFramePr>
        <xdr:xfrm>
          <a:off x="299182" y="1237427"/>
          <a:ext cx="1783080" cy="1652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1</xdr:col>
      <xdr:colOff>21964</xdr:colOff>
      <xdr:row>5</xdr:row>
      <xdr:rowOff>99058</xdr:rowOff>
    </xdr:from>
    <xdr:to>
      <xdr:col>3</xdr:col>
      <xdr:colOff>2017059</xdr:colOff>
      <xdr:row>18</xdr:row>
      <xdr:rowOff>83819</xdr:rowOff>
    </xdr:to>
    <xdr:grpSp>
      <xdr:nvGrpSpPr>
        <xdr:cNvPr id="10" name="Grupo 9"/>
        <xdr:cNvGrpSpPr/>
      </xdr:nvGrpSpPr>
      <xdr:grpSpPr>
        <a:xfrm>
          <a:off x="380552" y="1107587"/>
          <a:ext cx="2499360" cy="2472467"/>
          <a:chOff x="2133600" y="1043939"/>
          <a:chExt cx="1821180" cy="1855504"/>
        </a:xfrm>
        <a:solidFill>
          <a:srgbClr val="FFFF99"/>
        </a:solidFill>
      </xdr:grpSpPr>
      <xdr:sp macro="" textlink="">
        <xdr:nvSpPr>
          <xdr:cNvPr id="8" name="Rectángulo redondeado 7"/>
          <xdr:cNvSpPr/>
        </xdr:nvSpPr>
        <xdr:spPr>
          <a:xfrm>
            <a:off x="2133600" y="1043939"/>
            <a:ext cx="1821180" cy="1447804"/>
          </a:xfrm>
          <a:prstGeom prst="roundRect">
            <a:avLst/>
          </a:prstGeom>
          <a:grpFill/>
          <a:ln>
            <a:solidFill>
              <a:srgbClr val="FFFF00"/>
            </a:solidFill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200" b="1">
                <a:solidFill>
                  <a:srgbClr val="C00000"/>
                </a:solidFill>
              </a:rPr>
              <a:t>FACTURADO</a:t>
            </a:r>
          </a:p>
        </xdr:txBody>
      </xdr:sp>
      <xdr:graphicFrame macro="">
        <xdr:nvGraphicFramePr>
          <xdr:cNvPr id="9" name="Gráfico 8"/>
          <xdr:cNvGraphicFramePr>
            <a:graphicFrameLocks/>
          </xdr:cNvGraphicFramePr>
        </xdr:nvGraphicFramePr>
        <xdr:xfrm>
          <a:off x="2155055" y="1283555"/>
          <a:ext cx="1783080" cy="161588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15</xdr:col>
      <xdr:colOff>31711</xdr:colOff>
      <xdr:row>7</xdr:row>
      <xdr:rowOff>49306</xdr:rowOff>
    </xdr:from>
    <xdr:to>
      <xdr:col>16</xdr:col>
      <xdr:colOff>374275</xdr:colOff>
      <xdr:row>8</xdr:row>
      <xdr:rowOff>126402</xdr:rowOff>
    </xdr:to>
    <xdr:sp macro="" textlink="">
      <xdr:nvSpPr>
        <xdr:cNvPr id="12" name="Rectángulo redondeado 11"/>
        <xdr:cNvSpPr/>
      </xdr:nvSpPr>
      <xdr:spPr>
        <a:xfrm>
          <a:off x="10363535" y="1450041"/>
          <a:ext cx="947681" cy="267596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chemeClr val="tx1"/>
              </a:solidFill>
            </a:rPr>
            <a:t>PPU</a:t>
          </a:r>
        </a:p>
      </xdr:txBody>
    </xdr:sp>
    <xdr:clientData/>
  </xdr:twoCellAnchor>
  <xdr:twoCellAnchor>
    <xdr:from>
      <xdr:col>14</xdr:col>
      <xdr:colOff>200362</xdr:colOff>
      <xdr:row>10</xdr:row>
      <xdr:rowOff>56471</xdr:rowOff>
    </xdr:from>
    <xdr:to>
      <xdr:col>15</xdr:col>
      <xdr:colOff>489025</xdr:colOff>
      <xdr:row>14</xdr:row>
      <xdr:rowOff>26888</xdr:rowOff>
    </xdr:to>
    <xdr:sp macro="" textlink="$E$41">
      <xdr:nvSpPr>
        <xdr:cNvPr id="13" name="Trapecio 12"/>
        <xdr:cNvSpPr/>
      </xdr:nvSpPr>
      <xdr:spPr>
        <a:xfrm>
          <a:off x="9927068" y="2028706"/>
          <a:ext cx="893781" cy="743623"/>
        </a:xfrm>
        <a:prstGeom prst="trapezoid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F613FFD-FFC2-46E1-925C-0C140EF8A117}" type="TxLink">
            <a:rPr lang="en-US" sz="1200" b="0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S/. -   </a:t>
          </a:fld>
          <a:endParaRPr lang="es-PE" sz="1400"/>
        </a:p>
      </xdr:txBody>
    </xdr:sp>
    <xdr:clientData/>
  </xdr:twoCellAnchor>
  <xdr:twoCellAnchor>
    <xdr:from>
      <xdr:col>15</xdr:col>
      <xdr:colOff>560741</xdr:colOff>
      <xdr:row>10</xdr:row>
      <xdr:rowOff>56472</xdr:rowOff>
    </xdr:from>
    <xdr:to>
      <xdr:col>17</xdr:col>
      <xdr:colOff>178846</xdr:colOff>
      <xdr:row>14</xdr:row>
      <xdr:rowOff>26889</xdr:rowOff>
    </xdr:to>
    <xdr:sp macro="" textlink="$G$41">
      <xdr:nvSpPr>
        <xdr:cNvPr id="14" name="Trapecio 13"/>
        <xdr:cNvSpPr/>
      </xdr:nvSpPr>
      <xdr:spPr>
        <a:xfrm>
          <a:off x="10892565" y="2028707"/>
          <a:ext cx="828340" cy="743623"/>
        </a:xfrm>
        <a:prstGeom prst="trapezoid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6A7C7FC-D27F-4919-B4BF-63B538225F1C}" type="TxLink">
            <a:rPr lang="en-US" sz="1200" b="0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S/. -   </a:t>
          </a:fld>
          <a:endParaRPr lang="es-PE" sz="1400"/>
        </a:p>
      </xdr:txBody>
    </xdr:sp>
    <xdr:clientData/>
  </xdr:twoCellAnchor>
  <xdr:twoCellAnchor>
    <xdr:from>
      <xdr:col>14</xdr:col>
      <xdr:colOff>155537</xdr:colOff>
      <xdr:row>8</xdr:row>
      <xdr:rowOff>135365</xdr:rowOff>
    </xdr:from>
    <xdr:to>
      <xdr:col>15</xdr:col>
      <xdr:colOff>515917</xdr:colOff>
      <xdr:row>10</xdr:row>
      <xdr:rowOff>29580</xdr:rowOff>
    </xdr:to>
    <xdr:sp macro="" textlink="">
      <xdr:nvSpPr>
        <xdr:cNvPr id="15" name="Rectángulo redondeado 14"/>
        <xdr:cNvSpPr/>
      </xdr:nvSpPr>
      <xdr:spPr>
        <a:xfrm>
          <a:off x="9882243" y="1726600"/>
          <a:ext cx="965498" cy="27521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chemeClr val="tx1"/>
              </a:solidFill>
            </a:rPr>
            <a:t>FACTURADO</a:t>
          </a:r>
        </a:p>
      </xdr:txBody>
    </xdr:sp>
    <xdr:clientData/>
  </xdr:twoCellAnchor>
  <xdr:twoCellAnchor>
    <xdr:from>
      <xdr:col>15</xdr:col>
      <xdr:colOff>524881</xdr:colOff>
      <xdr:row>8</xdr:row>
      <xdr:rowOff>135365</xdr:rowOff>
    </xdr:from>
    <xdr:to>
      <xdr:col>17</xdr:col>
      <xdr:colOff>214703</xdr:colOff>
      <xdr:row>10</xdr:row>
      <xdr:rowOff>29580</xdr:rowOff>
    </xdr:to>
    <xdr:sp macro="" textlink="">
      <xdr:nvSpPr>
        <xdr:cNvPr id="16" name="Rectángulo redondeado 15"/>
        <xdr:cNvSpPr/>
      </xdr:nvSpPr>
      <xdr:spPr>
        <a:xfrm>
          <a:off x="10856705" y="1726600"/>
          <a:ext cx="900057" cy="27521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chemeClr val="tx1"/>
              </a:solidFill>
            </a:rPr>
            <a:t>PEDIDO</a:t>
          </a:r>
        </a:p>
      </xdr:txBody>
    </xdr:sp>
    <xdr:clientData/>
  </xdr:twoCellAnchor>
  <xdr:twoCellAnchor>
    <xdr:from>
      <xdr:col>8</xdr:col>
      <xdr:colOff>248643</xdr:colOff>
      <xdr:row>5</xdr:row>
      <xdr:rowOff>107576</xdr:rowOff>
    </xdr:from>
    <xdr:to>
      <xdr:col>12</xdr:col>
      <xdr:colOff>24090</xdr:colOff>
      <xdr:row>18</xdr:row>
      <xdr:rowOff>92771</xdr:rowOff>
    </xdr:to>
    <xdr:grpSp>
      <xdr:nvGrpSpPr>
        <xdr:cNvPr id="17" name="Grupo 16"/>
        <xdr:cNvGrpSpPr/>
      </xdr:nvGrpSpPr>
      <xdr:grpSpPr>
        <a:xfrm>
          <a:off x="6008467" y="1116105"/>
          <a:ext cx="2532094" cy="2472901"/>
          <a:chOff x="259080" y="1005839"/>
          <a:chExt cx="1823182" cy="1883720"/>
        </a:xfrm>
        <a:solidFill>
          <a:srgbClr val="FFFF99"/>
        </a:solidFill>
      </xdr:grpSpPr>
      <xdr:sp macro="" textlink="">
        <xdr:nvSpPr>
          <xdr:cNvPr id="18" name="Rectángulo redondeado 17"/>
          <xdr:cNvSpPr/>
        </xdr:nvSpPr>
        <xdr:spPr>
          <a:xfrm>
            <a:off x="259080" y="1005839"/>
            <a:ext cx="1821180" cy="1468196"/>
          </a:xfrm>
          <a:prstGeom prst="roundRect">
            <a:avLst/>
          </a:prstGeom>
          <a:grpFill/>
          <a:ln>
            <a:solidFill>
              <a:srgbClr val="FFFF00"/>
            </a:solidFill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200" b="1">
                <a:solidFill>
                  <a:srgbClr val="C00000"/>
                </a:solidFill>
              </a:rPr>
              <a:t>COMISIÓN</a:t>
            </a:r>
          </a:p>
        </xdr:txBody>
      </xdr:sp>
      <xdr:graphicFrame macro="">
        <xdr:nvGraphicFramePr>
          <xdr:cNvPr id="19" name="Gráfico 18"/>
          <xdr:cNvGraphicFramePr>
            <a:graphicFrameLocks/>
          </xdr:cNvGraphicFramePr>
        </xdr:nvGraphicFramePr>
        <xdr:xfrm>
          <a:off x="299182" y="1237427"/>
          <a:ext cx="1783080" cy="1652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0.83386</cdr:x>
      <cdr:y>0.44366</cdr:y>
    </cdr:from>
    <cdr:to>
      <cdr:x>0.96238</cdr:x>
      <cdr:y>0.51761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2026920" y="960120"/>
          <a:ext cx="312420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s-PE" sz="700"/>
            <a:t>100%</a:t>
          </a:r>
        </a:p>
      </cdr:txBody>
    </cdr:sp>
  </cdr:relSizeAnchor>
  <cdr:relSizeAnchor xmlns:cdr="http://schemas.openxmlformats.org/drawingml/2006/chartDrawing">
    <cdr:from>
      <cdr:x>0.34796</cdr:x>
      <cdr:y>0.53169</cdr:y>
    </cdr:from>
    <cdr:to>
      <cdr:x>0.60502</cdr:x>
      <cdr:y>0.63028</cdr:y>
    </cdr:to>
    <cdr:sp macro="" textlink="VELOCIMETRO!B16">
      <cdr:nvSpPr>
        <cdr:cNvPr id="4" name="CuadroTexto 3"/>
        <cdr:cNvSpPr txBox="1"/>
      </cdr:nvSpPr>
      <cdr:spPr>
        <a:xfrm xmlns:a="http://schemas.openxmlformats.org/drawingml/2006/main">
          <a:off x="845820" y="1150620"/>
          <a:ext cx="624840" cy="21336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0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3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D35F6DCD-6F68-4249-A88C-48DE4BDA1393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 algn="ctr"/>
            <a:t>0.00%</a:t>
          </a:fld>
          <a:endParaRPr lang="es-PE" sz="14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0.83386</cdr:x>
      <cdr:y>0.44366</cdr:y>
    </cdr:from>
    <cdr:to>
      <cdr:x>0.96238</cdr:x>
      <cdr:y>0.51761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2026920" y="960120"/>
          <a:ext cx="312420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s-PE" sz="700"/>
            <a:t>100%</a:t>
          </a:r>
        </a:p>
      </cdr:txBody>
    </cdr:sp>
  </cdr:relSizeAnchor>
  <cdr:relSizeAnchor xmlns:cdr="http://schemas.openxmlformats.org/drawingml/2006/chartDrawing">
    <cdr:from>
      <cdr:x>0.34796</cdr:x>
      <cdr:y>0.53169</cdr:y>
    </cdr:from>
    <cdr:to>
      <cdr:x>0.60502</cdr:x>
      <cdr:y>0.63028</cdr:y>
    </cdr:to>
    <cdr:sp macro="" textlink="VELOCIMETRO!G16">
      <cdr:nvSpPr>
        <cdr:cNvPr id="4" name="CuadroTexto 3"/>
        <cdr:cNvSpPr txBox="1"/>
      </cdr:nvSpPr>
      <cdr:spPr>
        <a:xfrm xmlns:a="http://schemas.openxmlformats.org/drawingml/2006/main">
          <a:off x="845820" y="1150620"/>
          <a:ext cx="624840" cy="21336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0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3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7C2D43B6-5E68-4E30-B6FB-80B18C3295E5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 algn="ctr"/>
            <a:t>0.00%</a:t>
          </a:fld>
          <a:endParaRPr lang="es-PE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0.83386</cdr:x>
      <cdr:y>0.44366</cdr:y>
    </cdr:from>
    <cdr:to>
      <cdr:x>0.96238</cdr:x>
      <cdr:y>0.51761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2026920" y="960120"/>
          <a:ext cx="312420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s-PE" sz="700"/>
            <a:t>100%</a:t>
          </a:r>
        </a:p>
      </cdr:txBody>
    </cdr:sp>
  </cdr:relSizeAnchor>
  <cdr:relSizeAnchor xmlns:cdr="http://schemas.openxmlformats.org/drawingml/2006/chartDrawing">
    <cdr:from>
      <cdr:x>0.34796</cdr:x>
      <cdr:y>0.53169</cdr:y>
    </cdr:from>
    <cdr:to>
      <cdr:x>0.60502</cdr:x>
      <cdr:y>0.63028</cdr:y>
    </cdr:to>
    <cdr:sp macro="" textlink="VELOCIMETRO!L16">
      <cdr:nvSpPr>
        <cdr:cNvPr id="4" name="CuadroTexto 3"/>
        <cdr:cNvSpPr txBox="1"/>
      </cdr:nvSpPr>
      <cdr:spPr>
        <a:xfrm xmlns:a="http://schemas.openxmlformats.org/drawingml/2006/main">
          <a:off x="845820" y="1150620"/>
          <a:ext cx="624840" cy="21336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0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3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48198ACD-A614-4747-9115-E11E13AAC744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 algn="ctr"/>
            <a:t>0.00%</a:t>
          </a:fld>
          <a:endParaRPr lang="es-PE" sz="12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351865</xdr:colOff>
      <xdr:row>30</xdr:row>
      <xdr:rowOff>85164</xdr:rowOff>
    </xdr:from>
    <xdr:to>
      <xdr:col>16</xdr:col>
      <xdr:colOff>22412</xdr:colOff>
      <xdr:row>43</xdr:row>
      <xdr:rowOff>56030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475130</xdr:colOff>
      <xdr:row>12</xdr:row>
      <xdr:rowOff>170332</xdr:rowOff>
    </xdr:from>
    <xdr:to>
      <xdr:col>6</xdr:col>
      <xdr:colOff>414618</xdr:colOff>
      <xdr:row>26</xdr:row>
      <xdr:rowOff>100853</xdr:rowOff>
    </xdr:to>
    <xdr:grpSp>
      <xdr:nvGrpSpPr>
        <xdr:cNvPr id="4" name="Grupo 3"/>
        <xdr:cNvGrpSpPr/>
      </xdr:nvGrpSpPr>
      <xdr:grpSpPr>
        <a:xfrm>
          <a:off x="2660277" y="2781303"/>
          <a:ext cx="2315135" cy="2608726"/>
          <a:chOff x="259080" y="1005840"/>
          <a:chExt cx="1823182" cy="1755186"/>
        </a:xfrm>
        <a:solidFill>
          <a:srgbClr val="FFFF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5" name="Rectángulo redondeado 4"/>
          <xdr:cNvSpPr/>
        </xdr:nvSpPr>
        <xdr:spPr>
          <a:xfrm>
            <a:off x="259080" y="1005840"/>
            <a:ext cx="1821180" cy="1466541"/>
          </a:xfrm>
          <a:prstGeom prst="round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200" b="1">
                <a:solidFill>
                  <a:srgbClr val="C00000"/>
                </a:solidFill>
              </a:rPr>
              <a:t>PEDIDO</a:t>
            </a:r>
          </a:p>
        </xdr:txBody>
      </xdr:sp>
      <xdr:graphicFrame macro="">
        <xdr:nvGraphicFramePr>
          <xdr:cNvPr id="6" name="Gráfico 5"/>
          <xdr:cNvGraphicFramePr>
            <a:graphicFrameLocks/>
          </xdr:cNvGraphicFramePr>
        </xdr:nvGraphicFramePr>
        <xdr:xfrm>
          <a:off x="299182" y="1108894"/>
          <a:ext cx="1783080" cy="1652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268941</xdr:colOff>
      <xdr:row>12</xdr:row>
      <xdr:rowOff>160020</xdr:rowOff>
    </xdr:from>
    <xdr:to>
      <xdr:col>2</xdr:col>
      <xdr:colOff>392206</xdr:colOff>
      <xdr:row>26</xdr:row>
      <xdr:rowOff>134471</xdr:rowOff>
    </xdr:to>
    <xdr:grpSp>
      <xdr:nvGrpSpPr>
        <xdr:cNvPr id="7" name="Grupo 6"/>
        <xdr:cNvGrpSpPr/>
      </xdr:nvGrpSpPr>
      <xdr:grpSpPr>
        <a:xfrm>
          <a:off x="268941" y="2770991"/>
          <a:ext cx="2308412" cy="2652656"/>
          <a:chOff x="2133600" y="1043941"/>
          <a:chExt cx="1821180" cy="1734515"/>
        </a:xfrm>
        <a:solidFill>
          <a:srgbClr val="FFFF99"/>
        </a:solidFill>
      </xdr:grpSpPr>
      <xdr:sp macro="" textlink="">
        <xdr:nvSpPr>
          <xdr:cNvPr id="8" name="Rectángulo redondeado 7"/>
          <xdr:cNvSpPr/>
        </xdr:nvSpPr>
        <xdr:spPr>
          <a:xfrm>
            <a:off x="2133600" y="1043941"/>
            <a:ext cx="1821180" cy="1429161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200" b="1">
                <a:solidFill>
                  <a:srgbClr val="C00000"/>
                </a:solidFill>
              </a:rPr>
              <a:t>FACTURADO</a:t>
            </a:r>
          </a:p>
        </xdr:txBody>
      </xdr:sp>
      <xdr:graphicFrame macro="">
        <xdr:nvGraphicFramePr>
          <xdr:cNvPr id="9" name="Gráfico 8"/>
          <xdr:cNvGraphicFramePr>
            <a:graphicFrameLocks/>
          </xdr:cNvGraphicFramePr>
        </xdr:nvGraphicFramePr>
        <xdr:xfrm>
          <a:off x="2164509" y="1162568"/>
          <a:ext cx="1783080" cy="161588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10</xdr:col>
      <xdr:colOff>428074</xdr:colOff>
      <xdr:row>3</xdr:row>
      <xdr:rowOff>4483</xdr:rowOff>
    </xdr:from>
    <xdr:to>
      <xdr:col>12</xdr:col>
      <xdr:colOff>257746</xdr:colOff>
      <xdr:row>4</xdr:row>
      <xdr:rowOff>44824</xdr:rowOff>
    </xdr:to>
    <xdr:sp macro="" textlink="">
      <xdr:nvSpPr>
        <xdr:cNvPr id="10" name="Rectángulo redondeado 9"/>
        <xdr:cNvSpPr/>
      </xdr:nvSpPr>
      <xdr:spPr>
        <a:xfrm>
          <a:off x="7319692" y="800101"/>
          <a:ext cx="995083" cy="275664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chemeClr val="tx1"/>
              </a:solidFill>
            </a:rPr>
            <a:t>PPU</a:t>
          </a:r>
        </a:p>
      </xdr:txBody>
    </xdr:sp>
    <xdr:clientData/>
  </xdr:twoCellAnchor>
  <xdr:twoCellAnchor>
    <xdr:from>
      <xdr:col>10</xdr:col>
      <xdr:colOff>123266</xdr:colOff>
      <xdr:row>5</xdr:row>
      <xdr:rowOff>150153</xdr:rowOff>
    </xdr:from>
    <xdr:to>
      <xdr:col>11</xdr:col>
      <xdr:colOff>302571</xdr:colOff>
      <xdr:row>7</xdr:row>
      <xdr:rowOff>200341</xdr:rowOff>
    </xdr:to>
    <xdr:sp macro="" textlink="$AQ$6">
      <xdr:nvSpPr>
        <xdr:cNvPr id="11" name="Trapecio 10"/>
        <xdr:cNvSpPr/>
      </xdr:nvSpPr>
      <xdr:spPr>
        <a:xfrm>
          <a:off x="7014884" y="1382800"/>
          <a:ext cx="762011" cy="453600"/>
        </a:xfrm>
        <a:prstGeom prst="trapezoid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2FAA81-5633-4514-BF73-5D6DCA2F8873}" type="TxLink">
            <a:rPr lang="en-US" sz="1000" b="1" i="0" u="none" strike="noStrike">
              <a:solidFill>
                <a:srgbClr val="000000"/>
              </a:solidFill>
              <a:latin typeface="Calibri"/>
            </a:rPr>
            <a:pPr algn="ctr"/>
            <a:t> S/. -   </a:t>
          </a:fld>
          <a:endParaRPr lang="es-PE" sz="1000" b="1"/>
        </a:p>
      </xdr:txBody>
    </xdr:sp>
    <xdr:clientData/>
  </xdr:twoCellAnchor>
  <xdr:twoCellAnchor>
    <xdr:from>
      <xdr:col>11</xdr:col>
      <xdr:colOff>470648</xdr:colOff>
      <xdr:row>5</xdr:row>
      <xdr:rowOff>150155</xdr:rowOff>
    </xdr:from>
    <xdr:to>
      <xdr:col>13</xdr:col>
      <xdr:colOff>68437</xdr:colOff>
      <xdr:row>7</xdr:row>
      <xdr:rowOff>200343</xdr:rowOff>
    </xdr:to>
    <xdr:sp macro="" textlink="$AR$6">
      <xdr:nvSpPr>
        <xdr:cNvPr id="12" name="Trapecio 11"/>
        <xdr:cNvSpPr/>
      </xdr:nvSpPr>
      <xdr:spPr>
        <a:xfrm>
          <a:off x="7944972" y="1382802"/>
          <a:ext cx="763200" cy="453600"/>
        </a:xfrm>
        <a:prstGeom prst="trapezoid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778A0F4-FC41-4D10-9C32-84648A122B71}" type="TxLink">
            <a:rPr lang="en-US" sz="1000" b="1" i="0" u="none" strike="noStrike">
              <a:solidFill>
                <a:srgbClr val="000000"/>
              </a:solidFill>
              <a:latin typeface="Calibri"/>
            </a:rPr>
            <a:pPr algn="ctr"/>
            <a:t> S/. -   </a:t>
          </a:fld>
          <a:endParaRPr lang="es-PE" sz="1000" b="1"/>
        </a:p>
      </xdr:txBody>
    </xdr:sp>
    <xdr:clientData/>
  </xdr:twoCellAnchor>
  <xdr:twoCellAnchor>
    <xdr:from>
      <xdr:col>9</xdr:col>
      <xdr:colOff>499793</xdr:colOff>
      <xdr:row>4</xdr:row>
      <xdr:rowOff>53787</xdr:rowOff>
    </xdr:from>
    <xdr:to>
      <xdr:col>11</xdr:col>
      <xdr:colOff>329463</xdr:colOff>
      <xdr:row>5</xdr:row>
      <xdr:rowOff>123262</xdr:rowOff>
    </xdr:to>
    <xdr:sp macro="" textlink="">
      <xdr:nvSpPr>
        <xdr:cNvPr id="13" name="Rectángulo redondeado 12"/>
        <xdr:cNvSpPr/>
      </xdr:nvSpPr>
      <xdr:spPr>
        <a:xfrm>
          <a:off x="6808705" y="1084728"/>
          <a:ext cx="995082" cy="271181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chemeClr val="tx1"/>
              </a:solidFill>
            </a:rPr>
            <a:t>FACTURADO</a:t>
          </a:r>
        </a:p>
      </xdr:txBody>
    </xdr:sp>
    <xdr:clientData/>
  </xdr:twoCellAnchor>
  <xdr:twoCellAnchor>
    <xdr:from>
      <xdr:col>11</xdr:col>
      <xdr:colOff>338427</xdr:colOff>
      <xdr:row>4</xdr:row>
      <xdr:rowOff>53787</xdr:rowOff>
    </xdr:from>
    <xdr:to>
      <xdr:col>13</xdr:col>
      <xdr:colOff>168098</xdr:colOff>
      <xdr:row>5</xdr:row>
      <xdr:rowOff>123262</xdr:rowOff>
    </xdr:to>
    <xdr:sp macro="" textlink="">
      <xdr:nvSpPr>
        <xdr:cNvPr id="14" name="Rectángulo redondeado 13"/>
        <xdr:cNvSpPr/>
      </xdr:nvSpPr>
      <xdr:spPr>
        <a:xfrm>
          <a:off x="7812751" y="1084728"/>
          <a:ext cx="995082" cy="271181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>
              <a:solidFill>
                <a:schemeClr val="tx1"/>
              </a:solidFill>
            </a:rPr>
            <a:t>PEDIDO</a:t>
          </a:r>
        </a:p>
      </xdr:txBody>
    </xdr:sp>
    <xdr:clientData/>
  </xdr:twoCellAnchor>
  <xdr:twoCellAnchor>
    <xdr:from>
      <xdr:col>6</xdr:col>
      <xdr:colOff>266702</xdr:colOff>
      <xdr:row>4</xdr:row>
      <xdr:rowOff>11207</xdr:rowOff>
    </xdr:from>
    <xdr:to>
      <xdr:col>8</xdr:col>
      <xdr:colOff>194983</xdr:colOff>
      <xdr:row>6</xdr:row>
      <xdr:rowOff>0</xdr:rowOff>
    </xdr:to>
    <xdr:sp macro="" textlink="$AT$4">
      <xdr:nvSpPr>
        <xdr:cNvPr id="15" name="Rectángulo redondeado 14"/>
        <xdr:cNvSpPr/>
      </xdr:nvSpPr>
      <xdr:spPr>
        <a:xfrm>
          <a:off x="4827496" y="1042148"/>
          <a:ext cx="1093693" cy="39220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1EF4385-3C27-48FB-A9D5-306A1D03C0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 S/. -   </a:t>
          </a:fld>
          <a:endParaRPr lang="es-PE" sz="1400" b="1"/>
        </a:p>
      </xdr:txBody>
    </xdr:sp>
    <xdr:clientData/>
  </xdr:twoCellAnchor>
  <xdr:twoCellAnchor>
    <xdr:from>
      <xdr:col>1</xdr:col>
      <xdr:colOff>313765</xdr:colOff>
      <xdr:row>22</xdr:row>
      <xdr:rowOff>67234</xdr:rowOff>
    </xdr:from>
    <xdr:to>
      <xdr:col>1</xdr:col>
      <xdr:colOff>1407455</xdr:colOff>
      <xdr:row>23</xdr:row>
      <xdr:rowOff>157534</xdr:rowOff>
    </xdr:to>
    <xdr:sp macro="" textlink="$AW$9">
      <xdr:nvSpPr>
        <xdr:cNvPr id="17" name="Rectángulo redondeado 16"/>
        <xdr:cNvSpPr/>
      </xdr:nvSpPr>
      <xdr:spPr>
        <a:xfrm>
          <a:off x="818030" y="4594410"/>
          <a:ext cx="1093690" cy="280800"/>
        </a:xfrm>
        <a:prstGeom prst="roundRect">
          <a:avLst/>
        </a:prstGeom>
        <a:solidFill>
          <a:srgbClr val="FFFF66"/>
        </a:solidFill>
        <a:ln>
          <a:solidFill>
            <a:srgbClr val="FFFF99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CFE5D03-264C-4EBA-B1D4-EC3FC9CE9635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 algn="ctr"/>
            <a:t>S/.0</a:t>
          </a:fld>
          <a:endParaRPr lang="es-PE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454958</xdr:colOff>
      <xdr:row>22</xdr:row>
      <xdr:rowOff>62752</xdr:rowOff>
    </xdr:from>
    <xdr:to>
      <xdr:col>5</xdr:col>
      <xdr:colOff>338413</xdr:colOff>
      <xdr:row>23</xdr:row>
      <xdr:rowOff>153052</xdr:rowOff>
    </xdr:to>
    <xdr:sp macro="" textlink="$AW$10">
      <xdr:nvSpPr>
        <xdr:cNvPr id="19" name="Rectángulo redondeado 18"/>
        <xdr:cNvSpPr/>
      </xdr:nvSpPr>
      <xdr:spPr>
        <a:xfrm>
          <a:off x="3222811" y="4589928"/>
          <a:ext cx="1093690" cy="280800"/>
        </a:xfrm>
        <a:prstGeom prst="roundRect">
          <a:avLst/>
        </a:prstGeom>
        <a:solidFill>
          <a:srgbClr val="FFFF66"/>
        </a:solidFill>
        <a:ln>
          <a:solidFill>
            <a:srgbClr val="FFFF99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C86C3A6-F573-4628-B2EA-73BCFA40A4E5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 algn="ctr"/>
            <a:t>S/.0</a:t>
          </a:fld>
          <a:endParaRPr lang="es-PE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179294</xdr:colOff>
      <xdr:row>13</xdr:row>
      <xdr:rowOff>89648</xdr:rowOff>
    </xdr:from>
    <xdr:to>
      <xdr:col>11</xdr:col>
      <xdr:colOff>335999</xdr:colOff>
      <xdr:row>23</xdr:row>
      <xdr:rowOff>152107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414616</xdr:colOff>
      <xdr:row>13</xdr:row>
      <xdr:rowOff>67235</xdr:rowOff>
    </xdr:from>
    <xdr:to>
      <xdr:col>15</xdr:col>
      <xdr:colOff>579821</xdr:colOff>
      <xdr:row>23</xdr:row>
      <xdr:rowOff>147917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336176</xdr:colOff>
      <xdr:row>47</xdr:row>
      <xdr:rowOff>67235</xdr:rowOff>
    </xdr:from>
    <xdr:to>
      <xdr:col>16</xdr:col>
      <xdr:colOff>6723</xdr:colOff>
      <xdr:row>60</xdr:row>
      <xdr:rowOff>112059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0.83386</cdr:x>
      <cdr:y>0.44366</cdr:y>
    </cdr:from>
    <cdr:to>
      <cdr:x>0.96238</cdr:x>
      <cdr:y>0.51761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2026920" y="960120"/>
          <a:ext cx="312420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s-PE" sz="800"/>
            <a:t>100%</a:t>
          </a:r>
        </a:p>
      </cdr:txBody>
    </cdr:sp>
  </cdr:relSizeAnchor>
  <cdr:relSizeAnchor xmlns:cdr="http://schemas.openxmlformats.org/drawingml/2006/chartDrawing">
    <cdr:from>
      <cdr:x>0.34796</cdr:x>
      <cdr:y>0.5382</cdr:y>
    </cdr:from>
    <cdr:to>
      <cdr:x>0.60502</cdr:x>
      <cdr:y>0.63679</cdr:y>
    </cdr:to>
    <cdr:sp macro="" textlink="PORVENDEDOR!AR5">
      <cdr:nvSpPr>
        <cdr:cNvPr id="4" name="CuadroTexto 3"/>
        <cdr:cNvSpPr txBox="1"/>
      </cdr:nvSpPr>
      <cdr:spPr>
        <a:xfrm xmlns:a="http://schemas.openxmlformats.org/drawingml/2006/main">
          <a:off x="751471" y="1395379"/>
          <a:ext cx="555160" cy="255613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0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3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C426416B-AEAA-48D1-AD3E-86CF3A0CEB13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 algn="ctr"/>
            <a:t>0.0%</a:t>
          </a:fld>
          <a:endParaRPr lang="es-PE" sz="1200" b="1">
            <a:solidFill>
              <a:sysClr val="windowText" lastClr="000000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0.83386</cdr:x>
      <cdr:y>0.44366</cdr:y>
    </cdr:from>
    <cdr:to>
      <cdr:x>0.96238</cdr:x>
      <cdr:y>0.51761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2026920" y="960120"/>
          <a:ext cx="312420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s-PE" sz="800"/>
            <a:t>100%</a:t>
          </a:r>
        </a:p>
      </cdr:txBody>
    </cdr:sp>
  </cdr:relSizeAnchor>
  <cdr:relSizeAnchor xmlns:cdr="http://schemas.openxmlformats.org/drawingml/2006/chartDrawing">
    <cdr:from>
      <cdr:x>0.34796</cdr:x>
      <cdr:y>0.53169</cdr:y>
    </cdr:from>
    <cdr:to>
      <cdr:x>0.60502</cdr:x>
      <cdr:y>0.63028</cdr:y>
    </cdr:to>
    <cdr:sp macro="" textlink="PORVENDEDOR!AQ5">
      <cdr:nvSpPr>
        <cdr:cNvPr id="4" name="CuadroTexto 3"/>
        <cdr:cNvSpPr txBox="1"/>
      </cdr:nvSpPr>
      <cdr:spPr>
        <a:xfrm xmlns:a="http://schemas.openxmlformats.org/drawingml/2006/main">
          <a:off x="845820" y="1150620"/>
          <a:ext cx="624840" cy="21336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0">
          <a:schemeClr val="accent4"/>
        </a:lnRef>
        <a:fillRef xmlns:a="http://schemas.openxmlformats.org/drawingml/2006/main" idx="3">
          <a:schemeClr val="accent4"/>
        </a:fillRef>
        <a:effectRef xmlns:a="http://schemas.openxmlformats.org/drawingml/2006/main" idx="3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6DB3E872-2EEF-4316-8F92-7165AA11C393}" type="TxLink">
            <a:rPr lang="en-US" sz="1200" b="1" i="0" u="none" strike="noStrike">
              <a:solidFill>
                <a:srgbClr val="000000"/>
              </a:solidFill>
              <a:latin typeface="Calibri"/>
            </a:rPr>
            <a:pPr algn="ctr"/>
            <a:t>0.0%</a:t>
          </a:fld>
          <a:endParaRPr lang="en-US" sz="1200" b="1">
            <a:solidFill>
              <a:sysClr val="windowText" lastClr="00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x"/>
  <dimension ref="A1:AR250"/>
  <sheetViews>
    <sheetView showGridLines="0" tabSelected="1" zoomScale="85" zoomScaleNormal="85" workbookViewId="0">
      <selection sqref="A1:Q1"/>
    </sheetView>
  </sheetViews>
  <sheetFormatPr baseColWidth="10" defaultRowHeight="15" x14ac:dyDescent="0.25"/>
  <cols>
    <col min="1" max="1" width="5.42578125" customWidth="1"/>
    <col min="2" max="2" width="7.5703125" customWidth="1"/>
    <col min="3" max="3" width="10.85546875" style="199" hidden="1" customWidth="1"/>
    <col min="4" max="4" width="35.28515625" customWidth="1"/>
    <col min="5" max="7" width="9" customWidth="1"/>
    <col min="8" max="8" width="10.85546875" bestFit="1" customWidth="1"/>
    <col min="9" max="9" width="9" customWidth="1"/>
    <col min="10" max="10" width="11.28515625" style="224" customWidth="1"/>
    <col min="11" max="11" width="9" customWidth="1"/>
    <col min="12" max="12" width="11.85546875" customWidth="1"/>
    <col min="13" max="22" width="9" customWidth="1"/>
    <col min="23" max="23" width="8.85546875" customWidth="1"/>
    <col min="24" max="26" width="9.7109375" customWidth="1"/>
    <col min="27" max="27" width="9.140625" customWidth="1"/>
    <col min="28" max="44" width="9.7109375" customWidth="1"/>
  </cols>
  <sheetData>
    <row r="1" spans="1:19" ht="26.45" customHeight="1" x14ac:dyDescent="0.25">
      <c r="A1" s="361" t="s">
        <v>164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</row>
    <row r="2" spans="1:19" ht="15.6" customHeight="1" x14ac:dyDescent="0.25">
      <c r="A2" s="362">
        <f ca="1">TODAY()</f>
        <v>42151</v>
      </c>
      <c r="B2" s="362"/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</row>
    <row r="3" spans="1:19" ht="15.75" x14ac:dyDescent="0.25">
      <c r="B3" s="12" t="s">
        <v>2</v>
      </c>
      <c r="C3" s="198"/>
    </row>
    <row r="4" spans="1:19" ht="8.25" customHeight="1" x14ac:dyDescent="0.25"/>
    <row r="5" spans="1:19" ht="14.45" customHeight="1" x14ac:dyDescent="0.25">
      <c r="B5" s="6" t="s">
        <v>87</v>
      </c>
      <c r="C5" s="200"/>
      <c r="P5" s="350"/>
      <c r="Q5" s="350"/>
      <c r="R5" s="363"/>
      <c r="S5" s="363"/>
    </row>
    <row r="6" spans="1:19" ht="15.75" x14ac:dyDescent="0.25">
      <c r="B6" s="6"/>
      <c r="C6" s="200"/>
      <c r="E6" s="5"/>
      <c r="F6" s="5"/>
      <c r="H6" s="5"/>
      <c r="L6" s="6"/>
      <c r="P6" s="351"/>
      <c r="Q6" s="351"/>
      <c r="R6" s="364"/>
      <c r="S6" s="364"/>
    </row>
    <row r="7" spans="1:19" x14ac:dyDescent="0.25">
      <c r="B7" s="127"/>
      <c r="C7" s="200"/>
      <c r="D7" s="127"/>
      <c r="L7" s="6"/>
    </row>
    <row r="8" spans="1:19" x14ac:dyDescent="0.25">
      <c r="B8" s="6"/>
      <c r="C8" s="200"/>
      <c r="L8" s="7"/>
      <c r="M8" s="6"/>
    </row>
    <row r="9" spans="1:19" x14ac:dyDescent="0.25">
      <c r="L9" s="7"/>
    </row>
    <row r="10" spans="1:19" x14ac:dyDescent="0.25">
      <c r="L10" s="7"/>
    </row>
    <row r="11" spans="1:19" x14ac:dyDescent="0.25">
      <c r="L11" s="7"/>
    </row>
    <row r="12" spans="1:19" x14ac:dyDescent="0.25">
      <c r="L12" s="7"/>
    </row>
    <row r="13" spans="1:19" ht="15.75" x14ac:dyDescent="0.25">
      <c r="G13" s="10"/>
    </row>
    <row r="14" spans="1:19" x14ac:dyDescent="0.25">
      <c r="L14" s="7"/>
    </row>
    <row r="15" spans="1:19" x14ac:dyDescent="0.25">
      <c r="L15" s="7"/>
    </row>
    <row r="16" spans="1:19" x14ac:dyDescent="0.25">
      <c r="L16" s="7"/>
    </row>
    <row r="17" spans="2:21" ht="14.45" customHeight="1" x14ac:dyDescent="0.25">
      <c r="F17" s="367" t="s">
        <v>5</v>
      </c>
      <c r="G17" s="367"/>
      <c r="H17" s="367" t="s">
        <v>6</v>
      </c>
      <c r="I17" s="367"/>
      <c r="J17" s="367" t="s">
        <v>246</v>
      </c>
      <c r="K17" s="367"/>
      <c r="L17" s="368" t="s">
        <v>102</v>
      </c>
      <c r="N17" s="370" t="s">
        <v>1</v>
      </c>
      <c r="O17" s="370" t="s">
        <v>4</v>
      </c>
      <c r="P17" s="365" t="s">
        <v>5</v>
      </c>
      <c r="Q17" s="366"/>
      <c r="R17" s="365" t="s">
        <v>6</v>
      </c>
      <c r="S17" s="366"/>
      <c r="T17" s="365" t="s">
        <v>246</v>
      </c>
      <c r="U17" s="366"/>
    </row>
    <row r="18" spans="2:21" x14ac:dyDescent="0.25">
      <c r="B18" s="88" t="s">
        <v>83</v>
      </c>
      <c r="C18" s="267" t="s">
        <v>216</v>
      </c>
      <c r="D18" s="53" t="s">
        <v>0</v>
      </c>
      <c r="E18" s="88" t="s">
        <v>4</v>
      </c>
      <c r="F18" s="88" t="s">
        <v>7</v>
      </c>
      <c r="G18" s="88" t="s">
        <v>8</v>
      </c>
      <c r="H18" s="88" t="s">
        <v>7</v>
      </c>
      <c r="I18" s="88" t="s">
        <v>8</v>
      </c>
      <c r="J18" s="340" t="s">
        <v>7</v>
      </c>
      <c r="K18" s="340" t="s">
        <v>8</v>
      </c>
      <c r="L18" s="369"/>
      <c r="N18" s="371"/>
      <c r="O18" s="371"/>
      <c r="P18" s="126" t="s">
        <v>7</v>
      </c>
      <c r="Q18" s="126" t="s">
        <v>8</v>
      </c>
      <c r="R18" s="126" t="s">
        <v>7</v>
      </c>
      <c r="S18" s="126" t="s">
        <v>8</v>
      </c>
      <c r="T18" s="341" t="s">
        <v>7</v>
      </c>
      <c r="U18" s="341" t="s">
        <v>8</v>
      </c>
    </row>
    <row r="19" spans="2:21" s="6" customFormat="1" x14ac:dyDescent="0.25">
      <c r="B19" s="147">
        <v>1</v>
      </c>
      <c r="C19" s="206" t="str">
        <f>IF(LEN(IFERROR(INDEX(RESX!$C:$C,MATCH(B19,RESX!$Q:$Q,0),1),""))&gt;0,IFERROR(INDEX(RESX!$C:$C,MATCH(B19,RESX!$Q:$Q,0),1),""),"- ")</f>
        <v xml:space="preserve">- </v>
      </c>
      <c r="D19" s="206" t="str">
        <f>IFERROR(INDEX(RESX!$D:$D,MATCH(C19,RESX!$C:$C,0),1),"")</f>
        <v/>
      </c>
      <c r="E19" s="210" t="str">
        <f>IFERROR(INDEX(RESX!$E:$E,MATCH(C19,RESX!$C:$C,0),1),"")</f>
        <v/>
      </c>
      <c r="F19" s="214" t="str">
        <f>IFERROR(INDEX(RESX!$F:$F,MATCH(C19,RESX!$C:$C,0),1),"")</f>
        <v/>
      </c>
      <c r="G19" s="27" t="str">
        <f>IFERROR(INDEX(RESX!$I:$I,MATCH(C19,RESX!$C:$C,0),1),"")</f>
        <v/>
      </c>
      <c r="H19" s="214" t="str">
        <f>IFERROR(INDEX(RESX!$G:$G,MATCH(C19,RESX!$C:$C,0),1),"")</f>
        <v/>
      </c>
      <c r="I19" s="28" t="str">
        <f>IFERROR(INDEX(RESX!$J:$J,MATCH(C19,RESX!$C:$C,0),1),"")</f>
        <v/>
      </c>
      <c r="J19" s="214" t="str">
        <f>IFERROR(INDEX(RESX!$H:$H,MATCH(C19,RESX!$C:$C,0),1),"")</f>
        <v/>
      </c>
      <c r="K19" s="28" t="str">
        <f>IFERROR(INDEX(RESX!$K:$K,MATCH(C19,RESX!$C:$C,0),1),"")</f>
        <v/>
      </c>
      <c r="L19" s="234" t="str">
        <f>IFERROR(INDEX(VENDEDOR!Q:Q,MATCH(C19,VENDEDOR!$G:$G,0),1),"")</f>
        <v/>
      </c>
      <c r="N19" s="155" t="s">
        <v>133</v>
      </c>
      <c r="O19" s="129">
        <f>IFERROR(SUM(E19:E38),0)</f>
        <v>0</v>
      </c>
      <c r="P19" s="129">
        <f>IFERROR(SUM(F19:F38),0)</f>
        <v>0</v>
      </c>
      <c r="Q19" s="130">
        <f>IFERROR(P19/O19,0)</f>
        <v>0</v>
      </c>
      <c r="R19" s="129">
        <f>IFERROR(SUM(H19:H38),0)</f>
        <v>0</v>
      </c>
      <c r="S19" s="130">
        <f>IFERROR(R19/O19,0)</f>
        <v>0</v>
      </c>
      <c r="T19" s="129">
        <f>IFERROR(SUM(J19:J38),0)</f>
        <v>0</v>
      </c>
      <c r="U19" s="131">
        <f>IFERROR(T19/O19,0)</f>
        <v>0</v>
      </c>
    </row>
    <row r="20" spans="2:21" s="6" customFormat="1" x14ac:dyDescent="0.25">
      <c r="B20" s="151">
        <v>2</v>
      </c>
      <c r="C20" s="207" t="str">
        <f>IF(LEN(IFERROR(INDEX(RESX!$C:$C,MATCH(B20,RESX!$Q:$Q,0),1),""))&gt;0,IFERROR(INDEX(RESX!$C:$C,MATCH(B20,RESX!$Q:$Q,0),1),""),"- ")</f>
        <v xml:space="preserve">- </v>
      </c>
      <c r="D20" s="207" t="str">
        <f>IFERROR(INDEX(RESX!$D:$D,MATCH(C20,RESX!$C:$C,0),1),"")</f>
        <v/>
      </c>
      <c r="E20" s="211" t="str">
        <f>IFERROR(INDEX(RESX!$E:$E,MATCH(C20,RESX!$C:$C,0),1),"")</f>
        <v/>
      </c>
      <c r="F20" s="215" t="str">
        <f>IFERROR(INDEX(RESX!$F:$F,MATCH(C20,RESX!$C:$C,0),1),"")</f>
        <v/>
      </c>
      <c r="G20" s="29" t="str">
        <f>IFERROR(INDEX(RESX!$I:$I,MATCH(C20,RESX!$C:$C,0),1),"")</f>
        <v/>
      </c>
      <c r="H20" s="215" t="str">
        <f>IFERROR(INDEX(RESX!$G:$G,MATCH(C20,RESX!$C:$C,0),1),"")</f>
        <v/>
      </c>
      <c r="I20" s="30" t="str">
        <f>IFERROR(INDEX(RESX!$J:$J,MATCH(C20,RESX!$C:$C,0),1),"")</f>
        <v/>
      </c>
      <c r="J20" s="215" t="str">
        <f>IFERROR(INDEX(RESX!$H:$H,MATCH(C20,RESX!$C:$C,0),1),"")</f>
        <v/>
      </c>
      <c r="K20" s="30" t="str">
        <f>IFERROR(INDEX(RESX!$K:$K,MATCH(C20,RESX!$C:$C,0),1),"")</f>
        <v/>
      </c>
      <c r="L20" s="235" t="str">
        <f>IFERROR(INDEX(VENDEDOR!Q:Q,MATCH(C20,VENDEDOR!$G:$G,0),1),"")</f>
        <v/>
      </c>
      <c r="N20" s="222" t="str">
        <f>IFERROR(INDEX(VENDEDOR!$Q:$Q,MATCH(1,VENDEDOR!$R:$R,0),1),"")</f>
        <v/>
      </c>
      <c r="O20" s="132">
        <f t="shared" ref="O20:O25" si="0">IFERROR(SUMIFS($E$19:$E$38,$L$19:$L$38,N20),0)</f>
        <v>0</v>
      </c>
      <c r="P20" s="132">
        <f t="shared" ref="P20:P25" si="1">IFERROR(SUMIFS($F$19:$F$38,$L$19:$L$38,N20),0)</f>
        <v>0</v>
      </c>
      <c r="Q20" s="134">
        <f>IFERROR(P20/O20,0)</f>
        <v>0</v>
      </c>
      <c r="R20" s="132">
        <f t="shared" ref="R20:R25" si="2">IFERROR(SUMIFS($H$19:$H$38,$L$19:$L$38,N20),0)</f>
        <v>0</v>
      </c>
      <c r="S20" s="344">
        <f>IFERROR(R20/O20,0)</f>
        <v>0</v>
      </c>
      <c r="T20" s="132">
        <f>IFERROR(SUMIFS($J$19:$J$38,$L$19:$L$38,N20),0)</f>
        <v>0</v>
      </c>
      <c r="U20" s="136">
        <f>IFERROR(T20/O20,0)</f>
        <v>0</v>
      </c>
    </row>
    <row r="21" spans="2:21" s="6" customFormat="1" x14ac:dyDescent="0.25">
      <c r="B21" s="151">
        <v>3</v>
      </c>
      <c r="C21" s="207" t="str">
        <f>IF(LEN(IFERROR(INDEX(RESX!$C:$C,MATCH(B21,RESX!$Q:$Q,0),1),""))&gt;0,IFERROR(INDEX(RESX!$C:$C,MATCH(B21,RESX!$Q:$Q,0),1),""),"- ")</f>
        <v xml:space="preserve">- </v>
      </c>
      <c r="D21" s="207" t="str">
        <f>IFERROR(INDEX(RESX!$D:$D,MATCH(C21,RESX!$C:$C,0),1),"")</f>
        <v/>
      </c>
      <c r="E21" s="211" t="str">
        <f>IFERROR(INDEX(RESX!$E:$E,MATCH(C21,RESX!$C:$C,0),1),"")</f>
        <v/>
      </c>
      <c r="F21" s="215" t="str">
        <f>IFERROR(INDEX(RESX!$F:$F,MATCH(C21,RESX!$C:$C,0),1),"")</f>
        <v/>
      </c>
      <c r="G21" s="29" t="str">
        <f>IFERROR(INDEX(RESX!$I:$I,MATCH(C21,RESX!$C:$C,0),1),"")</f>
        <v/>
      </c>
      <c r="H21" s="215" t="str">
        <f>IFERROR(INDEX(RESX!$G:$G,MATCH(C21,RESX!$C:$C,0),1),"")</f>
        <v/>
      </c>
      <c r="I21" s="30" t="str">
        <f>IFERROR(INDEX(RESX!$J:$J,MATCH(C21,RESX!$C:$C,0),1),"")</f>
        <v/>
      </c>
      <c r="J21" s="215" t="str">
        <f>IFERROR(INDEX(RESX!$H:$H,MATCH(C21,RESX!$C:$C,0),1),"")</f>
        <v/>
      </c>
      <c r="K21" s="30" t="str">
        <f>IFERROR(INDEX(RESX!$K:$K,MATCH(C21,RESX!$C:$C,0),1),"")</f>
        <v/>
      </c>
      <c r="L21" s="235" t="str">
        <f>IFERROR(INDEX(VENDEDOR!Q:Q,MATCH(C21,VENDEDOR!$G:$G,0),1),"")</f>
        <v/>
      </c>
      <c r="N21" s="222" t="str">
        <f>IFERROR(INDEX(VENDEDOR!$Q:$Q,MATCH(2,VENDEDOR!$R:$R,0),1),"")</f>
        <v/>
      </c>
      <c r="O21" s="132">
        <f t="shared" si="0"/>
        <v>0</v>
      </c>
      <c r="P21" s="132">
        <f t="shared" si="1"/>
        <v>0</v>
      </c>
      <c r="Q21" s="134">
        <f t="shared" ref="Q21:Q25" si="3">IFERROR(P21/O21,0)</f>
        <v>0</v>
      </c>
      <c r="R21" s="132">
        <f t="shared" si="2"/>
        <v>0</v>
      </c>
      <c r="S21" s="344">
        <f t="shared" ref="S21:S25" si="4">IFERROR(R21/O21,0)</f>
        <v>0</v>
      </c>
      <c r="T21" s="132">
        <f t="shared" ref="T21:T25" si="5">IFERROR(SUMIFS($J$19:$J$38,$L$19:$L$38,N21),0)</f>
        <v>0</v>
      </c>
      <c r="U21" s="136">
        <f t="shared" ref="U21:U25" si="6">IFERROR(T21/O21,0)</f>
        <v>0</v>
      </c>
    </row>
    <row r="22" spans="2:21" x14ac:dyDescent="0.25">
      <c r="B22" s="20">
        <v>4</v>
      </c>
      <c r="C22" s="240" t="str">
        <f>IF(LEN(IFERROR(INDEX(RESX!$C:$C,MATCH(B22,RESX!$Q:$Q,0),1),""))&gt;0,IFERROR(INDEX(RESX!$C:$C,MATCH(B22,RESX!$Q:$Q,0),1),""),"- ")</f>
        <v xml:space="preserve">- </v>
      </c>
      <c r="D22" s="240" t="str">
        <f>IFERROR(INDEX(RESX!$D:$D,MATCH(C22,RESX!$C:$C,0),1),"")</f>
        <v/>
      </c>
      <c r="E22" s="241" t="str">
        <f>IFERROR(INDEX(RESX!$E:$E,MATCH(C22,RESX!$C:$C,0),1),"")</f>
        <v/>
      </c>
      <c r="F22" s="242" t="str">
        <f>IFERROR(INDEX(RESX!$F:$F,MATCH(C22,RESX!$C:$C,0),1),"")</f>
        <v/>
      </c>
      <c r="G22" s="243" t="str">
        <f>IFERROR(INDEX(RESX!$I:$I,MATCH(C22,RESX!$C:$C,0),1),"")</f>
        <v/>
      </c>
      <c r="H22" s="242" t="str">
        <f>IFERROR(INDEX(RESX!$G:$G,MATCH(C22,RESX!$C:$C,0),1),"")</f>
        <v/>
      </c>
      <c r="I22" s="244" t="str">
        <f>IFERROR(INDEX(RESX!$J:$J,MATCH(C22,RESX!$C:$C,0),1),"")</f>
        <v/>
      </c>
      <c r="J22" s="242" t="str">
        <f>IFERROR(INDEX(RESX!$H:$H,MATCH(C22,RESX!$C:$C,0),1),"")</f>
        <v/>
      </c>
      <c r="K22" s="244" t="str">
        <f>IFERROR(INDEX(RESX!$K:$K,MATCH(C22,RESX!$C:$C,0),1),"")</f>
        <v/>
      </c>
      <c r="L22" s="245" t="str">
        <f>IFERROR(INDEX(VENDEDOR!Q:Q,MATCH(C22,VENDEDOR!$G:$G,0),1),"")</f>
        <v/>
      </c>
      <c r="N22" s="222" t="str">
        <f>IFERROR(INDEX(VENDEDOR!$Q:$Q,MATCH(3,VENDEDOR!$R:$R,0),1),"")</f>
        <v/>
      </c>
      <c r="O22" s="132">
        <f t="shared" si="0"/>
        <v>0</v>
      </c>
      <c r="P22" s="132">
        <f t="shared" si="1"/>
        <v>0</v>
      </c>
      <c r="Q22" s="134">
        <f t="shared" si="3"/>
        <v>0</v>
      </c>
      <c r="R22" s="132">
        <f t="shared" si="2"/>
        <v>0</v>
      </c>
      <c r="S22" s="344">
        <f t="shared" si="4"/>
        <v>0</v>
      </c>
      <c r="T22" s="132">
        <f t="shared" si="5"/>
        <v>0</v>
      </c>
      <c r="U22" s="136">
        <f t="shared" si="6"/>
        <v>0</v>
      </c>
    </row>
    <row r="23" spans="2:21" x14ac:dyDescent="0.25">
      <c r="B23" s="20">
        <v>5</v>
      </c>
      <c r="C23" s="240" t="str">
        <f>IF(LEN(IFERROR(INDEX(RESX!$C:$C,MATCH(B23,RESX!$Q:$Q,0),1),""))&gt;0,IFERROR(INDEX(RESX!$C:$C,MATCH(B23,RESX!$Q:$Q,0),1),""),"- ")</f>
        <v xml:space="preserve">- </v>
      </c>
      <c r="D23" s="240" t="str">
        <f>IFERROR(INDEX(RESX!$D:$D,MATCH(C23,RESX!$C:$C,0),1),"")</f>
        <v/>
      </c>
      <c r="E23" s="241" t="str">
        <f>IFERROR(INDEX(RESX!$E:$E,MATCH(C23,RESX!$C:$C,0),1),"")</f>
        <v/>
      </c>
      <c r="F23" s="242" t="str">
        <f>IFERROR(INDEX(RESX!$F:$F,MATCH(C23,RESX!$C:$C,0),1),"")</f>
        <v/>
      </c>
      <c r="G23" s="243" t="str">
        <f>IFERROR(INDEX(RESX!$I:$I,MATCH(C23,RESX!$C:$C,0),1),"")</f>
        <v/>
      </c>
      <c r="H23" s="242" t="str">
        <f>IFERROR(INDEX(RESX!$G:$G,MATCH(C23,RESX!$C:$C,0),1),"")</f>
        <v/>
      </c>
      <c r="I23" s="244" t="str">
        <f>IFERROR(INDEX(RESX!$J:$J,MATCH(C23,RESX!$C:$C,0),1),"")</f>
        <v/>
      </c>
      <c r="J23" s="242" t="str">
        <f>IFERROR(INDEX(RESX!$H:$H,MATCH(C23,RESX!$C:$C,0),1),"")</f>
        <v/>
      </c>
      <c r="K23" s="244" t="str">
        <f>IFERROR(INDEX(RESX!$K:$K,MATCH(C23,RESX!$C:$C,0),1),"")</f>
        <v/>
      </c>
      <c r="L23" s="245" t="str">
        <f>IFERROR(INDEX(VENDEDOR!Q:Q,MATCH(C23,VENDEDOR!$G:$G,0),1),"")</f>
        <v/>
      </c>
      <c r="N23" s="222" t="str">
        <f>IFERROR(INDEX(VENDEDOR!$Q:$Q,MATCH(4,VENDEDOR!$R:$R,0),1),"")</f>
        <v/>
      </c>
      <c r="O23" s="132">
        <f t="shared" si="0"/>
        <v>0</v>
      </c>
      <c r="P23" s="132">
        <f t="shared" si="1"/>
        <v>0</v>
      </c>
      <c r="Q23" s="134">
        <f t="shared" si="3"/>
        <v>0</v>
      </c>
      <c r="R23" s="132">
        <f t="shared" si="2"/>
        <v>0</v>
      </c>
      <c r="S23" s="344">
        <f t="shared" si="4"/>
        <v>0</v>
      </c>
      <c r="T23" s="132">
        <f t="shared" si="5"/>
        <v>0</v>
      </c>
      <c r="U23" s="136">
        <f t="shared" si="6"/>
        <v>0</v>
      </c>
    </row>
    <row r="24" spans="2:21" x14ac:dyDescent="0.25">
      <c r="B24" s="20">
        <v>6</v>
      </c>
      <c r="C24" s="240" t="str">
        <f>IF(LEN(IFERROR(INDEX(RESX!$C:$C,MATCH(B24,RESX!$Q:$Q,0),1),""))&gt;0,IFERROR(INDEX(RESX!$C:$C,MATCH(B24,RESX!$Q:$Q,0),1),""),"- ")</f>
        <v xml:space="preserve">- </v>
      </c>
      <c r="D24" s="240" t="str">
        <f>IFERROR(INDEX(RESX!$D:$D,MATCH(C24,RESX!$C:$C,0),1),"")</f>
        <v/>
      </c>
      <c r="E24" s="241" t="str">
        <f>IFERROR(INDEX(RESX!$E:$E,MATCH(C24,RESX!$C:$C,0),1),"")</f>
        <v/>
      </c>
      <c r="F24" s="242" t="str">
        <f>IFERROR(INDEX(RESX!$F:$F,MATCH(C24,RESX!$C:$C,0),1),"")</f>
        <v/>
      </c>
      <c r="G24" s="243" t="str">
        <f>IFERROR(INDEX(RESX!$I:$I,MATCH(C24,RESX!$C:$C,0),1),"")</f>
        <v/>
      </c>
      <c r="H24" s="242" t="str">
        <f>IFERROR(INDEX(RESX!$G:$G,MATCH(C24,RESX!$C:$C,0),1),"")</f>
        <v/>
      </c>
      <c r="I24" s="244" t="str">
        <f>IFERROR(INDEX(RESX!$J:$J,MATCH(C24,RESX!$C:$C,0),1),"")</f>
        <v/>
      </c>
      <c r="J24" s="242" t="str">
        <f>IFERROR(INDEX(RESX!$H:$H,MATCH(C24,RESX!$C:$C,0),1),"")</f>
        <v/>
      </c>
      <c r="K24" s="244" t="str">
        <f>IFERROR(INDEX(RESX!$K:$K,MATCH(C24,RESX!$C:$C,0),1),"")</f>
        <v/>
      </c>
      <c r="L24" s="245" t="str">
        <f>IFERROR(INDEX(VENDEDOR!Q:Q,MATCH(C24,VENDEDOR!$G:$G,0),1),"")</f>
        <v/>
      </c>
      <c r="N24" s="222" t="str">
        <f>IFERROR(INDEX(VENDEDOR!$Q:$Q,MATCH(5,VENDEDOR!$R:$R,0),1),"")</f>
        <v/>
      </c>
      <c r="O24" s="132">
        <f t="shared" si="0"/>
        <v>0</v>
      </c>
      <c r="P24" s="132">
        <f t="shared" si="1"/>
        <v>0</v>
      </c>
      <c r="Q24" s="134">
        <f t="shared" si="3"/>
        <v>0</v>
      </c>
      <c r="R24" s="132">
        <f t="shared" si="2"/>
        <v>0</v>
      </c>
      <c r="S24" s="344">
        <f t="shared" si="4"/>
        <v>0</v>
      </c>
      <c r="T24" s="132">
        <f t="shared" si="5"/>
        <v>0</v>
      </c>
      <c r="U24" s="136">
        <f t="shared" si="6"/>
        <v>0</v>
      </c>
    </row>
    <row r="25" spans="2:21" x14ac:dyDescent="0.25">
      <c r="B25" s="20">
        <v>7</v>
      </c>
      <c r="C25" s="240" t="str">
        <f>IF(LEN(IFERROR(INDEX(RESX!$C:$C,MATCH(B25,RESX!$Q:$Q,0),1),""))&gt;0,IFERROR(INDEX(RESX!$C:$C,MATCH(B25,RESX!$Q:$Q,0),1),""),"- ")</f>
        <v xml:space="preserve">- </v>
      </c>
      <c r="D25" s="240" t="str">
        <f>IFERROR(INDEX(RESX!$D:$D,MATCH(C25,RESX!$C:$C,0),1),"")</f>
        <v/>
      </c>
      <c r="E25" s="241" t="str">
        <f>IFERROR(INDEX(RESX!$E:$E,MATCH(C25,RESX!$C:$C,0),1),"")</f>
        <v/>
      </c>
      <c r="F25" s="242" t="str">
        <f>IFERROR(INDEX(RESX!$F:$F,MATCH(C25,RESX!$C:$C,0),1),"")</f>
        <v/>
      </c>
      <c r="G25" s="243" t="str">
        <f>IFERROR(INDEX(RESX!$I:$I,MATCH(C25,RESX!$C:$C,0),1),"")</f>
        <v/>
      </c>
      <c r="H25" s="242" t="str">
        <f>IFERROR(INDEX(RESX!$G:$G,MATCH(C25,RESX!$C:$C,0),1),"")</f>
        <v/>
      </c>
      <c r="I25" s="244" t="str">
        <f>IFERROR(INDEX(RESX!$J:$J,MATCH(C25,RESX!$C:$C,0),1),"")</f>
        <v/>
      </c>
      <c r="J25" s="242" t="str">
        <f>IFERROR(INDEX(RESX!$H:$H,MATCH(C25,RESX!$C:$C,0),1),"")</f>
        <v/>
      </c>
      <c r="K25" s="244" t="str">
        <f>IFERROR(INDEX(RESX!$K:$K,MATCH(C25,RESX!$C:$C,0),1),"")</f>
        <v/>
      </c>
      <c r="L25" s="245" t="str">
        <f>IFERROR(INDEX(VENDEDOR!Q:Q,MATCH(C25,VENDEDOR!$G:$G,0),1),"")</f>
        <v/>
      </c>
      <c r="N25" s="223" t="str">
        <f>IFERROR(INDEX(VENDEDOR!$Q:$Q,MATCH(6,VENDEDOR!$R:$R,0),1),"")</f>
        <v/>
      </c>
      <c r="O25" s="133">
        <f t="shared" si="0"/>
        <v>0</v>
      </c>
      <c r="P25" s="133">
        <f t="shared" si="1"/>
        <v>0</v>
      </c>
      <c r="Q25" s="135">
        <f t="shared" si="3"/>
        <v>0</v>
      </c>
      <c r="R25" s="133">
        <f t="shared" si="2"/>
        <v>0</v>
      </c>
      <c r="S25" s="345">
        <f t="shared" si="4"/>
        <v>0</v>
      </c>
      <c r="T25" s="133">
        <f t="shared" si="5"/>
        <v>0</v>
      </c>
      <c r="U25" s="137">
        <f t="shared" si="6"/>
        <v>0</v>
      </c>
    </row>
    <row r="26" spans="2:21" x14ac:dyDescent="0.25">
      <c r="B26" s="20">
        <v>8</v>
      </c>
      <c r="C26" s="240" t="str">
        <f>IF(LEN(IFERROR(INDEX(RESX!$C:$C,MATCH(B26,RESX!$Q:$Q,0),1),""))&gt;0,IFERROR(INDEX(RESX!$C:$C,MATCH(B26,RESX!$Q:$Q,0),1),""),"- ")</f>
        <v xml:space="preserve">- </v>
      </c>
      <c r="D26" s="240" t="str">
        <f>IFERROR(INDEX(RESX!$D:$D,MATCH(C26,RESX!$C:$C,0),1),"")</f>
        <v/>
      </c>
      <c r="E26" s="241" t="str">
        <f>IFERROR(INDEX(RESX!$E:$E,MATCH(C26,RESX!$C:$C,0),1),"")</f>
        <v/>
      </c>
      <c r="F26" s="242" t="str">
        <f>IFERROR(INDEX(RESX!$F:$F,MATCH(C26,RESX!$C:$C,0),1),"")</f>
        <v/>
      </c>
      <c r="G26" s="243" t="str">
        <f>IFERROR(INDEX(RESX!$I:$I,MATCH(C26,RESX!$C:$C,0),1),"")</f>
        <v/>
      </c>
      <c r="H26" s="242" t="str">
        <f>IFERROR(INDEX(RESX!$G:$G,MATCH(C26,RESX!$C:$C,0),1),"")</f>
        <v/>
      </c>
      <c r="I26" s="244" t="str">
        <f>IFERROR(INDEX(RESX!$J:$J,MATCH(C26,RESX!$C:$C,0),1),"")</f>
        <v/>
      </c>
      <c r="J26" s="242" t="str">
        <f>IFERROR(INDEX(RESX!$H:$H,MATCH(C26,RESX!$C:$C,0),1),"")</f>
        <v/>
      </c>
      <c r="K26" s="244" t="str">
        <f>IFERROR(INDEX(RESX!$K:$K,MATCH(C26,RESX!$C:$C,0),1),"")</f>
        <v/>
      </c>
      <c r="L26" s="245" t="str">
        <f>IFERROR(INDEX(VENDEDOR!Q:Q,MATCH(C26,VENDEDOR!$G:$G,0),1),"")</f>
        <v/>
      </c>
    </row>
    <row r="27" spans="2:21" x14ac:dyDescent="0.25">
      <c r="B27" s="20">
        <v>9</v>
      </c>
      <c r="C27" s="240" t="str">
        <f>IF(LEN(IFERROR(INDEX(RESX!$C:$C,MATCH(B27,RESX!$Q:$Q,0),1),""))&gt;0,IFERROR(INDEX(RESX!$C:$C,MATCH(B27,RESX!$Q:$Q,0),1),""),"- ")</f>
        <v xml:space="preserve">- </v>
      </c>
      <c r="D27" s="240" t="str">
        <f>IFERROR(INDEX(RESX!$D:$D,MATCH(C27,RESX!$C:$C,0),1),"")</f>
        <v/>
      </c>
      <c r="E27" s="241" t="str">
        <f>IFERROR(INDEX(RESX!$E:$E,MATCH(C27,RESX!$C:$C,0),1),"")</f>
        <v/>
      </c>
      <c r="F27" s="242" t="str">
        <f>IFERROR(INDEX(RESX!$F:$F,MATCH(C27,RESX!$C:$C,0),1),"")</f>
        <v/>
      </c>
      <c r="G27" s="243" t="str">
        <f>IFERROR(INDEX(RESX!$I:$I,MATCH(C27,RESX!$C:$C,0),1),"")</f>
        <v/>
      </c>
      <c r="H27" s="242" t="str">
        <f>IFERROR(INDEX(RESX!$G:$G,MATCH(C27,RESX!$C:$C,0),1),"")</f>
        <v/>
      </c>
      <c r="I27" s="244" t="str">
        <f>IFERROR(INDEX(RESX!$J:$J,MATCH(C27,RESX!$C:$C,0),1),"")</f>
        <v/>
      </c>
      <c r="J27" s="242" t="str">
        <f>IFERROR(INDEX(RESX!$H:$H,MATCH(C27,RESX!$C:$C,0),1),"")</f>
        <v/>
      </c>
      <c r="K27" s="244" t="str">
        <f>IFERROR(INDEX(RESX!$K:$K,MATCH(C27,RESX!$C:$C,0),1),"")</f>
        <v/>
      </c>
      <c r="L27" s="245" t="str">
        <f>IFERROR(INDEX(VENDEDOR!Q:Q,MATCH(C27,VENDEDOR!$G:$G,0),1),"")</f>
        <v/>
      </c>
    </row>
    <row r="28" spans="2:21" x14ac:dyDescent="0.25">
      <c r="B28" s="20">
        <v>10</v>
      </c>
      <c r="C28" s="240" t="str">
        <f>IF(LEN(IFERROR(INDEX(RESX!$C:$C,MATCH(B28,RESX!$Q:$Q,0),1),""))&gt;0,IFERROR(INDEX(RESX!$C:$C,MATCH(B28,RESX!$Q:$Q,0),1),""),"- ")</f>
        <v xml:space="preserve">- </v>
      </c>
      <c r="D28" s="240" t="str">
        <f>IFERROR(INDEX(RESX!$D:$D,MATCH(C28,RESX!$C:$C,0),1),"")</f>
        <v/>
      </c>
      <c r="E28" s="241" t="str">
        <f>IFERROR(INDEX(RESX!$E:$E,MATCH(C28,RESX!$C:$C,0),1),"")</f>
        <v/>
      </c>
      <c r="F28" s="242" t="str">
        <f>IFERROR(INDEX(RESX!$F:$F,MATCH(C28,RESX!$C:$C,0),1),"")</f>
        <v/>
      </c>
      <c r="G28" s="243" t="str">
        <f>IFERROR(INDEX(RESX!$I:$I,MATCH(C28,RESX!$C:$C,0),1),"")</f>
        <v/>
      </c>
      <c r="H28" s="242" t="str">
        <f>IFERROR(INDEX(RESX!$G:$G,MATCH(C28,RESX!$C:$C,0),1),"")</f>
        <v/>
      </c>
      <c r="I28" s="244" t="str">
        <f>IFERROR(INDEX(RESX!$J:$J,MATCH(C28,RESX!$C:$C,0),1),"")</f>
        <v/>
      </c>
      <c r="J28" s="242" t="str">
        <f>IFERROR(INDEX(RESX!$H:$H,MATCH(C28,RESX!$C:$C,0),1),"")</f>
        <v/>
      </c>
      <c r="K28" s="244" t="str">
        <f>IFERROR(INDEX(RESX!$K:$K,MATCH(C28,RESX!$C:$C,0),1),"")</f>
        <v/>
      </c>
      <c r="L28" s="245" t="str">
        <f>IFERROR(INDEX(VENDEDOR!Q:Q,MATCH(C28,VENDEDOR!$G:$G,0),1),"")</f>
        <v/>
      </c>
      <c r="O28" s="359" t="s">
        <v>97</v>
      </c>
      <c r="P28" s="360"/>
      <c r="Q28" s="359" t="s">
        <v>98</v>
      </c>
      <c r="R28" s="360"/>
      <c r="S28" s="359" t="s">
        <v>215</v>
      </c>
      <c r="T28" s="360"/>
      <c r="U28" s="22" t="s">
        <v>3</v>
      </c>
    </row>
    <row r="29" spans="2:21" x14ac:dyDescent="0.25">
      <c r="B29" s="20">
        <v>11</v>
      </c>
      <c r="C29" s="240" t="str">
        <f>IF(LEN(IFERROR(INDEX(RESX!$C:$C,MATCH(B29,RESX!$Q:$Q,0),1),""))&gt;0,IFERROR(INDEX(RESX!$C:$C,MATCH(B29,RESX!$Q:$Q,0),1),""),"- ")</f>
        <v xml:space="preserve">- </v>
      </c>
      <c r="D29" s="240" t="str">
        <f>IFERROR(INDEX(RESX!$D:$D,MATCH(C29,RESX!$C:$C,0),1),"")</f>
        <v/>
      </c>
      <c r="E29" s="241" t="str">
        <f>IFERROR(INDEX(RESX!$E:$E,MATCH(C29,RESX!$C:$C,0),1),"")</f>
        <v/>
      </c>
      <c r="F29" s="242" t="str">
        <f>IFERROR(INDEX(RESX!$F:$F,MATCH(C29,RESX!$C:$C,0),1),"")</f>
        <v/>
      </c>
      <c r="G29" s="243" t="str">
        <f>IFERROR(INDEX(RESX!$I:$I,MATCH(C29,RESX!$C:$C,0),1),"")</f>
        <v/>
      </c>
      <c r="H29" s="242" t="str">
        <f>IFERROR(INDEX(RESX!$G:$G,MATCH(C29,RESX!$C:$C,0),1),"")</f>
        <v/>
      </c>
      <c r="I29" s="244" t="str">
        <f>IFERROR(INDEX(RESX!$J:$J,MATCH(C29,RESX!$C:$C,0),1),"")</f>
        <v/>
      </c>
      <c r="J29" s="242" t="str">
        <f>IFERROR(INDEX(RESX!$H:$H,MATCH(C29,RESX!$C:$C,0),1),"")</f>
        <v/>
      </c>
      <c r="K29" s="244" t="str">
        <f>IFERROR(INDEX(RESX!$K:$K,MATCH(C29,RESX!$C:$C,0),1),"")</f>
        <v/>
      </c>
      <c r="L29" s="245" t="str">
        <f>IFERROR(INDEX(VENDEDOR!Q:Q,MATCH(C29,VENDEDOR!$G:$G,0),1),"")</f>
        <v/>
      </c>
      <c r="N29" s="138" t="s">
        <v>5</v>
      </c>
      <c r="O29" s="31">
        <f>IFERROR(SUMIFS(FACTURA!$T:$T,FACTURA!$AF:$AF,RESUMEN!$O$28),0)</f>
        <v>0</v>
      </c>
      <c r="P29" s="157">
        <f>IFERROR(O29/P19,0)</f>
        <v>0</v>
      </c>
      <c r="Q29" s="31">
        <f>IFERROR(SUMIFS(FACTURA!$T:$T,FACTURA!$AF:$AF,RESUMEN!$Q$28),0)</f>
        <v>0</v>
      </c>
      <c r="R29" s="157">
        <f>IFERROR(Q29/P19,0)</f>
        <v>0</v>
      </c>
      <c r="S29" s="31">
        <f>IFERROR(SUMIFS(FACTURA!$T:$T,FACTURA!$AF:$AF,RESUMEN!$S$28),0)</f>
        <v>0</v>
      </c>
      <c r="T29" s="157">
        <f>IFERROR(S29/P19,0)</f>
        <v>0</v>
      </c>
      <c r="U29" s="159">
        <f>IFERROR(Q29+O29+S29,0)</f>
        <v>0</v>
      </c>
    </row>
    <row r="30" spans="2:21" x14ac:dyDescent="0.25">
      <c r="B30" s="20">
        <v>12</v>
      </c>
      <c r="C30" s="240" t="str">
        <f>IF(LEN(IFERROR(INDEX(RESX!$C:$C,MATCH(B30,RESX!$Q:$Q,0),1),""))&gt;0,IFERROR(INDEX(RESX!$C:$C,MATCH(B30,RESX!$Q:$Q,0),1),""),"- ")</f>
        <v xml:space="preserve">- </v>
      </c>
      <c r="D30" s="240" t="str">
        <f>IFERROR(INDEX(RESX!$D:$D,MATCH(C30,RESX!$C:$C,0),1),"")</f>
        <v/>
      </c>
      <c r="E30" s="241" t="str">
        <f>IFERROR(INDEX(RESX!$E:$E,MATCH(C30,RESX!$C:$C,0),1),"")</f>
        <v/>
      </c>
      <c r="F30" s="242" t="str">
        <f>IFERROR(INDEX(RESX!$F:$F,MATCH(C30,RESX!$C:$C,0),1),"")</f>
        <v/>
      </c>
      <c r="G30" s="243" t="str">
        <f>IFERROR(INDEX(RESX!$I:$I,MATCH(C30,RESX!$C:$C,0),1),"")</f>
        <v/>
      </c>
      <c r="H30" s="242" t="str">
        <f>IFERROR(INDEX(RESX!$G:$G,MATCH(C30,RESX!$C:$C,0),1),"")</f>
        <v/>
      </c>
      <c r="I30" s="244" t="str">
        <f>IFERROR(INDEX(RESX!$J:$J,MATCH(C30,RESX!$C:$C,0),1),"")</f>
        <v/>
      </c>
      <c r="J30" s="242" t="str">
        <f>IFERROR(INDEX(RESX!$H:$H,MATCH(C30,RESX!$C:$C,0),1),"")</f>
        <v/>
      </c>
      <c r="K30" s="244" t="str">
        <f>IFERROR(INDEX(RESX!$K:$K,MATCH(C30,RESX!$C:$C,0),1),"")</f>
        <v/>
      </c>
      <c r="L30" s="245" t="str">
        <f>IFERROR(INDEX(VENDEDOR!Q:Q,MATCH(C30,VENDEDOR!$G:$G,0),1),"")</f>
        <v/>
      </c>
      <c r="N30" s="156" t="s">
        <v>6</v>
      </c>
      <c r="O30" s="38">
        <f>IFERROR(SUMIFS(PEDIDO!$T:$T,PEDIDO!$AF:$AF,RESUMEN!$O$28),0)</f>
        <v>0</v>
      </c>
      <c r="P30" s="158">
        <f>IFERROR(O30/R19,0)</f>
        <v>0</v>
      </c>
      <c r="Q30" s="38">
        <f>IFERROR(SUMIFS(PEDIDO!$T:$T,PEDIDO!$AF:$AF,RESUMEN!$Q$28),0)</f>
        <v>0</v>
      </c>
      <c r="R30" s="158">
        <f>IFERROR(Q30/R19,0)</f>
        <v>0</v>
      </c>
      <c r="S30" s="38">
        <f>IFERROR(SUMIFS(PEDIDO!$T:$T,PEDIDO!$AF:$AF,RESUMEN!$S$28),0)</f>
        <v>0</v>
      </c>
      <c r="T30" s="158">
        <f>IFERROR(S30/R19,0)</f>
        <v>0</v>
      </c>
      <c r="U30" s="160">
        <f>IFERROR(Q30+O30+S30,0)</f>
        <v>0</v>
      </c>
    </row>
    <row r="31" spans="2:21" x14ac:dyDescent="0.25">
      <c r="B31" s="20">
        <v>13</v>
      </c>
      <c r="C31" s="240" t="str">
        <f>IF(LEN(IFERROR(INDEX(RESX!$C:$C,MATCH(B31,RESX!$Q:$Q,0),1),""))&gt;0,IFERROR(INDEX(RESX!$C:$C,MATCH(B31,RESX!$Q:$Q,0),1),""),"- ")</f>
        <v xml:space="preserve">- </v>
      </c>
      <c r="D31" s="240" t="str">
        <f>IFERROR(INDEX(RESX!$D:$D,MATCH(C31,RESX!$C:$C,0),1),"")</f>
        <v/>
      </c>
      <c r="E31" s="241" t="str">
        <f>IFERROR(INDEX(RESX!$E:$E,MATCH(C31,RESX!$C:$C,0),1),"")</f>
        <v/>
      </c>
      <c r="F31" s="242" t="str">
        <f>IFERROR(INDEX(RESX!$F:$F,MATCH(C31,RESX!$C:$C,0),1),"")</f>
        <v/>
      </c>
      <c r="G31" s="243" t="str">
        <f>IFERROR(INDEX(RESX!$I:$I,MATCH(C31,RESX!$C:$C,0),1),"")</f>
        <v/>
      </c>
      <c r="H31" s="242" t="str">
        <f>IFERROR(INDEX(RESX!$G:$G,MATCH(C31,RESX!$C:$C,0),1),"")</f>
        <v/>
      </c>
      <c r="I31" s="244" t="str">
        <f>IFERROR(INDEX(RESX!$J:$J,MATCH(C31,RESX!$C:$C,0),1),"")</f>
        <v/>
      </c>
      <c r="J31" s="242" t="str">
        <f>IFERROR(INDEX(RESX!$H:$H,MATCH(C31,RESX!$C:$C,0),1),"")</f>
        <v/>
      </c>
      <c r="K31" s="244" t="str">
        <f>IFERROR(INDEX(RESX!$K:$K,MATCH(C31,RESX!$C:$C,0),1),"")</f>
        <v/>
      </c>
      <c r="L31" s="245" t="str">
        <f>IFERROR(INDEX(VENDEDOR!Q:Q,MATCH(C31,VENDEDOR!$G:$G,0),1),"")</f>
        <v/>
      </c>
    </row>
    <row r="32" spans="2:21" x14ac:dyDescent="0.25">
      <c r="B32" s="89">
        <v>14</v>
      </c>
      <c r="C32" s="209" t="str">
        <f>IF(LEN(IFERROR(INDEX(RESX!$C:$C,MATCH(B32,RESX!$Q:$Q,0),1),""))&gt;0,IFERROR(INDEX(RESX!$C:$C,MATCH(B32,RESX!$Q:$Q,0),1),""),"- ")</f>
        <v xml:space="preserve">- </v>
      </c>
      <c r="D32" s="209" t="str">
        <f>IFERROR(INDEX(RESX!$D:$D,MATCH(C32,RESX!$C:$C,0),1),"")</f>
        <v/>
      </c>
      <c r="E32" s="212" t="str">
        <f>IFERROR(INDEX(RESX!$E:$E,MATCH(C32,RESX!$C:$C,0),1),"")</f>
        <v/>
      </c>
      <c r="F32" s="216" t="str">
        <f>IFERROR(INDEX(RESX!$F:$F,MATCH(C32,RESX!$C:$C,0),1),"")</f>
        <v/>
      </c>
      <c r="G32" s="217" t="str">
        <f>IFERROR(INDEX(RESX!$I:$I,MATCH(C32,RESX!$C:$C,0),1),"")</f>
        <v/>
      </c>
      <c r="H32" s="216" t="str">
        <f>IFERROR(INDEX(RESX!$G:$G,MATCH(C32,RESX!$C:$C,0),1),"")</f>
        <v/>
      </c>
      <c r="I32" s="218" t="str">
        <f>IFERROR(INDEX(RESX!$J:$J,MATCH(C32,RESX!$C:$C,0),1),"")</f>
        <v/>
      </c>
      <c r="J32" s="216" t="str">
        <f>IFERROR(INDEX(RESX!$H:$H,MATCH(C32,RESX!$C:$C,0),1),"")</f>
        <v/>
      </c>
      <c r="K32" s="218" t="str">
        <f>IFERROR(INDEX(RESX!$K:$K,MATCH(C32,RESX!$C:$C,0),1),"")</f>
        <v/>
      </c>
      <c r="L32" s="209" t="str">
        <f>IFERROR(INDEX(VENDEDOR!Q:Q,MATCH(C32,VENDEDOR!$G:$G,0),1),"")</f>
        <v/>
      </c>
    </row>
    <row r="33" spans="2:44" x14ac:dyDescent="0.25">
      <c r="B33" s="89">
        <v>15</v>
      </c>
      <c r="C33" s="209" t="str">
        <f>IF(LEN(IFERROR(INDEX(RESX!$C:$C,MATCH(B33,RESX!$Q:$Q,0),1),""))&gt;0,IFERROR(INDEX(RESX!$C:$C,MATCH(B33,RESX!$Q:$Q,0),1),""),"- ")</f>
        <v xml:space="preserve">- </v>
      </c>
      <c r="D33" s="209" t="str">
        <f>IFERROR(INDEX(RESX!$D:$D,MATCH(C33,RESX!$C:$C,0),1),"")</f>
        <v/>
      </c>
      <c r="E33" s="212" t="str">
        <f>IFERROR(INDEX(RESX!$E:$E,MATCH(C33,RESX!$C:$C,0),1),"")</f>
        <v/>
      </c>
      <c r="F33" s="216" t="str">
        <f>IFERROR(INDEX(RESX!$F:$F,MATCH(C33,RESX!$C:$C,0),1),"")</f>
        <v/>
      </c>
      <c r="G33" s="217" t="str">
        <f>IFERROR(INDEX(RESX!$I:$I,MATCH(C33,RESX!$C:$C,0),1),"")</f>
        <v/>
      </c>
      <c r="H33" s="216" t="str">
        <f>IFERROR(INDEX(RESX!$G:$G,MATCH(C33,RESX!$C:$C,0),1),"")</f>
        <v/>
      </c>
      <c r="I33" s="218" t="str">
        <f>IFERROR(INDEX(RESX!$J:$J,MATCH(C33,RESX!$C:$C,0),1),"")</f>
        <v/>
      </c>
      <c r="J33" s="216" t="str">
        <f>IFERROR(INDEX(RESX!$H:$H,MATCH(C33,RESX!$C:$C,0),1),"")</f>
        <v/>
      </c>
      <c r="K33" s="218" t="str">
        <f>IFERROR(INDEX(RESX!$K:$K,MATCH(C33,RESX!$C:$C,0),1),"")</f>
        <v/>
      </c>
      <c r="L33" s="209" t="str">
        <f>IFERROR(INDEX(VENDEDOR!Q:Q,MATCH(C33,VENDEDOR!$G:$G,0),1),"")</f>
        <v/>
      </c>
    </row>
    <row r="34" spans="2:44" x14ac:dyDescent="0.25">
      <c r="B34" s="89">
        <v>16</v>
      </c>
      <c r="C34" s="209" t="str">
        <f>IF(LEN(IFERROR(INDEX(RESX!$C:$C,MATCH(B34,RESX!$Q:$Q,0),1),""))&gt;0,IFERROR(INDEX(RESX!$C:$C,MATCH(B34,RESX!$Q:$Q,0),1),""),"- ")</f>
        <v xml:space="preserve">- </v>
      </c>
      <c r="D34" s="209" t="str">
        <f>IFERROR(INDEX(RESX!$D:$D,MATCH(C34,RESX!$C:$C,0),1),"")</f>
        <v/>
      </c>
      <c r="E34" s="212" t="str">
        <f>IFERROR(INDEX(RESX!$E:$E,MATCH(C34,RESX!$C:$C,0),1),"")</f>
        <v/>
      </c>
      <c r="F34" s="216" t="str">
        <f>IFERROR(INDEX(RESX!$F:$F,MATCH(C34,RESX!$C:$C,0),1),"")</f>
        <v/>
      </c>
      <c r="G34" s="217" t="str">
        <f>IFERROR(INDEX(RESX!$I:$I,MATCH(C34,RESX!$C:$C,0),1),"")</f>
        <v/>
      </c>
      <c r="H34" s="216" t="str">
        <f>IFERROR(INDEX(RESX!$G:$G,MATCH(C34,RESX!$C:$C,0),1),"")</f>
        <v/>
      </c>
      <c r="I34" s="218" t="str">
        <f>IFERROR(INDEX(RESX!$J:$J,MATCH(C34,RESX!$C:$C,0),1),"")</f>
        <v/>
      </c>
      <c r="J34" s="216" t="str">
        <f>IFERROR(INDEX(RESX!$H:$H,MATCH(C34,RESX!$C:$C,0),1),"")</f>
        <v/>
      </c>
      <c r="K34" s="218" t="str">
        <f>IFERROR(INDEX(RESX!$K:$K,MATCH(C34,RESX!$C:$C,0),1),"")</f>
        <v/>
      </c>
      <c r="L34" s="209" t="str">
        <f>IFERROR(INDEX(VENDEDOR!Q:Q,MATCH(C34,VENDEDOR!$G:$G,0),1),"")</f>
        <v/>
      </c>
    </row>
    <row r="35" spans="2:44" x14ac:dyDescent="0.25">
      <c r="B35" s="89">
        <v>17</v>
      </c>
      <c r="C35" s="209" t="str">
        <f>IF(LEN(IFERROR(INDEX(RESX!$C:$C,MATCH(B35,RESX!$Q:$Q,0),1),""))&gt;0,IFERROR(INDEX(RESX!$C:$C,MATCH(B35,RESX!$Q:$Q,0),1),""),"- ")</f>
        <v xml:space="preserve">- </v>
      </c>
      <c r="D35" s="209" t="str">
        <f>IFERROR(INDEX(RESX!$D:$D,MATCH(C35,RESX!$C:$C,0),1),"")</f>
        <v/>
      </c>
      <c r="E35" s="212" t="str">
        <f>IFERROR(INDEX(RESX!$E:$E,MATCH(C35,RESX!$C:$C,0),1),"")</f>
        <v/>
      </c>
      <c r="F35" s="216" t="str">
        <f>IFERROR(INDEX(RESX!$F:$F,MATCH(C35,RESX!$C:$C,0),1),"")</f>
        <v/>
      </c>
      <c r="G35" s="217" t="str">
        <f>IFERROR(INDEX(RESX!$I:$I,MATCH(C35,RESX!$C:$C,0),1),"")</f>
        <v/>
      </c>
      <c r="H35" s="216" t="str">
        <f>IFERROR(INDEX(RESX!$G:$G,MATCH(C35,RESX!$C:$C,0),1),"")</f>
        <v/>
      </c>
      <c r="I35" s="218" t="str">
        <f>IFERROR(INDEX(RESX!$J:$J,MATCH(C35,RESX!$C:$C,0),1),"")</f>
        <v/>
      </c>
      <c r="J35" s="216" t="str">
        <f>IFERROR(INDEX(RESX!$H:$H,MATCH(C35,RESX!$C:$C,0),1),"")</f>
        <v/>
      </c>
      <c r="K35" s="218" t="str">
        <f>IFERROR(INDEX(RESX!$K:$K,MATCH(C35,RESX!$C:$C,0),1),"")</f>
        <v/>
      </c>
      <c r="L35" s="209" t="str">
        <f>IFERROR(INDEX(VENDEDOR!Q:Q,MATCH(C35,VENDEDOR!$G:$G,0),1),"")</f>
        <v/>
      </c>
    </row>
    <row r="36" spans="2:44" x14ac:dyDescent="0.25">
      <c r="B36" s="89">
        <v>18</v>
      </c>
      <c r="C36" s="209" t="str">
        <f>IF(LEN(IFERROR(INDEX(RESX!$C:$C,MATCH(B36,RESX!$Q:$Q,0),1),""))&gt;0,IFERROR(INDEX(RESX!$C:$C,MATCH(B36,RESX!$Q:$Q,0),1),""),"- ")</f>
        <v xml:space="preserve">- </v>
      </c>
      <c r="D36" s="209" t="str">
        <f>IFERROR(INDEX(RESX!$D:$D,MATCH(C36,RESX!$C:$C,0),1),"")</f>
        <v/>
      </c>
      <c r="E36" s="212" t="str">
        <f>IFERROR(INDEX(RESX!$E:$E,MATCH(C36,RESX!$C:$C,0),1),"")</f>
        <v/>
      </c>
      <c r="F36" s="216" t="str">
        <f>IFERROR(INDEX(RESX!$F:$F,MATCH(C36,RESX!$C:$C,0),1),"")</f>
        <v/>
      </c>
      <c r="G36" s="217" t="str">
        <f>IFERROR(INDEX(RESX!$I:$I,MATCH(C36,RESX!$C:$C,0),1),"")</f>
        <v/>
      </c>
      <c r="H36" s="216" t="str">
        <f>IFERROR(INDEX(RESX!$G:$G,MATCH(C36,RESX!$C:$C,0),1),"")</f>
        <v/>
      </c>
      <c r="I36" s="218" t="str">
        <f>IFERROR(INDEX(RESX!$J:$J,MATCH(C36,RESX!$C:$C,0),1),"")</f>
        <v/>
      </c>
      <c r="J36" s="216" t="str">
        <f>IFERROR(INDEX(RESX!$H:$H,MATCH(C36,RESX!$C:$C,0),1),"")</f>
        <v/>
      </c>
      <c r="K36" s="218" t="str">
        <f>IFERROR(INDEX(RESX!$K:$K,MATCH(C36,RESX!$C:$C,0),1),"")</f>
        <v/>
      </c>
      <c r="L36" s="209" t="str">
        <f>IFERROR(INDEX(VENDEDOR!Q:Q,MATCH(C36,VENDEDOR!$G:$G,0),1),"")</f>
        <v/>
      </c>
    </row>
    <row r="37" spans="2:44" x14ac:dyDescent="0.25">
      <c r="B37" s="89">
        <v>19</v>
      </c>
      <c r="C37" s="209" t="str">
        <f>IF(LEN(IFERROR(INDEX(RESX!$C:$C,MATCH(B37,RESX!$Q:$Q,0),1),""))&gt;0,IFERROR(INDEX(RESX!$C:$C,MATCH(B37,RESX!$Q:$Q,0),1),""),"- ")</f>
        <v xml:space="preserve">- </v>
      </c>
      <c r="D37" s="209" t="str">
        <f>IFERROR(INDEX(RESX!$D:$D,MATCH(C37,RESX!$C:$C,0),1),"")</f>
        <v/>
      </c>
      <c r="E37" s="212" t="str">
        <f>IFERROR(INDEX(RESX!$E:$E,MATCH(C37,RESX!$C:$C,0),1),"")</f>
        <v/>
      </c>
      <c r="F37" s="216" t="str">
        <f>IFERROR(INDEX(RESX!$F:$F,MATCH(C37,RESX!$C:$C,0),1),"")</f>
        <v/>
      </c>
      <c r="G37" s="217" t="str">
        <f>IFERROR(INDEX(RESX!$I:$I,MATCH(C37,RESX!$C:$C,0),1),"")</f>
        <v/>
      </c>
      <c r="H37" s="216" t="str">
        <f>IFERROR(INDEX(RESX!$G:$G,MATCH(C37,RESX!$C:$C,0),1),"")</f>
        <v/>
      </c>
      <c r="I37" s="218" t="str">
        <f>IFERROR(INDEX(RESX!$J:$J,MATCH(C37,RESX!$C:$C,0),1),"")</f>
        <v/>
      </c>
      <c r="J37" s="216" t="str">
        <f>IFERROR(INDEX(RESX!$H:$H,MATCH(C37,RESX!$C:$C,0),1),"")</f>
        <v/>
      </c>
      <c r="K37" s="218" t="str">
        <f>IFERROR(INDEX(RESX!$K:$K,MATCH(C37,RESX!$C:$C,0),1),"")</f>
        <v/>
      </c>
      <c r="L37" s="209" t="str">
        <f>IFERROR(INDEX(VENDEDOR!Q:Q,MATCH(C37,VENDEDOR!$G:$G,0),1),"")</f>
        <v/>
      </c>
    </row>
    <row r="38" spans="2:44" x14ac:dyDescent="0.25">
      <c r="B38" s="90">
        <v>20</v>
      </c>
      <c r="C38" s="208" t="str">
        <f>IF(LEN(IFERROR(INDEX(RESX!$C:$C,MATCH(B38,RESX!$Q:$Q,0),1),""))&gt;0,IFERROR(INDEX(RESX!$C:$C,MATCH(B38,RESX!$Q:$Q,0),1),""),"- ")</f>
        <v xml:space="preserve">- </v>
      </c>
      <c r="D38" s="208" t="str">
        <f>IFERROR(INDEX(RESX!$D:$D,MATCH(C38,RESX!$C:$C,0),1),"")</f>
        <v/>
      </c>
      <c r="E38" s="213" t="str">
        <f>IFERROR(INDEX(RESX!$E:$E,MATCH(C38,RESX!$C:$C,0),1),"")</f>
        <v/>
      </c>
      <c r="F38" s="219" t="str">
        <f>IFERROR(INDEX(RESX!$F:$F,MATCH(C38,RESX!$C:$C,0),1),"")</f>
        <v/>
      </c>
      <c r="G38" s="220" t="str">
        <f>IFERROR(INDEX(RESX!$I:$I,MATCH(C38,RESX!$C:$C,0),1),"")</f>
        <v/>
      </c>
      <c r="H38" s="219" t="str">
        <f>IFERROR(INDEX(RESX!$G:$G,MATCH(C38,RESX!$C:$C,0),1),"")</f>
        <v/>
      </c>
      <c r="I38" s="221" t="str">
        <f>IFERROR(INDEX(RESX!$J:$J,MATCH(C38,RESX!$C:$C,0),1),"")</f>
        <v/>
      </c>
      <c r="J38" s="219" t="str">
        <f>IFERROR(INDEX(RESX!$H:$H,MATCH(C38,RESX!$C:$C,0),1),"")</f>
        <v/>
      </c>
      <c r="K38" s="221" t="str">
        <f>IFERROR(INDEX(RESX!$K:$K,MATCH(C38,RESX!$C:$C,0),1),"")</f>
        <v/>
      </c>
      <c r="L38" s="208" t="str">
        <f>IFERROR(INDEX(VENDEDOR!Q:Q,MATCH(C38,VENDEDOR!$G:$G,0),1),"")</f>
        <v/>
      </c>
    </row>
    <row r="39" spans="2:44" x14ac:dyDescent="0.25"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</row>
    <row r="40" spans="2:44" x14ac:dyDescent="0.25">
      <c r="B40" s="6" t="s">
        <v>89</v>
      </c>
      <c r="C40" s="200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</row>
    <row r="41" spans="2:44" hidden="1" x14ac:dyDescent="0.25">
      <c r="B41" s="237" t="s">
        <v>96</v>
      </c>
      <c r="C41" s="236"/>
      <c r="D41" s="139">
        <f>IFERROR(O19/SUM(E230:E249),0)</f>
        <v>0</v>
      </c>
      <c r="E41" s="139">
        <f>IFERROR(P19/SUM(G230:G249),0)</f>
        <v>0</v>
      </c>
      <c r="F41" s="139"/>
      <c r="G41" s="139">
        <f>IFERROR(R19/SUM(K230:K249),0)</f>
        <v>0</v>
      </c>
      <c r="J41" s="224" t="s">
        <v>250</v>
      </c>
      <c r="K41" s="347">
        <f ca="1">DATE(YEAR($A$2),MONTH($A$2),1)</f>
        <v>42125</v>
      </c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</row>
    <row r="42" spans="2:44" hidden="1" x14ac:dyDescent="0.25">
      <c r="B42" s="237" t="s">
        <v>209</v>
      </c>
      <c r="C42" s="236"/>
      <c r="D42" s="139"/>
      <c r="E42" s="228">
        <v>0</v>
      </c>
      <c r="F42" s="228">
        <v>1</v>
      </c>
      <c r="G42" s="228">
        <v>2</v>
      </c>
      <c r="H42" s="228">
        <v>3</v>
      </c>
      <c r="I42" s="228">
        <v>4</v>
      </c>
      <c r="J42" s="228">
        <v>5</v>
      </c>
      <c r="K42" s="228">
        <v>6</v>
      </c>
      <c r="L42" s="228">
        <v>7</v>
      </c>
      <c r="M42" s="228">
        <v>8</v>
      </c>
      <c r="N42" s="228">
        <v>9</v>
      </c>
      <c r="O42" s="228">
        <v>10</v>
      </c>
      <c r="P42" s="228">
        <v>11</v>
      </c>
      <c r="Q42" s="228">
        <v>12</v>
      </c>
      <c r="R42" s="228">
        <v>13</v>
      </c>
      <c r="S42" s="228">
        <v>14</v>
      </c>
      <c r="T42" s="228">
        <v>15</v>
      </c>
      <c r="U42" s="228">
        <v>16</v>
      </c>
      <c r="V42" s="228">
        <v>17</v>
      </c>
      <c r="W42" s="228">
        <v>18</v>
      </c>
      <c r="X42" s="228">
        <v>19</v>
      </c>
      <c r="Y42" s="228">
        <v>20</v>
      </c>
      <c r="Z42" s="228">
        <v>21</v>
      </c>
      <c r="AA42" s="228">
        <v>22</v>
      </c>
      <c r="AB42" s="228">
        <v>23</v>
      </c>
      <c r="AC42" s="228">
        <v>24</v>
      </c>
      <c r="AD42" s="228">
        <v>25</v>
      </c>
      <c r="AE42" s="228">
        <v>26</v>
      </c>
      <c r="AF42" s="228">
        <v>27</v>
      </c>
      <c r="AG42" s="228">
        <v>28</v>
      </c>
      <c r="AH42" s="228">
        <v>29</v>
      </c>
      <c r="AI42" s="228">
        <v>30</v>
      </c>
      <c r="AJ42" s="31"/>
      <c r="AK42" s="31"/>
      <c r="AL42" s="31"/>
      <c r="AM42" s="31"/>
      <c r="AN42" s="31"/>
      <c r="AO42" s="31"/>
      <c r="AP42" s="31"/>
      <c r="AQ42" s="31"/>
      <c r="AR42" s="31"/>
    </row>
    <row r="43" spans="2:44" hidden="1" x14ac:dyDescent="0.25">
      <c r="B43" s="237" t="s">
        <v>243</v>
      </c>
      <c r="C43" s="236"/>
      <c r="D43" s="139"/>
      <c r="E43" s="353">
        <f ca="1">$K$41+E42</f>
        <v>42125</v>
      </c>
      <c r="F43" s="353">
        <f t="shared" ref="F43:AI43" ca="1" si="7">$K$41+F42</f>
        <v>42126</v>
      </c>
      <c r="G43" s="353">
        <f t="shared" ca="1" si="7"/>
        <v>42127</v>
      </c>
      <c r="H43" s="353">
        <f t="shared" ca="1" si="7"/>
        <v>42128</v>
      </c>
      <c r="I43" s="353">
        <f t="shared" ca="1" si="7"/>
        <v>42129</v>
      </c>
      <c r="J43" s="353">
        <f t="shared" ca="1" si="7"/>
        <v>42130</v>
      </c>
      <c r="K43" s="353">
        <f t="shared" ca="1" si="7"/>
        <v>42131</v>
      </c>
      <c r="L43" s="353">
        <f t="shared" ca="1" si="7"/>
        <v>42132</v>
      </c>
      <c r="M43" s="353">
        <f t="shared" ca="1" si="7"/>
        <v>42133</v>
      </c>
      <c r="N43" s="353">
        <f t="shared" ca="1" si="7"/>
        <v>42134</v>
      </c>
      <c r="O43" s="353">
        <f t="shared" ca="1" si="7"/>
        <v>42135</v>
      </c>
      <c r="P43" s="353">
        <f t="shared" ca="1" si="7"/>
        <v>42136</v>
      </c>
      <c r="Q43" s="353">
        <f t="shared" ca="1" si="7"/>
        <v>42137</v>
      </c>
      <c r="R43" s="353">
        <f t="shared" ca="1" si="7"/>
        <v>42138</v>
      </c>
      <c r="S43" s="353">
        <f t="shared" ca="1" si="7"/>
        <v>42139</v>
      </c>
      <c r="T43" s="353">
        <f t="shared" ca="1" si="7"/>
        <v>42140</v>
      </c>
      <c r="U43" s="353">
        <f t="shared" ca="1" si="7"/>
        <v>42141</v>
      </c>
      <c r="V43" s="353">
        <f t="shared" ca="1" si="7"/>
        <v>42142</v>
      </c>
      <c r="W43" s="353">
        <f t="shared" ca="1" si="7"/>
        <v>42143</v>
      </c>
      <c r="X43" s="353">
        <f t="shared" ca="1" si="7"/>
        <v>42144</v>
      </c>
      <c r="Y43" s="353">
        <f t="shared" ca="1" si="7"/>
        <v>42145</v>
      </c>
      <c r="Z43" s="353">
        <f t="shared" ca="1" si="7"/>
        <v>42146</v>
      </c>
      <c r="AA43" s="353">
        <f t="shared" ca="1" si="7"/>
        <v>42147</v>
      </c>
      <c r="AB43" s="353">
        <f t="shared" ca="1" si="7"/>
        <v>42148</v>
      </c>
      <c r="AC43" s="353">
        <f t="shared" ca="1" si="7"/>
        <v>42149</v>
      </c>
      <c r="AD43" s="353">
        <f t="shared" ca="1" si="7"/>
        <v>42150</v>
      </c>
      <c r="AE43" s="353">
        <f t="shared" ca="1" si="7"/>
        <v>42151</v>
      </c>
      <c r="AF43" s="353">
        <f t="shared" ca="1" si="7"/>
        <v>42152</v>
      </c>
      <c r="AG43" s="353">
        <f t="shared" ca="1" si="7"/>
        <v>42153</v>
      </c>
      <c r="AH43" s="353">
        <f t="shared" ca="1" si="7"/>
        <v>42154</v>
      </c>
      <c r="AI43" s="353">
        <f t="shared" ca="1" si="7"/>
        <v>42155</v>
      </c>
      <c r="AJ43" s="31"/>
      <c r="AK43" s="31"/>
      <c r="AL43" s="31"/>
      <c r="AM43" s="31"/>
      <c r="AN43" s="31"/>
      <c r="AO43" s="31"/>
      <c r="AP43" s="31"/>
      <c r="AQ43" s="31"/>
      <c r="AR43" s="31"/>
    </row>
    <row r="44" spans="2:44" hidden="1" x14ac:dyDescent="0.25">
      <c r="B44" s="237" t="s">
        <v>258</v>
      </c>
      <c r="C44" s="236"/>
      <c r="D44" s="139"/>
      <c r="E44" s="228">
        <f ca="1">IF(IFERROR(MATCH(E43,FERIADO!$A:$A,0),0)&gt;0,1,IF(WEEKDAY(E43,2)=7,1,0))</f>
        <v>0</v>
      </c>
      <c r="F44" s="228">
        <f ca="1">IF(IFERROR(MATCH(F43,FERIADO!$A:$A,0),0)&gt;0,1,IF(WEEKDAY(F43,2)=7,1,0))</f>
        <v>0</v>
      </c>
      <c r="G44" s="228">
        <f ca="1">IF(IFERROR(MATCH(G43,FERIADO!$A:$A,0),0)&gt;0,1,IF(WEEKDAY(G43,2)=7,1,0))</f>
        <v>1</v>
      </c>
      <c r="H44" s="228">
        <f ca="1">IF(IFERROR(MATCH(H43,FERIADO!$A:$A,0),0)&gt;0,1,IF(WEEKDAY(H43,2)=7,1,0))</f>
        <v>0</v>
      </c>
      <c r="I44" s="228">
        <f ca="1">IF(IFERROR(MATCH(I43,FERIADO!$A:$A,0),0)&gt;0,1,IF(WEEKDAY(I43,2)=7,1,0))</f>
        <v>0</v>
      </c>
      <c r="J44" s="228">
        <f ca="1">IF(IFERROR(MATCH(J43,FERIADO!$A:$A,0),0)&gt;0,1,IF(WEEKDAY(J43,2)=7,1,0))</f>
        <v>0</v>
      </c>
      <c r="K44" s="228">
        <f ca="1">IF(IFERROR(MATCH(K43,FERIADO!$A:$A,0),0)&gt;0,1,IF(WEEKDAY(K43,2)=7,1,0))</f>
        <v>0</v>
      </c>
      <c r="L44" s="228">
        <f ca="1">IF(IFERROR(MATCH(L43,FERIADO!$A:$A,0),0)&gt;0,1,IF(WEEKDAY(L43,2)=7,1,0))</f>
        <v>0</v>
      </c>
      <c r="M44" s="228">
        <f ca="1">IF(IFERROR(MATCH(M43,FERIADO!$A:$A,0),0)&gt;0,1,IF(WEEKDAY(M43,2)=7,1,0))</f>
        <v>0</v>
      </c>
      <c r="N44" s="228">
        <f ca="1">IF(IFERROR(MATCH(N43,FERIADO!$A:$A,0),0)&gt;0,1,IF(WEEKDAY(N43,2)=7,1,0))</f>
        <v>1</v>
      </c>
      <c r="O44" s="228">
        <f ca="1">IF(IFERROR(MATCH(O43,FERIADO!$A:$A,0),0)&gt;0,1,IF(WEEKDAY(O43,2)=7,1,0))</f>
        <v>0</v>
      </c>
      <c r="P44" s="228">
        <f ca="1">IF(IFERROR(MATCH(P43,FERIADO!$A:$A,0),0)&gt;0,1,IF(WEEKDAY(P43,2)=7,1,0))</f>
        <v>0</v>
      </c>
      <c r="Q44" s="228">
        <f ca="1">IF(IFERROR(MATCH(Q43,FERIADO!$A:$A,0),0)&gt;0,1,IF(WEEKDAY(Q43,2)=7,1,0))</f>
        <v>0</v>
      </c>
      <c r="R44" s="228">
        <f ca="1">IF(IFERROR(MATCH(R43,FERIADO!$A:$A,0),0)&gt;0,1,IF(WEEKDAY(R43,2)=7,1,0))</f>
        <v>0</v>
      </c>
      <c r="S44" s="228">
        <f ca="1">IF(IFERROR(MATCH(S43,FERIADO!$A:$A,0),0)&gt;0,1,IF(WEEKDAY(S43,2)=7,1,0))</f>
        <v>0</v>
      </c>
      <c r="T44" s="228">
        <f ca="1">IF(IFERROR(MATCH(T43,FERIADO!$A:$A,0),0)&gt;0,1,IF(WEEKDAY(T43,2)=7,1,0))</f>
        <v>0</v>
      </c>
      <c r="U44" s="228">
        <f ca="1">IF(IFERROR(MATCH(U43,FERIADO!$A:$A,0),0)&gt;0,1,IF(WEEKDAY(U43,2)=7,1,0))</f>
        <v>1</v>
      </c>
      <c r="V44" s="228">
        <f ca="1">IF(IFERROR(MATCH(V43,FERIADO!$A:$A,0),0)&gt;0,1,IF(WEEKDAY(V43,2)=7,1,0))</f>
        <v>0</v>
      </c>
      <c r="W44" s="228">
        <f ca="1">IF(IFERROR(MATCH(W43,FERIADO!$A:$A,0),0)&gt;0,1,IF(WEEKDAY(W43,2)=7,1,0))</f>
        <v>0</v>
      </c>
      <c r="X44" s="228">
        <f ca="1">IF(IFERROR(MATCH(X43,FERIADO!$A:$A,0),0)&gt;0,1,IF(WEEKDAY(X43,2)=7,1,0))</f>
        <v>0</v>
      </c>
      <c r="Y44" s="228">
        <f ca="1">IF(IFERROR(MATCH(Y43,FERIADO!$A:$A,0),0)&gt;0,1,IF(WEEKDAY(Y43,2)=7,1,0))</f>
        <v>0</v>
      </c>
      <c r="Z44" s="228">
        <f ca="1">IF(IFERROR(MATCH(Z43,FERIADO!$A:$A,0),0)&gt;0,1,IF(WEEKDAY(Z43,2)=7,1,0))</f>
        <v>0</v>
      </c>
      <c r="AA44" s="228">
        <f ca="1">IF(IFERROR(MATCH(AA43,FERIADO!$A:$A,0),0)&gt;0,1,IF(WEEKDAY(AA43,2)=7,1,0))</f>
        <v>0</v>
      </c>
      <c r="AB44" s="228">
        <f ca="1">IF(IFERROR(MATCH(AB43,FERIADO!$A:$A,0),0)&gt;0,1,IF(WEEKDAY(AB43,2)=7,1,0))</f>
        <v>1</v>
      </c>
      <c r="AC44" s="228">
        <f ca="1">IF(IFERROR(MATCH(AC43,FERIADO!$A:$A,0),0)&gt;0,1,IF(WEEKDAY(AC43,2)=7,1,0))</f>
        <v>0</v>
      </c>
      <c r="AD44" s="228">
        <f ca="1">IF(IFERROR(MATCH(AD43,FERIADO!$A:$A,0),0)&gt;0,1,IF(WEEKDAY(AD43,2)=7,1,0))</f>
        <v>0</v>
      </c>
      <c r="AE44" s="228">
        <f ca="1">IF(IFERROR(MATCH(AE43,FERIADO!$A:$A,0),0)&gt;0,1,IF(WEEKDAY(AE43,2)=7,1,0))</f>
        <v>0</v>
      </c>
      <c r="AF44" s="228">
        <f ca="1">IF(IFERROR(MATCH(AF43,FERIADO!$A:$A,0),0)&gt;0,1,IF(WEEKDAY(AF43,2)=7,1,0))</f>
        <v>0</v>
      </c>
      <c r="AG44" s="228">
        <f ca="1">IF(IFERROR(MATCH(AG43,FERIADO!$A:$A,0),0)&gt;0,1,IF(WEEKDAY(AG43,2)=7,1,0))</f>
        <v>0</v>
      </c>
      <c r="AH44" s="228">
        <f ca="1">IF(IFERROR(MATCH(AH43,FERIADO!$A:$A,0),0)&gt;0,1,IF(WEEKDAY(AH43,2)=7,1,0))</f>
        <v>0</v>
      </c>
      <c r="AI44" s="228">
        <f ca="1">IF(IFERROR(MATCH(AI43,FERIADO!$A:$A,0),0)&gt;0,1,IF(WEEKDAY(AI43,2)=7,1,0))</f>
        <v>1</v>
      </c>
      <c r="AJ44" s="31"/>
      <c r="AK44" s="31"/>
      <c r="AL44" s="31"/>
      <c r="AM44" s="31"/>
      <c r="AN44" s="31"/>
      <c r="AO44" s="31"/>
      <c r="AP44" s="31"/>
      <c r="AQ44" s="31"/>
      <c r="AR44" s="31"/>
    </row>
    <row r="45" spans="2:44" x14ac:dyDescent="0.25">
      <c r="J45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</row>
    <row r="46" spans="2:44" x14ac:dyDescent="0.25">
      <c r="B46" s="6" t="s">
        <v>163</v>
      </c>
      <c r="C46" s="200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</row>
    <row r="47" spans="2:44" x14ac:dyDescent="0.25">
      <c r="B47" s="6"/>
      <c r="C47" s="200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</row>
    <row r="48" spans="2:44" x14ac:dyDescent="0.25">
      <c r="B48" s="22" t="s">
        <v>85</v>
      </c>
      <c r="C48" s="201"/>
      <c r="D48" s="22" t="s">
        <v>104</v>
      </c>
      <c r="E48" s="356">
        <f ca="1">E43</f>
        <v>42125</v>
      </c>
      <c r="F48" s="356">
        <f t="shared" ref="F48:M48" ca="1" si="8">F43</f>
        <v>42126</v>
      </c>
      <c r="G48" s="356">
        <f t="shared" ca="1" si="8"/>
        <v>42127</v>
      </c>
      <c r="H48" s="356">
        <f t="shared" ca="1" si="8"/>
        <v>42128</v>
      </c>
      <c r="I48" s="356">
        <f t="shared" ca="1" si="8"/>
        <v>42129</v>
      </c>
      <c r="J48" s="356">
        <f t="shared" ca="1" si="8"/>
        <v>42130</v>
      </c>
      <c r="K48" s="356">
        <f t="shared" ca="1" si="8"/>
        <v>42131</v>
      </c>
      <c r="L48" s="356">
        <f t="shared" ca="1" si="8"/>
        <v>42132</v>
      </c>
      <c r="M48" s="356">
        <f t="shared" ca="1" si="8"/>
        <v>42133</v>
      </c>
      <c r="N48" s="356">
        <f t="shared" ref="N48:AI48" ca="1" si="9">N43</f>
        <v>42134</v>
      </c>
      <c r="O48" s="356">
        <f t="shared" ca="1" si="9"/>
        <v>42135</v>
      </c>
      <c r="P48" s="356">
        <f t="shared" ca="1" si="9"/>
        <v>42136</v>
      </c>
      <c r="Q48" s="356">
        <f t="shared" ca="1" si="9"/>
        <v>42137</v>
      </c>
      <c r="R48" s="356">
        <f t="shared" ca="1" si="9"/>
        <v>42138</v>
      </c>
      <c r="S48" s="356">
        <f t="shared" ca="1" si="9"/>
        <v>42139</v>
      </c>
      <c r="T48" s="356">
        <f t="shared" ca="1" si="9"/>
        <v>42140</v>
      </c>
      <c r="U48" s="356">
        <f t="shared" ca="1" si="9"/>
        <v>42141</v>
      </c>
      <c r="V48" s="356">
        <f t="shared" ca="1" si="9"/>
        <v>42142</v>
      </c>
      <c r="W48" s="356">
        <f t="shared" ca="1" si="9"/>
        <v>42143</v>
      </c>
      <c r="X48" s="356">
        <f t="shared" ca="1" si="9"/>
        <v>42144</v>
      </c>
      <c r="Y48" s="356">
        <f t="shared" ca="1" si="9"/>
        <v>42145</v>
      </c>
      <c r="Z48" s="356">
        <f t="shared" ca="1" si="9"/>
        <v>42146</v>
      </c>
      <c r="AA48" s="356">
        <f t="shared" ca="1" si="9"/>
        <v>42147</v>
      </c>
      <c r="AB48" s="356">
        <f t="shared" ca="1" si="9"/>
        <v>42148</v>
      </c>
      <c r="AC48" s="356">
        <f t="shared" ca="1" si="9"/>
        <v>42149</v>
      </c>
      <c r="AD48" s="356">
        <f t="shared" ca="1" si="9"/>
        <v>42150</v>
      </c>
      <c r="AE48" s="356">
        <f t="shared" ca="1" si="9"/>
        <v>42151</v>
      </c>
      <c r="AF48" s="356">
        <f t="shared" ca="1" si="9"/>
        <v>42152</v>
      </c>
      <c r="AG48" s="356">
        <f t="shared" ca="1" si="9"/>
        <v>42153</v>
      </c>
      <c r="AH48" s="356">
        <f t="shared" ca="1" si="9"/>
        <v>42154</v>
      </c>
      <c r="AI48" s="356">
        <f t="shared" ca="1" si="9"/>
        <v>42155</v>
      </c>
      <c r="AJ48" s="31"/>
      <c r="AK48" s="31"/>
      <c r="AL48" s="31"/>
      <c r="AM48" s="31"/>
      <c r="AN48" s="31"/>
      <c r="AO48" s="31"/>
      <c r="AP48" s="31"/>
      <c r="AQ48" s="31"/>
      <c r="AR48" s="31"/>
    </row>
    <row r="49" spans="2:44" x14ac:dyDescent="0.25">
      <c r="B49" s="11" t="s">
        <v>88</v>
      </c>
      <c r="C49" s="11"/>
      <c r="D49" s="11"/>
      <c r="E49" s="8">
        <f ca="1">IFERROR(SUMIFS(PEDIDO!$T:$T,PEDIDO!$G:$G,RESUMEN!E48),0)</f>
        <v>0</v>
      </c>
      <c r="F49" s="8">
        <f ca="1">IFERROR(SUMIFS(PEDIDO!$T:$T,PEDIDO!$G:$G,RESUMEN!F48),0)</f>
        <v>0</v>
      </c>
      <c r="G49" s="8">
        <f ca="1">IFERROR(SUMIFS(PEDIDO!$T:$T,PEDIDO!$G:$G,RESUMEN!G48),0)</f>
        <v>0</v>
      </c>
      <c r="H49" s="8">
        <f ca="1">IFERROR(SUMIFS(PEDIDO!$T:$T,PEDIDO!$G:$G,RESUMEN!H48),0)</f>
        <v>0</v>
      </c>
      <c r="I49" s="8">
        <f ca="1">IFERROR(SUMIFS(PEDIDO!$T:$T,PEDIDO!$G:$G,RESUMEN!I48),0)</f>
        <v>0</v>
      </c>
      <c r="J49" s="8">
        <f ca="1">IFERROR(SUMIFS(PEDIDO!$T:$T,PEDIDO!$G:$G,RESUMEN!J48),0)</f>
        <v>0</v>
      </c>
      <c r="K49" s="8">
        <f ca="1">IFERROR(SUMIFS(PEDIDO!$T:$T,PEDIDO!$G:$G,RESUMEN!K48),0)</f>
        <v>0</v>
      </c>
      <c r="L49" s="8">
        <f ca="1">IFERROR(SUMIFS(PEDIDO!$T:$T,PEDIDO!$G:$G,RESUMEN!L48),0)</f>
        <v>0</v>
      </c>
      <c r="M49" s="8">
        <f ca="1">IFERROR(SUMIFS(PEDIDO!$T:$T,PEDIDO!$G:$G,RESUMEN!M48),0)</f>
        <v>0</v>
      </c>
      <c r="N49" s="8">
        <f ca="1">IFERROR(SUMIFS(PEDIDO!$T:$T,PEDIDO!$G:$G,RESUMEN!N48),0)</f>
        <v>0</v>
      </c>
      <c r="O49" s="8">
        <f ca="1">IFERROR(SUMIFS(PEDIDO!$T:$T,PEDIDO!$G:$G,RESUMEN!O48),0)</f>
        <v>0</v>
      </c>
      <c r="P49" s="8">
        <f ca="1">IFERROR(SUMIFS(PEDIDO!$T:$T,PEDIDO!$G:$G,RESUMEN!P48),0)</f>
        <v>0</v>
      </c>
      <c r="Q49" s="8">
        <f ca="1">IFERROR(SUMIFS(PEDIDO!$T:$T,PEDIDO!$G:$G,RESUMEN!Q48),0)</f>
        <v>0</v>
      </c>
      <c r="R49" s="8">
        <f ca="1">IFERROR(SUMIFS(PEDIDO!$T:$T,PEDIDO!$G:$G,RESUMEN!R48),0)</f>
        <v>0</v>
      </c>
      <c r="S49" s="8">
        <f ca="1">IFERROR(SUMIFS(PEDIDO!$T:$T,PEDIDO!$G:$G,RESUMEN!S48),0)</f>
        <v>0</v>
      </c>
      <c r="T49" s="8">
        <f ca="1">IFERROR(SUMIFS(PEDIDO!$T:$T,PEDIDO!$G:$G,RESUMEN!T48),0)</f>
        <v>0</v>
      </c>
      <c r="U49" s="8">
        <f ca="1">IFERROR(SUMIFS(PEDIDO!$T:$T,PEDIDO!$G:$G,RESUMEN!U48),0)</f>
        <v>0</v>
      </c>
      <c r="V49" s="8">
        <f ca="1">IFERROR(SUMIFS(PEDIDO!$T:$T,PEDIDO!$G:$G,RESUMEN!V48),0)</f>
        <v>0</v>
      </c>
      <c r="W49" s="8">
        <f ca="1">IFERROR(SUMIFS(PEDIDO!$T:$T,PEDIDO!$G:$G,RESUMEN!W48),0)</f>
        <v>0</v>
      </c>
      <c r="X49" s="8">
        <f ca="1">IFERROR(SUMIFS(PEDIDO!$T:$T,PEDIDO!$G:$G,RESUMEN!X48),0)</f>
        <v>0</v>
      </c>
      <c r="Y49" s="8">
        <f ca="1">IFERROR(SUMIFS(PEDIDO!$T:$T,PEDIDO!$G:$G,RESUMEN!Y48),0)</f>
        <v>0</v>
      </c>
      <c r="Z49" s="8">
        <f ca="1">IFERROR(SUMIFS(PEDIDO!$T:$T,PEDIDO!$G:$G,RESUMEN!Z48),0)</f>
        <v>0</v>
      </c>
      <c r="AA49" s="8">
        <f ca="1">IFERROR(SUMIFS(PEDIDO!$T:$T,PEDIDO!$G:$G,RESUMEN!AA48),0)</f>
        <v>0</v>
      </c>
      <c r="AB49" s="8">
        <f ca="1">IFERROR(SUMIFS(PEDIDO!$T:$T,PEDIDO!$G:$G,RESUMEN!AB48),0)</f>
        <v>0</v>
      </c>
      <c r="AC49" s="8">
        <f ca="1">IFERROR(SUMIFS(PEDIDO!$T:$T,PEDIDO!$G:$G,RESUMEN!AC48),0)</f>
        <v>0</v>
      </c>
      <c r="AD49" s="8">
        <f ca="1">IFERROR(SUMIFS(PEDIDO!$T:$T,PEDIDO!$G:$G,RESUMEN!AD48),0)</f>
        <v>0</v>
      </c>
      <c r="AE49" s="8">
        <f ca="1">IFERROR(SUMIFS(PEDIDO!$T:$T,PEDIDO!$G:$G,RESUMEN!AE48),0)</f>
        <v>0</v>
      </c>
      <c r="AF49" s="8">
        <f ca="1">IFERROR(SUMIFS(PEDIDO!$T:$T,PEDIDO!$G:$G,RESUMEN!AF48),0)</f>
        <v>0</v>
      </c>
      <c r="AG49" s="8">
        <f ca="1">IFERROR(SUMIFS(PEDIDO!$T:$T,PEDIDO!$G:$G,RESUMEN!AG48),0)</f>
        <v>0</v>
      </c>
      <c r="AH49" s="8">
        <f ca="1">IFERROR(SUMIFS(PEDIDO!$T:$T,PEDIDO!$G:$G,RESUMEN!AH48),0)</f>
        <v>0</v>
      </c>
      <c r="AI49" s="8">
        <f ca="1">IFERROR(SUMIFS(PEDIDO!$T:$T,PEDIDO!$G:$G,RESUMEN!AI48),0)</f>
        <v>0</v>
      </c>
      <c r="AJ49" s="31"/>
      <c r="AK49" s="31"/>
      <c r="AL49" s="31"/>
      <c r="AM49" s="31"/>
      <c r="AN49" s="31"/>
      <c r="AO49" s="31"/>
      <c r="AP49" s="31"/>
      <c r="AQ49" s="31"/>
      <c r="AR49" s="31"/>
    </row>
    <row r="50" spans="2:44" x14ac:dyDescent="0.25">
      <c r="B50" s="3" t="s">
        <v>86</v>
      </c>
      <c r="C50" s="3"/>
      <c r="D50" s="11"/>
      <c r="E50" s="8">
        <f ca="1">+E49</f>
        <v>0</v>
      </c>
      <c r="F50" s="8">
        <f ca="1">+F49+E50</f>
        <v>0</v>
      </c>
      <c r="G50" s="8">
        <f t="shared" ref="G50:AI50" ca="1" si="10">+G49+F50</f>
        <v>0</v>
      </c>
      <c r="H50" s="8">
        <f t="shared" ca="1" si="10"/>
        <v>0</v>
      </c>
      <c r="I50" s="8">
        <f t="shared" ca="1" si="10"/>
        <v>0</v>
      </c>
      <c r="J50" s="225">
        <f t="shared" ca="1" si="10"/>
        <v>0</v>
      </c>
      <c r="K50" s="8">
        <f t="shared" ca="1" si="10"/>
        <v>0</v>
      </c>
      <c r="L50" s="8">
        <f t="shared" ca="1" si="10"/>
        <v>0</v>
      </c>
      <c r="M50" s="8">
        <f t="shared" ca="1" si="10"/>
        <v>0</v>
      </c>
      <c r="N50" s="8">
        <f t="shared" ca="1" si="10"/>
        <v>0</v>
      </c>
      <c r="O50" s="8">
        <f t="shared" ca="1" si="10"/>
        <v>0</v>
      </c>
      <c r="P50" s="8">
        <f t="shared" ca="1" si="10"/>
        <v>0</v>
      </c>
      <c r="Q50" s="8">
        <f t="shared" ca="1" si="10"/>
        <v>0</v>
      </c>
      <c r="R50" s="8">
        <f t="shared" ca="1" si="10"/>
        <v>0</v>
      </c>
      <c r="S50" s="8">
        <f t="shared" ca="1" si="10"/>
        <v>0</v>
      </c>
      <c r="T50" s="8">
        <f t="shared" ca="1" si="10"/>
        <v>0</v>
      </c>
      <c r="U50" s="8">
        <f t="shared" ca="1" si="10"/>
        <v>0</v>
      </c>
      <c r="V50" s="8">
        <f t="shared" ca="1" si="10"/>
        <v>0</v>
      </c>
      <c r="W50" s="8">
        <f t="shared" ca="1" si="10"/>
        <v>0</v>
      </c>
      <c r="X50" s="8">
        <f t="shared" ca="1" si="10"/>
        <v>0</v>
      </c>
      <c r="Y50" s="8">
        <f t="shared" ca="1" si="10"/>
        <v>0</v>
      </c>
      <c r="Z50" s="8">
        <f t="shared" ca="1" si="10"/>
        <v>0</v>
      </c>
      <c r="AA50" s="8">
        <f t="shared" ca="1" si="10"/>
        <v>0</v>
      </c>
      <c r="AB50" s="8">
        <f t="shared" ca="1" si="10"/>
        <v>0</v>
      </c>
      <c r="AC50" s="8">
        <f t="shared" ca="1" si="10"/>
        <v>0</v>
      </c>
      <c r="AD50" s="8">
        <f t="shared" ca="1" si="10"/>
        <v>0</v>
      </c>
      <c r="AE50" s="8">
        <f t="shared" ca="1" si="10"/>
        <v>0</v>
      </c>
      <c r="AF50" s="8">
        <f t="shared" ca="1" si="10"/>
        <v>0</v>
      </c>
      <c r="AG50" s="8">
        <f t="shared" ca="1" si="10"/>
        <v>0</v>
      </c>
      <c r="AH50" s="8">
        <f t="shared" ca="1" si="10"/>
        <v>0</v>
      </c>
      <c r="AI50" s="8">
        <f t="shared" ca="1" si="10"/>
        <v>0</v>
      </c>
      <c r="AJ50" s="31"/>
      <c r="AK50" s="31"/>
      <c r="AL50" s="31"/>
      <c r="AM50" s="31"/>
      <c r="AN50" s="31"/>
      <c r="AO50" s="31"/>
      <c r="AP50" s="31"/>
      <c r="AQ50" s="31"/>
      <c r="AR50" s="31"/>
    </row>
    <row r="51" spans="2:44" x14ac:dyDescent="0.25">
      <c r="E51" s="9">
        <f t="shared" ref="E51:AI51" ca="1" si="11">IFERROR(E50/$O$19,0)</f>
        <v>0</v>
      </c>
      <c r="F51" s="9">
        <f t="shared" ca="1" si="11"/>
        <v>0</v>
      </c>
      <c r="G51" s="9">
        <f t="shared" ca="1" si="11"/>
        <v>0</v>
      </c>
      <c r="H51" s="9">
        <f t="shared" ca="1" si="11"/>
        <v>0</v>
      </c>
      <c r="I51" s="9">
        <f t="shared" ca="1" si="11"/>
        <v>0</v>
      </c>
      <c r="J51" s="9">
        <f t="shared" ca="1" si="11"/>
        <v>0</v>
      </c>
      <c r="K51" s="9">
        <f t="shared" ca="1" si="11"/>
        <v>0</v>
      </c>
      <c r="L51" s="9">
        <f t="shared" ca="1" si="11"/>
        <v>0</v>
      </c>
      <c r="M51" s="9">
        <f t="shared" ca="1" si="11"/>
        <v>0</v>
      </c>
      <c r="N51" s="9">
        <f t="shared" ca="1" si="11"/>
        <v>0</v>
      </c>
      <c r="O51" s="9">
        <f t="shared" ca="1" si="11"/>
        <v>0</v>
      </c>
      <c r="P51" s="9">
        <f t="shared" ca="1" si="11"/>
        <v>0</v>
      </c>
      <c r="Q51" s="9">
        <f t="shared" ca="1" si="11"/>
        <v>0</v>
      </c>
      <c r="R51" s="9">
        <f t="shared" ca="1" si="11"/>
        <v>0</v>
      </c>
      <c r="S51" s="9">
        <f t="shared" ca="1" si="11"/>
        <v>0</v>
      </c>
      <c r="T51" s="9">
        <f t="shared" ca="1" si="11"/>
        <v>0</v>
      </c>
      <c r="U51" s="9">
        <f t="shared" ca="1" si="11"/>
        <v>0</v>
      </c>
      <c r="V51" s="9">
        <f t="shared" ca="1" si="11"/>
        <v>0</v>
      </c>
      <c r="W51" s="9">
        <f t="shared" ca="1" si="11"/>
        <v>0</v>
      </c>
      <c r="X51" s="9">
        <f t="shared" ca="1" si="11"/>
        <v>0</v>
      </c>
      <c r="Y51" s="9">
        <f t="shared" ca="1" si="11"/>
        <v>0</v>
      </c>
      <c r="Z51" s="9">
        <f t="shared" ca="1" si="11"/>
        <v>0</v>
      </c>
      <c r="AA51" s="9">
        <f t="shared" ca="1" si="11"/>
        <v>0</v>
      </c>
      <c r="AB51" s="9">
        <f t="shared" ca="1" si="11"/>
        <v>0</v>
      </c>
      <c r="AC51" s="9">
        <f t="shared" ca="1" si="11"/>
        <v>0</v>
      </c>
      <c r="AD51" s="9">
        <f t="shared" ca="1" si="11"/>
        <v>0</v>
      </c>
      <c r="AE51" s="9">
        <f t="shared" ca="1" si="11"/>
        <v>0</v>
      </c>
      <c r="AF51" s="9">
        <f t="shared" ca="1" si="11"/>
        <v>0</v>
      </c>
      <c r="AG51" s="9">
        <f t="shared" ca="1" si="11"/>
        <v>0</v>
      </c>
      <c r="AH51" s="9">
        <f t="shared" ca="1" si="11"/>
        <v>0</v>
      </c>
      <c r="AI51" s="9">
        <f t="shared" ca="1" si="11"/>
        <v>0</v>
      </c>
      <c r="AJ51" s="31"/>
      <c r="AK51" s="31"/>
      <c r="AL51" s="31"/>
      <c r="AM51" s="31"/>
      <c r="AN51" s="31"/>
      <c r="AO51" s="31"/>
      <c r="AP51" s="31"/>
      <c r="AQ51" s="31"/>
      <c r="AR51" s="31"/>
    </row>
    <row r="52" spans="2:44" x14ac:dyDescent="0.25"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</row>
    <row r="53" spans="2:44" x14ac:dyDescent="0.25">
      <c r="B53" s="6" t="s">
        <v>162</v>
      </c>
      <c r="C53" s="200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</row>
    <row r="54" spans="2:44" x14ac:dyDescent="0.25"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</row>
    <row r="55" spans="2:44" x14ac:dyDescent="0.25">
      <c r="E55" s="385" t="s">
        <v>84</v>
      </c>
      <c r="F55" s="288">
        <f ca="1">E43</f>
        <v>42125</v>
      </c>
      <c r="G55" s="288">
        <f t="shared" ref="G55:AJ55" ca="1" si="12">F43</f>
        <v>42126</v>
      </c>
      <c r="H55" s="288">
        <f t="shared" ca="1" si="12"/>
        <v>42127</v>
      </c>
      <c r="I55" s="288">
        <f t="shared" ca="1" si="12"/>
        <v>42128</v>
      </c>
      <c r="J55" s="288">
        <f t="shared" ca="1" si="12"/>
        <v>42129</v>
      </c>
      <c r="K55" s="288">
        <f t="shared" ca="1" si="12"/>
        <v>42130</v>
      </c>
      <c r="L55" s="288">
        <f t="shared" ca="1" si="12"/>
        <v>42131</v>
      </c>
      <c r="M55" s="288">
        <f t="shared" ca="1" si="12"/>
        <v>42132</v>
      </c>
      <c r="N55" s="288">
        <f t="shared" ca="1" si="12"/>
        <v>42133</v>
      </c>
      <c r="O55" s="288">
        <f t="shared" ca="1" si="12"/>
        <v>42134</v>
      </c>
      <c r="P55" s="288">
        <f t="shared" ca="1" si="12"/>
        <v>42135</v>
      </c>
      <c r="Q55" s="288">
        <f t="shared" ca="1" si="12"/>
        <v>42136</v>
      </c>
      <c r="R55" s="288">
        <f t="shared" ca="1" si="12"/>
        <v>42137</v>
      </c>
      <c r="S55" s="288">
        <f t="shared" ca="1" si="12"/>
        <v>42138</v>
      </c>
      <c r="T55" s="288">
        <f t="shared" ca="1" si="12"/>
        <v>42139</v>
      </c>
      <c r="U55" s="288">
        <f t="shared" ca="1" si="12"/>
        <v>42140</v>
      </c>
      <c r="V55" s="288">
        <f t="shared" ca="1" si="12"/>
        <v>42141</v>
      </c>
      <c r="W55" s="288">
        <f t="shared" ca="1" si="12"/>
        <v>42142</v>
      </c>
      <c r="X55" s="288">
        <f t="shared" ca="1" si="12"/>
        <v>42143</v>
      </c>
      <c r="Y55" s="288">
        <f t="shared" ca="1" si="12"/>
        <v>42144</v>
      </c>
      <c r="Z55" s="288">
        <f t="shared" ca="1" si="12"/>
        <v>42145</v>
      </c>
      <c r="AA55" s="288">
        <f t="shared" ca="1" si="12"/>
        <v>42146</v>
      </c>
      <c r="AB55" s="288">
        <f t="shared" ca="1" si="12"/>
        <v>42147</v>
      </c>
      <c r="AC55" s="288">
        <f t="shared" ca="1" si="12"/>
        <v>42148</v>
      </c>
      <c r="AD55" s="288">
        <f t="shared" ca="1" si="12"/>
        <v>42149</v>
      </c>
      <c r="AE55" s="288">
        <f t="shared" ca="1" si="12"/>
        <v>42150</v>
      </c>
      <c r="AF55" s="288">
        <f t="shared" ca="1" si="12"/>
        <v>42151</v>
      </c>
      <c r="AG55" s="288">
        <f t="shared" ca="1" si="12"/>
        <v>42152</v>
      </c>
      <c r="AH55" s="288">
        <f t="shared" ca="1" si="12"/>
        <v>42153</v>
      </c>
      <c r="AI55" s="288">
        <f t="shared" ca="1" si="12"/>
        <v>42154</v>
      </c>
      <c r="AJ55" s="288">
        <f t="shared" ca="1" si="12"/>
        <v>42155</v>
      </c>
      <c r="AK55" s="31"/>
      <c r="AL55" s="31"/>
      <c r="AM55" s="31"/>
      <c r="AN55" s="31"/>
      <c r="AO55" s="31"/>
      <c r="AP55" s="31"/>
      <c r="AQ55" s="31"/>
      <c r="AR55" s="31"/>
    </row>
    <row r="56" spans="2:44" x14ac:dyDescent="0.25">
      <c r="B56" s="125" t="s">
        <v>83</v>
      </c>
      <c r="C56" s="267" t="s">
        <v>216</v>
      </c>
      <c r="D56" s="53" t="s">
        <v>0</v>
      </c>
      <c r="E56" s="385"/>
      <c r="F56" s="54">
        <f ca="1">E43</f>
        <v>42125</v>
      </c>
      <c r="G56" s="54">
        <f t="shared" ref="G56:AJ56" ca="1" si="13">F43</f>
        <v>42126</v>
      </c>
      <c r="H56" s="54">
        <f t="shared" ca="1" si="13"/>
        <v>42127</v>
      </c>
      <c r="I56" s="54">
        <f t="shared" ca="1" si="13"/>
        <v>42128</v>
      </c>
      <c r="J56" s="54">
        <f t="shared" ca="1" si="13"/>
        <v>42129</v>
      </c>
      <c r="K56" s="54">
        <f t="shared" ca="1" si="13"/>
        <v>42130</v>
      </c>
      <c r="L56" s="54">
        <f t="shared" ca="1" si="13"/>
        <v>42131</v>
      </c>
      <c r="M56" s="54">
        <f t="shared" ca="1" si="13"/>
        <v>42132</v>
      </c>
      <c r="N56" s="54">
        <f t="shared" ca="1" si="13"/>
        <v>42133</v>
      </c>
      <c r="O56" s="54">
        <f t="shared" ca="1" si="13"/>
        <v>42134</v>
      </c>
      <c r="P56" s="54">
        <f t="shared" ca="1" si="13"/>
        <v>42135</v>
      </c>
      <c r="Q56" s="54">
        <f t="shared" ca="1" si="13"/>
        <v>42136</v>
      </c>
      <c r="R56" s="54">
        <f t="shared" ca="1" si="13"/>
        <v>42137</v>
      </c>
      <c r="S56" s="54">
        <f t="shared" ca="1" si="13"/>
        <v>42138</v>
      </c>
      <c r="T56" s="54">
        <f t="shared" ca="1" si="13"/>
        <v>42139</v>
      </c>
      <c r="U56" s="54">
        <f t="shared" ca="1" si="13"/>
        <v>42140</v>
      </c>
      <c r="V56" s="54">
        <f t="shared" ca="1" si="13"/>
        <v>42141</v>
      </c>
      <c r="W56" s="54">
        <f t="shared" ca="1" si="13"/>
        <v>42142</v>
      </c>
      <c r="X56" s="54">
        <f t="shared" ca="1" si="13"/>
        <v>42143</v>
      </c>
      <c r="Y56" s="54">
        <f t="shared" ca="1" si="13"/>
        <v>42144</v>
      </c>
      <c r="Z56" s="54">
        <f t="shared" ca="1" si="13"/>
        <v>42145</v>
      </c>
      <c r="AA56" s="54">
        <f t="shared" ca="1" si="13"/>
        <v>42146</v>
      </c>
      <c r="AB56" s="54">
        <f t="shared" ca="1" si="13"/>
        <v>42147</v>
      </c>
      <c r="AC56" s="54">
        <f t="shared" ca="1" si="13"/>
        <v>42148</v>
      </c>
      <c r="AD56" s="54">
        <f t="shared" ca="1" si="13"/>
        <v>42149</v>
      </c>
      <c r="AE56" s="54">
        <f t="shared" ca="1" si="13"/>
        <v>42150</v>
      </c>
      <c r="AF56" s="54">
        <f t="shared" ca="1" si="13"/>
        <v>42151</v>
      </c>
      <c r="AG56" s="54">
        <f t="shared" ca="1" si="13"/>
        <v>42152</v>
      </c>
      <c r="AH56" s="54">
        <f t="shared" ca="1" si="13"/>
        <v>42153</v>
      </c>
      <c r="AI56" s="54">
        <f t="shared" ca="1" si="13"/>
        <v>42154</v>
      </c>
      <c r="AJ56" s="54">
        <f t="shared" ca="1" si="13"/>
        <v>42155</v>
      </c>
      <c r="AK56" s="31"/>
      <c r="AL56" s="31"/>
      <c r="AM56" s="31"/>
      <c r="AN56" s="31"/>
      <c r="AO56" s="31"/>
      <c r="AP56" s="31"/>
      <c r="AQ56" s="31"/>
      <c r="AR56" s="31"/>
    </row>
    <row r="57" spans="2:44" s="6" customFormat="1" x14ac:dyDescent="0.25">
      <c r="B57" s="147">
        <f t="shared" ref="B57:D76" si="14">B19</f>
        <v>1</v>
      </c>
      <c r="C57" s="153" t="str">
        <f t="shared" si="14"/>
        <v xml:space="preserve">- </v>
      </c>
      <c r="D57" s="148" t="str">
        <f t="shared" si="14"/>
        <v/>
      </c>
      <c r="E57" s="149"/>
      <c r="F57" s="150">
        <f ca="1">IFERROR(SUMIFS(PEDIDO!$T:$T,PEDIDO!$AA:$AA,RESUMEN!$C57,PEDIDO!$G:$G,RESUMEN!F$56),0)</f>
        <v>0</v>
      </c>
      <c r="G57" s="150">
        <f ca="1">IFERROR(SUMIFS(PEDIDO!$T:$T,PEDIDO!$AA:$AA,RESUMEN!$C57,PEDIDO!$G:$G,RESUMEN!G$56),0)</f>
        <v>0</v>
      </c>
      <c r="H57" s="150">
        <f ca="1">IFERROR(SUMIFS(PEDIDO!$T:$T,PEDIDO!$AA:$AA,RESUMEN!$C57,PEDIDO!$G:$G,RESUMEN!H$56),0)</f>
        <v>0</v>
      </c>
      <c r="I57" s="150">
        <f ca="1">IFERROR(SUMIFS(PEDIDO!$T:$T,PEDIDO!$AA:$AA,RESUMEN!$C57,PEDIDO!$G:$G,RESUMEN!I$56),0)</f>
        <v>0</v>
      </c>
      <c r="J57" s="150">
        <f ca="1">IFERROR(SUMIFS(PEDIDO!$T:$T,PEDIDO!$AA:$AA,RESUMEN!$C57,PEDIDO!$G:$G,RESUMEN!J$56),0)</f>
        <v>0</v>
      </c>
      <c r="K57" s="150">
        <f ca="1">IFERROR(SUMIFS(PEDIDO!$T:$T,PEDIDO!$AA:$AA,RESUMEN!$C57,PEDIDO!$G:$G,RESUMEN!K$56),0)</f>
        <v>0</v>
      </c>
      <c r="L57" s="150">
        <f ca="1">IFERROR(SUMIFS(PEDIDO!$T:$T,PEDIDO!$AA:$AA,RESUMEN!$C57,PEDIDO!$G:$G,RESUMEN!L$56),0)</f>
        <v>0</v>
      </c>
      <c r="M57" s="150">
        <f ca="1">IFERROR(SUMIFS(PEDIDO!$T:$T,PEDIDO!$AA:$AA,RESUMEN!$C57,PEDIDO!$G:$G,RESUMEN!M$56),0)</f>
        <v>0</v>
      </c>
      <c r="N57" s="150">
        <f ca="1">IFERROR(SUMIFS(PEDIDO!$T:$T,PEDIDO!$AA:$AA,RESUMEN!$C57,PEDIDO!$G:$G,RESUMEN!N$56),0)</f>
        <v>0</v>
      </c>
      <c r="O57" s="150">
        <f ca="1">IFERROR(SUMIFS(PEDIDO!$T:$T,PEDIDO!$AA:$AA,RESUMEN!$C57,PEDIDO!$G:$G,RESUMEN!O$56),0)</f>
        <v>0</v>
      </c>
      <c r="P57" s="150">
        <f ca="1">IFERROR(SUMIFS(PEDIDO!$T:$T,PEDIDO!$AA:$AA,RESUMEN!$C57,PEDIDO!$G:$G,RESUMEN!P$56),0)</f>
        <v>0</v>
      </c>
      <c r="Q57" s="150">
        <f ca="1">IFERROR(SUMIFS(PEDIDO!$T:$T,PEDIDO!$AA:$AA,RESUMEN!$C57,PEDIDO!$G:$G,RESUMEN!Q$56),0)</f>
        <v>0</v>
      </c>
      <c r="R57" s="150">
        <f ca="1">IFERROR(SUMIFS(PEDIDO!$T:$T,PEDIDO!$AA:$AA,RESUMEN!$C57,PEDIDO!$G:$G,RESUMEN!R$56),0)</f>
        <v>0</v>
      </c>
      <c r="S57" s="150">
        <f ca="1">IFERROR(SUMIFS(PEDIDO!$T:$T,PEDIDO!$AA:$AA,RESUMEN!$C57,PEDIDO!$G:$G,RESUMEN!S$56),0)</f>
        <v>0</v>
      </c>
      <c r="T57" s="150">
        <f ca="1">IFERROR(SUMIFS(PEDIDO!$T:$T,PEDIDO!$AA:$AA,RESUMEN!$C57,PEDIDO!$G:$G,RESUMEN!T$56),0)</f>
        <v>0</v>
      </c>
      <c r="U57" s="150">
        <f ca="1">IFERROR(SUMIFS(PEDIDO!$T:$T,PEDIDO!$AA:$AA,RESUMEN!$C57,PEDIDO!$G:$G,RESUMEN!U$56),0)</f>
        <v>0</v>
      </c>
      <c r="V57" s="150">
        <f ca="1">IFERROR(SUMIFS(PEDIDO!$T:$T,PEDIDO!$AA:$AA,RESUMEN!$C57,PEDIDO!$G:$G,RESUMEN!V$56),0)</f>
        <v>0</v>
      </c>
      <c r="W57" s="150">
        <f ca="1">IFERROR(SUMIFS(PEDIDO!$T:$T,PEDIDO!$AA:$AA,RESUMEN!$C57,PEDIDO!$G:$G,RESUMEN!W$56),0)</f>
        <v>0</v>
      </c>
      <c r="X57" s="150">
        <f ca="1">IFERROR(SUMIFS(PEDIDO!$T:$T,PEDIDO!$AA:$AA,RESUMEN!$C57,PEDIDO!$G:$G,RESUMEN!X$56),0)</f>
        <v>0</v>
      </c>
      <c r="Y57" s="150">
        <f ca="1">IFERROR(SUMIFS(PEDIDO!$T:$T,PEDIDO!$AA:$AA,RESUMEN!$C57,PEDIDO!$G:$G,RESUMEN!Y$56),0)</f>
        <v>0</v>
      </c>
      <c r="Z57" s="150">
        <f ca="1">IFERROR(SUMIFS(PEDIDO!$T:$T,PEDIDO!$AA:$AA,RESUMEN!$C57,PEDIDO!$G:$G,RESUMEN!Z$56),0)</f>
        <v>0</v>
      </c>
      <c r="AA57" s="150">
        <f ca="1">IFERROR(SUMIFS(PEDIDO!$T:$T,PEDIDO!$AA:$AA,RESUMEN!$C57,PEDIDO!$G:$G,RESUMEN!AA$56),0)</f>
        <v>0</v>
      </c>
      <c r="AB57" s="150">
        <f ca="1">IFERROR(SUMIFS(PEDIDO!$T:$T,PEDIDO!$AA:$AA,RESUMEN!$C57,PEDIDO!$G:$G,RESUMEN!AB$56),0)</f>
        <v>0</v>
      </c>
      <c r="AC57" s="150">
        <f ca="1">IFERROR(SUMIFS(PEDIDO!$T:$T,PEDIDO!$AA:$AA,RESUMEN!$C57,PEDIDO!$G:$G,RESUMEN!AC$56),0)</f>
        <v>0</v>
      </c>
      <c r="AD57" s="150">
        <f ca="1">IFERROR(SUMIFS(PEDIDO!$T:$T,PEDIDO!$AA:$AA,RESUMEN!$C57,PEDIDO!$G:$G,RESUMEN!AD$56),0)</f>
        <v>0</v>
      </c>
      <c r="AE57" s="150">
        <f ca="1">IFERROR(SUMIFS(PEDIDO!$T:$T,PEDIDO!$AA:$AA,RESUMEN!$C57,PEDIDO!$G:$G,RESUMEN!AE$56),0)</f>
        <v>0</v>
      </c>
      <c r="AF57" s="150">
        <f ca="1">IFERROR(SUMIFS(PEDIDO!$T:$T,PEDIDO!$AA:$AA,RESUMEN!$C57,PEDIDO!$G:$G,RESUMEN!AF$56),0)</f>
        <v>0</v>
      </c>
      <c r="AG57" s="150">
        <f ca="1">IFERROR(SUMIFS(PEDIDO!$T:$T,PEDIDO!$AA:$AA,RESUMEN!$C57,PEDIDO!$G:$G,RESUMEN!AG$56),0)</f>
        <v>0</v>
      </c>
      <c r="AH57" s="150">
        <f ca="1">IFERROR(SUMIFS(PEDIDO!$T:$T,PEDIDO!$AA:$AA,RESUMEN!$C57,PEDIDO!$G:$G,RESUMEN!AH$56),0)</f>
        <v>0</v>
      </c>
      <c r="AI57" s="150">
        <f ca="1">IFERROR(SUMIFS(PEDIDO!$T:$T,PEDIDO!$AA:$AA,RESUMEN!$C57,PEDIDO!$G:$G,RESUMEN!AI$56),0)</f>
        <v>0</v>
      </c>
      <c r="AJ57" s="150">
        <f ca="1">IFERROR(SUMIFS(PEDIDO!$T:$T,PEDIDO!$AA:$AA,RESUMEN!$C57,PEDIDO!$G:$G,RESUMEN!AJ$56),0)</f>
        <v>0</v>
      </c>
      <c r="AK57" s="16"/>
      <c r="AL57" s="16"/>
      <c r="AM57" s="16"/>
      <c r="AN57" s="16"/>
      <c r="AO57" s="16"/>
      <c r="AP57" s="16"/>
      <c r="AQ57" s="16"/>
      <c r="AR57" s="16"/>
    </row>
    <row r="58" spans="2:44" s="6" customFormat="1" x14ac:dyDescent="0.25">
      <c r="B58" s="151">
        <f t="shared" si="14"/>
        <v>2</v>
      </c>
      <c r="C58" s="154" t="str">
        <f t="shared" si="14"/>
        <v xml:space="preserve">- </v>
      </c>
      <c r="D58" s="152" t="str">
        <f t="shared" si="14"/>
        <v/>
      </c>
      <c r="E58" s="149"/>
      <c r="F58" s="150">
        <f ca="1">IFERROR(SUMIFS(PEDIDO!$T:$T,PEDIDO!$AA:$AA,RESUMEN!$C58,PEDIDO!$G:$G,RESUMEN!F$56),0)</f>
        <v>0</v>
      </c>
      <c r="G58" s="150">
        <f ca="1">IFERROR(SUMIFS(PEDIDO!$T:$T,PEDIDO!$AA:$AA,RESUMEN!$C58,PEDIDO!$G:$G,RESUMEN!G$56),0)</f>
        <v>0</v>
      </c>
      <c r="H58" s="150">
        <f ca="1">IFERROR(SUMIFS(PEDIDO!$T:$T,PEDIDO!$AA:$AA,RESUMEN!$C58,PEDIDO!$G:$G,RESUMEN!H$56),0)</f>
        <v>0</v>
      </c>
      <c r="I58" s="150">
        <f ca="1">IFERROR(SUMIFS(PEDIDO!$T:$T,PEDIDO!$AA:$AA,RESUMEN!$C58,PEDIDO!$G:$G,RESUMEN!I$56),0)</f>
        <v>0</v>
      </c>
      <c r="J58" s="150">
        <f ca="1">IFERROR(SUMIFS(PEDIDO!$T:$T,PEDIDO!$AA:$AA,RESUMEN!$C58,PEDIDO!$G:$G,RESUMEN!J$56),0)</f>
        <v>0</v>
      </c>
      <c r="K58" s="150">
        <f ca="1">IFERROR(SUMIFS(PEDIDO!$T:$T,PEDIDO!$AA:$AA,RESUMEN!$C58,PEDIDO!$G:$G,RESUMEN!K$56),0)</f>
        <v>0</v>
      </c>
      <c r="L58" s="150">
        <f ca="1">IFERROR(SUMIFS(PEDIDO!$T:$T,PEDIDO!$AA:$AA,RESUMEN!$C58,PEDIDO!$G:$G,RESUMEN!L$56),0)</f>
        <v>0</v>
      </c>
      <c r="M58" s="150">
        <f ca="1">IFERROR(SUMIFS(PEDIDO!$T:$T,PEDIDO!$AA:$AA,RESUMEN!$C58,PEDIDO!$G:$G,RESUMEN!M$56),0)</f>
        <v>0</v>
      </c>
      <c r="N58" s="150">
        <f ca="1">IFERROR(SUMIFS(PEDIDO!$T:$T,PEDIDO!$AA:$AA,RESUMEN!$C58,PEDIDO!$G:$G,RESUMEN!N$56),0)</f>
        <v>0</v>
      </c>
      <c r="O58" s="150">
        <f ca="1">IFERROR(SUMIFS(PEDIDO!$T:$T,PEDIDO!$AA:$AA,RESUMEN!$C58,PEDIDO!$G:$G,RESUMEN!O$56),0)</f>
        <v>0</v>
      </c>
      <c r="P58" s="150">
        <f ca="1">IFERROR(SUMIFS(PEDIDO!$T:$T,PEDIDO!$AA:$AA,RESUMEN!$C58,PEDIDO!$G:$G,RESUMEN!P$56),0)</f>
        <v>0</v>
      </c>
      <c r="Q58" s="150">
        <f ca="1">IFERROR(SUMIFS(PEDIDO!$T:$T,PEDIDO!$AA:$AA,RESUMEN!$C58,PEDIDO!$G:$G,RESUMEN!Q$56),0)</f>
        <v>0</v>
      </c>
      <c r="R58" s="150">
        <f ca="1">IFERROR(SUMIFS(PEDIDO!$T:$T,PEDIDO!$AA:$AA,RESUMEN!$C58,PEDIDO!$G:$G,RESUMEN!R$56),0)</f>
        <v>0</v>
      </c>
      <c r="S58" s="150">
        <f ca="1">IFERROR(SUMIFS(PEDIDO!$T:$T,PEDIDO!$AA:$AA,RESUMEN!$C58,PEDIDO!$G:$G,RESUMEN!S$56),0)</f>
        <v>0</v>
      </c>
      <c r="T58" s="150">
        <f ca="1">IFERROR(SUMIFS(PEDIDO!$T:$T,PEDIDO!$AA:$AA,RESUMEN!$C58,PEDIDO!$G:$G,RESUMEN!T$56),0)</f>
        <v>0</v>
      </c>
      <c r="U58" s="150">
        <f ca="1">IFERROR(SUMIFS(PEDIDO!$T:$T,PEDIDO!$AA:$AA,RESUMEN!$C58,PEDIDO!$G:$G,RESUMEN!U$56),0)</f>
        <v>0</v>
      </c>
      <c r="V58" s="150">
        <f ca="1">IFERROR(SUMIFS(PEDIDO!$T:$T,PEDIDO!$AA:$AA,RESUMEN!$C58,PEDIDO!$G:$G,RESUMEN!V$56),0)</f>
        <v>0</v>
      </c>
      <c r="W58" s="150">
        <f ca="1">IFERROR(SUMIFS(PEDIDO!$T:$T,PEDIDO!$AA:$AA,RESUMEN!$C58,PEDIDO!$G:$G,RESUMEN!W$56),0)</f>
        <v>0</v>
      </c>
      <c r="X58" s="150">
        <f ca="1">IFERROR(SUMIFS(PEDIDO!$T:$T,PEDIDO!$AA:$AA,RESUMEN!$C58,PEDIDO!$G:$G,RESUMEN!X$56),0)</f>
        <v>0</v>
      </c>
      <c r="Y58" s="150">
        <f ca="1">IFERROR(SUMIFS(PEDIDO!$T:$T,PEDIDO!$AA:$AA,RESUMEN!$C58,PEDIDO!$G:$G,RESUMEN!Y$56),0)</f>
        <v>0</v>
      </c>
      <c r="Z58" s="150">
        <f ca="1">IFERROR(SUMIFS(PEDIDO!$T:$T,PEDIDO!$AA:$AA,RESUMEN!$C58,PEDIDO!$G:$G,RESUMEN!Z$56),0)</f>
        <v>0</v>
      </c>
      <c r="AA58" s="150">
        <f ca="1">IFERROR(SUMIFS(PEDIDO!$T:$T,PEDIDO!$AA:$AA,RESUMEN!$C58,PEDIDO!$G:$G,RESUMEN!AA$56),0)</f>
        <v>0</v>
      </c>
      <c r="AB58" s="150">
        <f ca="1">IFERROR(SUMIFS(PEDIDO!$T:$T,PEDIDO!$AA:$AA,RESUMEN!$C58,PEDIDO!$G:$G,RESUMEN!AB$56),0)</f>
        <v>0</v>
      </c>
      <c r="AC58" s="150">
        <f ca="1">IFERROR(SUMIFS(PEDIDO!$T:$T,PEDIDO!$AA:$AA,RESUMEN!$C58,PEDIDO!$G:$G,RESUMEN!AC$56),0)</f>
        <v>0</v>
      </c>
      <c r="AD58" s="150">
        <f ca="1">IFERROR(SUMIFS(PEDIDO!$T:$T,PEDIDO!$AA:$AA,RESUMEN!$C58,PEDIDO!$G:$G,RESUMEN!AD$56),0)</f>
        <v>0</v>
      </c>
      <c r="AE58" s="150">
        <f ca="1">IFERROR(SUMIFS(PEDIDO!$T:$T,PEDIDO!$AA:$AA,RESUMEN!$C58,PEDIDO!$G:$G,RESUMEN!AE$56),0)</f>
        <v>0</v>
      </c>
      <c r="AF58" s="150">
        <f ca="1">IFERROR(SUMIFS(PEDIDO!$T:$T,PEDIDO!$AA:$AA,RESUMEN!$C58,PEDIDO!$G:$G,RESUMEN!AF$56),0)</f>
        <v>0</v>
      </c>
      <c r="AG58" s="150">
        <f ca="1">IFERROR(SUMIFS(PEDIDO!$T:$T,PEDIDO!$AA:$AA,RESUMEN!$C58,PEDIDO!$G:$G,RESUMEN!AG$56),0)</f>
        <v>0</v>
      </c>
      <c r="AH58" s="150">
        <f ca="1">IFERROR(SUMIFS(PEDIDO!$T:$T,PEDIDO!$AA:$AA,RESUMEN!$C58,PEDIDO!$G:$G,RESUMEN!AH$56),0)</f>
        <v>0</v>
      </c>
      <c r="AI58" s="150">
        <f ca="1">IFERROR(SUMIFS(PEDIDO!$T:$T,PEDIDO!$AA:$AA,RESUMEN!$C58,PEDIDO!$G:$G,RESUMEN!AI$56),0)</f>
        <v>0</v>
      </c>
      <c r="AJ58" s="150">
        <f ca="1">IFERROR(SUMIFS(PEDIDO!$T:$T,PEDIDO!$AA:$AA,RESUMEN!$C58,PEDIDO!$G:$G,RESUMEN!AJ$56),0)</f>
        <v>0</v>
      </c>
      <c r="AK58" s="16"/>
      <c r="AL58" s="16"/>
      <c r="AM58" s="16"/>
      <c r="AN58" s="16"/>
      <c r="AO58" s="16"/>
      <c r="AP58" s="16"/>
      <c r="AQ58" s="16"/>
      <c r="AR58" s="16"/>
    </row>
    <row r="59" spans="2:44" s="6" customFormat="1" x14ac:dyDescent="0.25">
      <c r="B59" s="151">
        <f t="shared" si="14"/>
        <v>3</v>
      </c>
      <c r="C59" s="154" t="str">
        <f t="shared" si="14"/>
        <v xml:space="preserve">- </v>
      </c>
      <c r="D59" s="152" t="str">
        <f t="shared" si="14"/>
        <v/>
      </c>
      <c r="E59" s="149"/>
      <c r="F59" s="150">
        <f ca="1">IFERROR(SUMIFS(PEDIDO!$T:$T,PEDIDO!$AA:$AA,RESUMEN!$C59,PEDIDO!$G:$G,RESUMEN!F$56),0)</f>
        <v>0</v>
      </c>
      <c r="G59" s="150">
        <f ca="1">IFERROR(SUMIFS(PEDIDO!$T:$T,PEDIDO!$AA:$AA,RESUMEN!$C59,PEDIDO!$G:$G,RESUMEN!G$56),0)</f>
        <v>0</v>
      </c>
      <c r="H59" s="150">
        <f ca="1">IFERROR(SUMIFS(PEDIDO!$T:$T,PEDIDO!$AA:$AA,RESUMEN!$C59,PEDIDO!$G:$G,RESUMEN!H$56),0)</f>
        <v>0</v>
      </c>
      <c r="I59" s="150">
        <f ca="1">IFERROR(SUMIFS(PEDIDO!$T:$T,PEDIDO!$AA:$AA,RESUMEN!$C59,PEDIDO!$G:$G,RESUMEN!I$56),0)</f>
        <v>0</v>
      </c>
      <c r="J59" s="150">
        <f ca="1">IFERROR(SUMIFS(PEDIDO!$T:$T,PEDIDO!$AA:$AA,RESUMEN!$C59,PEDIDO!$G:$G,RESUMEN!J$56),0)</f>
        <v>0</v>
      </c>
      <c r="K59" s="150">
        <f ca="1">IFERROR(SUMIFS(PEDIDO!$T:$T,PEDIDO!$AA:$AA,RESUMEN!$C59,PEDIDO!$G:$G,RESUMEN!K$56),0)</f>
        <v>0</v>
      </c>
      <c r="L59" s="150">
        <f ca="1">IFERROR(SUMIFS(PEDIDO!$T:$T,PEDIDO!$AA:$AA,RESUMEN!$C59,PEDIDO!$G:$G,RESUMEN!L$56),0)</f>
        <v>0</v>
      </c>
      <c r="M59" s="150">
        <f ca="1">IFERROR(SUMIFS(PEDIDO!$T:$T,PEDIDO!$AA:$AA,RESUMEN!$C59,PEDIDO!$G:$G,RESUMEN!M$56),0)</f>
        <v>0</v>
      </c>
      <c r="N59" s="150">
        <f ca="1">IFERROR(SUMIFS(PEDIDO!$T:$T,PEDIDO!$AA:$AA,RESUMEN!$C59,PEDIDO!$G:$G,RESUMEN!N$56),0)</f>
        <v>0</v>
      </c>
      <c r="O59" s="150">
        <f ca="1">IFERROR(SUMIFS(PEDIDO!$T:$T,PEDIDO!$AA:$AA,RESUMEN!$C59,PEDIDO!$G:$G,RESUMEN!O$56),0)</f>
        <v>0</v>
      </c>
      <c r="P59" s="150">
        <f ca="1">IFERROR(SUMIFS(PEDIDO!$T:$T,PEDIDO!$AA:$AA,RESUMEN!$C59,PEDIDO!$G:$G,RESUMEN!P$56),0)</f>
        <v>0</v>
      </c>
      <c r="Q59" s="150">
        <f ca="1">IFERROR(SUMIFS(PEDIDO!$T:$T,PEDIDO!$AA:$AA,RESUMEN!$C59,PEDIDO!$G:$G,RESUMEN!Q$56),0)</f>
        <v>0</v>
      </c>
      <c r="R59" s="150">
        <f ca="1">IFERROR(SUMIFS(PEDIDO!$T:$T,PEDIDO!$AA:$AA,RESUMEN!$C59,PEDIDO!$G:$G,RESUMEN!R$56),0)</f>
        <v>0</v>
      </c>
      <c r="S59" s="150">
        <f ca="1">IFERROR(SUMIFS(PEDIDO!$T:$T,PEDIDO!$AA:$AA,RESUMEN!$C59,PEDIDO!$G:$G,RESUMEN!S$56),0)</f>
        <v>0</v>
      </c>
      <c r="T59" s="150">
        <f ca="1">IFERROR(SUMIFS(PEDIDO!$T:$T,PEDIDO!$AA:$AA,RESUMEN!$C59,PEDIDO!$G:$G,RESUMEN!T$56),0)</f>
        <v>0</v>
      </c>
      <c r="U59" s="150">
        <f ca="1">IFERROR(SUMIFS(PEDIDO!$T:$T,PEDIDO!$AA:$AA,RESUMEN!$C59,PEDIDO!$G:$G,RESUMEN!U$56),0)</f>
        <v>0</v>
      </c>
      <c r="V59" s="150">
        <f ca="1">IFERROR(SUMIFS(PEDIDO!$T:$T,PEDIDO!$AA:$AA,RESUMEN!$C59,PEDIDO!$G:$G,RESUMEN!V$56),0)</f>
        <v>0</v>
      </c>
      <c r="W59" s="150">
        <f ca="1">IFERROR(SUMIFS(PEDIDO!$T:$T,PEDIDO!$AA:$AA,RESUMEN!$C59,PEDIDO!$G:$G,RESUMEN!W$56),0)</f>
        <v>0</v>
      </c>
      <c r="X59" s="150">
        <f ca="1">IFERROR(SUMIFS(PEDIDO!$T:$T,PEDIDO!$AA:$AA,RESUMEN!$C59,PEDIDO!$G:$G,RESUMEN!X$56),0)</f>
        <v>0</v>
      </c>
      <c r="Y59" s="150">
        <f ca="1">IFERROR(SUMIFS(PEDIDO!$T:$T,PEDIDO!$AA:$AA,RESUMEN!$C59,PEDIDO!$G:$G,RESUMEN!Y$56),0)</f>
        <v>0</v>
      </c>
      <c r="Z59" s="150">
        <f ca="1">IFERROR(SUMIFS(PEDIDO!$T:$T,PEDIDO!$AA:$AA,RESUMEN!$C59,PEDIDO!$G:$G,RESUMEN!Z$56),0)</f>
        <v>0</v>
      </c>
      <c r="AA59" s="150">
        <f ca="1">IFERROR(SUMIFS(PEDIDO!$T:$T,PEDIDO!$AA:$AA,RESUMEN!$C59,PEDIDO!$G:$G,RESUMEN!AA$56),0)</f>
        <v>0</v>
      </c>
      <c r="AB59" s="150">
        <f ca="1">IFERROR(SUMIFS(PEDIDO!$T:$T,PEDIDO!$AA:$AA,RESUMEN!$C59,PEDIDO!$G:$G,RESUMEN!AB$56),0)</f>
        <v>0</v>
      </c>
      <c r="AC59" s="150">
        <f ca="1">IFERROR(SUMIFS(PEDIDO!$T:$T,PEDIDO!$AA:$AA,RESUMEN!$C59,PEDIDO!$G:$G,RESUMEN!AC$56),0)</f>
        <v>0</v>
      </c>
      <c r="AD59" s="150">
        <f ca="1">IFERROR(SUMIFS(PEDIDO!$T:$T,PEDIDO!$AA:$AA,RESUMEN!$C59,PEDIDO!$G:$G,RESUMEN!AD$56),0)</f>
        <v>0</v>
      </c>
      <c r="AE59" s="150">
        <f ca="1">IFERROR(SUMIFS(PEDIDO!$T:$T,PEDIDO!$AA:$AA,RESUMEN!$C59,PEDIDO!$G:$G,RESUMEN!AE$56),0)</f>
        <v>0</v>
      </c>
      <c r="AF59" s="150">
        <f ca="1">IFERROR(SUMIFS(PEDIDO!$T:$T,PEDIDO!$AA:$AA,RESUMEN!$C59,PEDIDO!$G:$G,RESUMEN!AF$56),0)</f>
        <v>0</v>
      </c>
      <c r="AG59" s="150">
        <f ca="1">IFERROR(SUMIFS(PEDIDO!$T:$T,PEDIDO!$AA:$AA,RESUMEN!$C59,PEDIDO!$G:$G,RESUMEN!AG$56),0)</f>
        <v>0</v>
      </c>
      <c r="AH59" s="150">
        <f ca="1">IFERROR(SUMIFS(PEDIDO!$T:$T,PEDIDO!$AA:$AA,RESUMEN!$C59,PEDIDO!$G:$G,RESUMEN!AH$56),0)</f>
        <v>0</v>
      </c>
      <c r="AI59" s="150">
        <f ca="1">IFERROR(SUMIFS(PEDIDO!$T:$T,PEDIDO!$AA:$AA,RESUMEN!$C59,PEDIDO!$G:$G,RESUMEN!AI$56),0)</f>
        <v>0</v>
      </c>
      <c r="AJ59" s="150">
        <f ca="1">IFERROR(SUMIFS(PEDIDO!$T:$T,PEDIDO!$AA:$AA,RESUMEN!$C59,PEDIDO!$G:$G,RESUMEN!AJ$56),0)</f>
        <v>0</v>
      </c>
      <c r="AK59" s="16"/>
      <c r="AL59" s="16"/>
      <c r="AM59" s="16"/>
      <c r="AN59" s="16"/>
      <c r="AO59" s="16"/>
      <c r="AP59" s="16"/>
      <c r="AQ59" s="16"/>
      <c r="AR59" s="16"/>
    </row>
    <row r="60" spans="2:44" x14ac:dyDescent="0.25">
      <c r="B60" s="238">
        <f t="shared" si="14"/>
        <v>4</v>
      </c>
      <c r="C60" s="17" t="str">
        <f t="shared" si="14"/>
        <v xml:space="preserve">- </v>
      </c>
      <c r="D60" s="58" t="str">
        <f t="shared" si="14"/>
        <v/>
      </c>
      <c r="E60" s="4"/>
      <c r="F60" s="8">
        <f ca="1">IFERROR(SUMIFS(PEDIDO!$T:$T,PEDIDO!$AA:$AA,RESUMEN!$C60,PEDIDO!$G:$G,RESUMEN!F$56),0)</f>
        <v>0</v>
      </c>
      <c r="G60" s="8">
        <f ca="1">IFERROR(SUMIFS(PEDIDO!$T:$T,PEDIDO!$AA:$AA,RESUMEN!$C60,PEDIDO!$G:$G,RESUMEN!G$56),0)</f>
        <v>0</v>
      </c>
      <c r="H60" s="8">
        <f ca="1">IFERROR(SUMIFS(PEDIDO!$T:$T,PEDIDO!$AA:$AA,RESUMEN!$C60,PEDIDO!$G:$G,RESUMEN!H$56),0)</f>
        <v>0</v>
      </c>
      <c r="I60" s="8">
        <f ca="1">IFERROR(SUMIFS(PEDIDO!$T:$T,PEDIDO!$AA:$AA,RESUMEN!$C60,PEDIDO!$G:$G,RESUMEN!I$56),0)</f>
        <v>0</v>
      </c>
      <c r="J60" s="8">
        <f ca="1">IFERROR(SUMIFS(PEDIDO!$T:$T,PEDIDO!$AA:$AA,RESUMEN!$C60,PEDIDO!$G:$G,RESUMEN!J$56),0)</f>
        <v>0</v>
      </c>
      <c r="K60" s="8">
        <f ca="1">IFERROR(SUMIFS(PEDIDO!$T:$T,PEDIDO!$AA:$AA,RESUMEN!$C60,PEDIDO!$G:$G,RESUMEN!K$56),0)</f>
        <v>0</v>
      </c>
      <c r="L60" s="8">
        <f ca="1">IFERROR(SUMIFS(PEDIDO!$T:$T,PEDIDO!$AA:$AA,RESUMEN!$C60,PEDIDO!$G:$G,RESUMEN!L$56),0)</f>
        <v>0</v>
      </c>
      <c r="M60" s="8">
        <f ca="1">IFERROR(SUMIFS(PEDIDO!$T:$T,PEDIDO!$AA:$AA,RESUMEN!$C60,PEDIDO!$G:$G,RESUMEN!M$56),0)</f>
        <v>0</v>
      </c>
      <c r="N60" s="8">
        <f ca="1">IFERROR(SUMIFS(PEDIDO!$T:$T,PEDIDO!$AA:$AA,RESUMEN!$C60,PEDIDO!$G:$G,RESUMEN!N$56),0)</f>
        <v>0</v>
      </c>
      <c r="O60" s="8">
        <f ca="1">IFERROR(SUMIFS(PEDIDO!$T:$T,PEDIDO!$AA:$AA,RESUMEN!$C60,PEDIDO!$G:$G,RESUMEN!O$56),0)</f>
        <v>0</v>
      </c>
      <c r="P60" s="8">
        <f ca="1">IFERROR(SUMIFS(PEDIDO!$T:$T,PEDIDO!$AA:$AA,RESUMEN!$C60,PEDIDO!$G:$G,RESUMEN!P$56),0)</f>
        <v>0</v>
      </c>
      <c r="Q60" s="8">
        <f ca="1">IFERROR(SUMIFS(PEDIDO!$T:$T,PEDIDO!$AA:$AA,RESUMEN!$C60,PEDIDO!$G:$G,RESUMEN!Q$56),0)</f>
        <v>0</v>
      </c>
      <c r="R60" s="8">
        <f ca="1">IFERROR(SUMIFS(PEDIDO!$T:$T,PEDIDO!$AA:$AA,RESUMEN!$C60,PEDIDO!$G:$G,RESUMEN!R$56),0)</f>
        <v>0</v>
      </c>
      <c r="S60" s="8">
        <f ca="1">IFERROR(SUMIFS(PEDIDO!$T:$T,PEDIDO!$AA:$AA,RESUMEN!$C60,PEDIDO!$G:$G,RESUMEN!S$56),0)</f>
        <v>0</v>
      </c>
      <c r="T60" s="8">
        <f ca="1">IFERROR(SUMIFS(PEDIDO!$T:$T,PEDIDO!$AA:$AA,RESUMEN!$C60,PEDIDO!$G:$G,RESUMEN!T$56),0)</f>
        <v>0</v>
      </c>
      <c r="U60" s="8">
        <f ca="1">IFERROR(SUMIFS(PEDIDO!$T:$T,PEDIDO!$AA:$AA,RESUMEN!$C60,PEDIDO!$G:$G,RESUMEN!U$56),0)</f>
        <v>0</v>
      </c>
      <c r="V60" s="8">
        <f ca="1">IFERROR(SUMIFS(PEDIDO!$T:$T,PEDIDO!$AA:$AA,RESUMEN!$C60,PEDIDO!$G:$G,RESUMEN!V$56),0)</f>
        <v>0</v>
      </c>
      <c r="W60" s="8">
        <f ca="1">IFERROR(SUMIFS(PEDIDO!$T:$T,PEDIDO!$AA:$AA,RESUMEN!$C60,PEDIDO!$G:$G,RESUMEN!W$56),0)</f>
        <v>0</v>
      </c>
      <c r="X60" s="8">
        <f ca="1">IFERROR(SUMIFS(PEDIDO!$T:$T,PEDIDO!$AA:$AA,RESUMEN!$C60,PEDIDO!$G:$G,RESUMEN!X$56),0)</f>
        <v>0</v>
      </c>
      <c r="Y60" s="8">
        <f ca="1">IFERROR(SUMIFS(PEDIDO!$T:$T,PEDIDO!$AA:$AA,RESUMEN!$C60,PEDIDO!$G:$G,RESUMEN!Y$56),0)</f>
        <v>0</v>
      </c>
      <c r="Z60" s="8">
        <f ca="1">IFERROR(SUMIFS(PEDIDO!$T:$T,PEDIDO!$AA:$AA,RESUMEN!$C60,PEDIDO!$G:$G,RESUMEN!Z$56),0)</f>
        <v>0</v>
      </c>
      <c r="AA60" s="8">
        <f ca="1">IFERROR(SUMIFS(PEDIDO!$T:$T,PEDIDO!$AA:$AA,RESUMEN!$C60,PEDIDO!$G:$G,RESUMEN!AA$56),0)</f>
        <v>0</v>
      </c>
      <c r="AB60" s="8">
        <f ca="1">IFERROR(SUMIFS(PEDIDO!$T:$T,PEDIDO!$AA:$AA,RESUMEN!$C60,PEDIDO!$G:$G,RESUMEN!AB$56),0)</f>
        <v>0</v>
      </c>
      <c r="AC60" s="8">
        <f ca="1">IFERROR(SUMIFS(PEDIDO!$T:$T,PEDIDO!$AA:$AA,RESUMEN!$C60,PEDIDO!$G:$G,RESUMEN!AC$56),0)</f>
        <v>0</v>
      </c>
      <c r="AD60" s="8">
        <f ca="1">IFERROR(SUMIFS(PEDIDO!$T:$T,PEDIDO!$AA:$AA,RESUMEN!$C60,PEDIDO!$G:$G,RESUMEN!AD$56),0)</f>
        <v>0</v>
      </c>
      <c r="AE60" s="8">
        <f ca="1">IFERROR(SUMIFS(PEDIDO!$T:$T,PEDIDO!$AA:$AA,RESUMEN!$C60,PEDIDO!$G:$G,RESUMEN!AE$56),0)</f>
        <v>0</v>
      </c>
      <c r="AF60" s="8">
        <f ca="1">IFERROR(SUMIFS(PEDIDO!$T:$T,PEDIDO!$AA:$AA,RESUMEN!$C60,PEDIDO!$G:$G,RESUMEN!AF$56),0)</f>
        <v>0</v>
      </c>
      <c r="AG60" s="8">
        <f ca="1">IFERROR(SUMIFS(PEDIDO!$T:$T,PEDIDO!$AA:$AA,RESUMEN!$C60,PEDIDO!$G:$G,RESUMEN!AG$56),0)</f>
        <v>0</v>
      </c>
      <c r="AH60" s="8">
        <f ca="1">IFERROR(SUMIFS(PEDIDO!$T:$T,PEDIDO!$AA:$AA,RESUMEN!$C60,PEDIDO!$G:$G,RESUMEN!AH$56),0)</f>
        <v>0</v>
      </c>
      <c r="AI60" s="8">
        <f ca="1">IFERROR(SUMIFS(PEDIDO!$T:$T,PEDIDO!$AA:$AA,RESUMEN!$C60,PEDIDO!$G:$G,RESUMEN!AI$56),0)</f>
        <v>0</v>
      </c>
      <c r="AJ60" s="8">
        <f ca="1">IFERROR(SUMIFS(PEDIDO!$T:$T,PEDIDO!$AA:$AA,RESUMEN!$C60,PEDIDO!$G:$G,RESUMEN!AJ$56),0)</f>
        <v>0</v>
      </c>
      <c r="AK60" s="31"/>
      <c r="AL60" s="31"/>
      <c r="AM60" s="31"/>
      <c r="AN60" s="31"/>
      <c r="AO60" s="31"/>
      <c r="AP60" s="31"/>
      <c r="AQ60" s="31"/>
      <c r="AR60" s="31"/>
    </row>
    <row r="61" spans="2:44" x14ac:dyDescent="0.25">
      <c r="B61" s="238">
        <f t="shared" si="14"/>
        <v>5</v>
      </c>
      <c r="C61" s="17" t="str">
        <f t="shared" si="14"/>
        <v xml:space="preserve">- </v>
      </c>
      <c r="D61" s="58" t="str">
        <f t="shared" si="14"/>
        <v/>
      </c>
      <c r="E61" s="4"/>
      <c r="F61" s="8">
        <f ca="1">IFERROR(SUMIFS(PEDIDO!$T:$T,PEDIDO!$AA:$AA,RESUMEN!$C61,PEDIDO!$G:$G,RESUMEN!F$56),0)</f>
        <v>0</v>
      </c>
      <c r="G61" s="8">
        <f ca="1">IFERROR(SUMIFS(PEDIDO!$T:$T,PEDIDO!$AA:$AA,RESUMEN!$C61,PEDIDO!$G:$G,RESUMEN!G$56),0)</f>
        <v>0</v>
      </c>
      <c r="H61" s="8">
        <f ca="1">IFERROR(SUMIFS(PEDIDO!$T:$T,PEDIDO!$AA:$AA,RESUMEN!$C61,PEDIDO!$G:$G,RESUMEN!H$56),0)</f>
        <v>0</v>
      </c>
      <c r="I61" s="8">
        <f ca="1">IFERROR(SUMIFS(PEDIDO!$T:$T,PEDIDO!$AA:$AA,RESUMEN!$C61,PEDIDO!$G:$G,RESUMEN!I$56),0)</f>
        <v>0</v>
      </c>
      <c r="J61" s="8">
        <f ca="1">IFERROR(SUMIFS(PEDIDO!$T:$T,PEDIDO!$AA:$AA,RESUMEN!$C61,PEDIDO!$G:$G,RESUMEN!J$56),0)</f>
        <v>0</v>
      </c>
      <c r="K61" s="8">
        <f ca="1">IFERROR(SUMIFS(PEDIDO!$T:$T,PEDIDO!$AA:$AA,RESUMEN!$C61,PEDIDO!$G:$G,RESUMEN!K$56),0)</f>
        <v>0</v>
      </c>
      <c r="L61" s="8">
        <f ca="1">IFERROR(SUMIFS(PEDIDO!$T:$T,PEDIDO!$AA:$AA,RESUMEN!$C61,PEDIDO!$G:$G,RESUMEN!L$56),0)</f>
        <v>0</v>
      </c>
      <c r="M61" s="8">
        <f ca="1">IFERROR(SUMIFS(PEDIDO!$T:$T,PEDIDO!$AA:$AA,RESUMEN!$C61,PEDIDO!$G:$G,RESUMEN!M$56),0)</f>
        <v>0</v>
      </c>
      <c r="N61" s="8">
        <f ca="1">IFERROR(SUMIFS(PEDIDO!$T:$T,PEDIDO!$AA:$AA,RESUMEN!$C61,PEDIDO!$G:$G,RESUMEN!N$56),0)</f>
        <v>0</v>
      </c>
      <c r="O61" s="8">
        <f ca="1">IFERROR(SUMIFS(PEDIDO!$T:$T,PEDIDO!$AA:$AA,RESUMEN!$C61,PEDIDO!$G:$G,RESUMEN!O$56),0)</f>
        <v>0</v>
      </c>
      <c r="P61" s="8">
        <f ca="1">IFERROR(SUMIFS(PEDIDO!$T:$T,PEDIDO!$AA:$AA,RESUMEN!$C61,PEDIDO!$G:$G,RESUMEN!P$56),0)</f>
        <v>0</v>
      </c>
      <c r="Q61" s="8">
        <f ca="1">IFERROR(SUMIFS(PEDIDO!$T:$T,PEDIDO!$AA:$AA,RESUMEN!$C61,PEDIDO!$G:$G,RESUMEN!Q$56),0)</f>
        <v>0</v>
      </c>
      <c r="R61" s="8">
        <f ca="1">IFERROR(SUMIFS(PEDIDO!$T:$T,PEDIDO!$AA:$AA,RESUMEN!$C61,PEDIDO!$G:$G,RESUMEN!R$56),0)</f>
        <v>0</v>
      </c>
      <c r="S61" s="8">
        <f ca="1">IFERROR(SUMIFS(PEDIDO!$T:$T,PEDIDO!$AA:$AA,RESUMEN!$C61,PEDIDO!$G:$G,RESUMEN!S$56),0)</f>
        <v>0</v>
      </c>
      <c r="T61" s="8">
        <f ca="1">IFERROR(SUMIFS(PEDIDO!$T:$T,PEDIDO!$AA:$AA,RESUMEN!$C61,PEDIDO!$G:$G,RESUMEN!T$56),0)</f>
        <v>0</v>
      </c>
      <c r="U61" s="8">
        <f ca="1">IFERROR(SUMIFS(PEDIDO!$T:$T,PEDIDO!$AA:$AA,RESUMEN!$C61,PEDIDO!$G:$G,RESUMEN!U$56),0)</f>
        <v>0</v>
      </c>
      <c r="V61" s="8">
        <f ca="1">IFERROR(SUMIFS(PEDIDO!$T:$T,PEDIDO!$AA:$AA,RESUMEN!$C61,PEDIDO!$G:$G,RESUMEN!V$56),0)</f>
        <v>0</v>
      </c>
      <c r="W61" s="8">
        <f ca="1">IFERROR(SUMIFS(PEDIDO!$T:$T,PEDIDO!$AA:$AA,RESUMEN!$C61,PEDIDO!$G:$G,RESUMEN!W$56),0)</f>
        <v>0</v>
      </c>
      <c r="X61" s="8">
        <f ca="1">IFERROR(SUMIFS(PEDIDO!$T:$T,PEDIDO!$AA:$AA,RESUMEN!$C61,PEDIDO!$G:$G,RESUMEN!X$56),0)</f>
        <v>0</v>
      </c>
      <c r="Y61" s="8">
        <f ca="1">IFERROR(SUMIFS(PEDIDO!$T:$T,PEDIDO!$AA:$AA,RESUMEN!$C61,PEDIDO!$G:$G,RESUMEN!Y$56),0)</f>
        <v>0</v>
      </c>
      <c r="Z61" s="8">
        <f ca="1">IFERROR(SUMIFS(PEDIDO!$T:$T,PEDIDO!$AA:$AA,RESUMEN!$C61,PEDIDO!$G:$G,RESUMEN!Z$56),0)</f>
        <v>0</v>
      </c>
      <c r="AA61" s="8">
        <f ca="1">IFERROR(SUMIFS(PEDIDO!$T:$T,PEDIDO!$AA:$AA,RESUMEN!$C61,PEDIDO!$G:$G,RESUMEN!AA$56),0)</f>
        <v>0</v>
      </c>
      <c r="AB61" s="8">
        <f ca="1">IFERROR(SUMIFS(PEDIDO!$T:$T,PEDIDO!$AA:$AA,RESUMEN!$C61,PEDIDO!$G:$G,RESUMEN!AB$56),0)</f>
        <v>0</v>
      </c>
      <c r="AC61" s="8">
        <f ca="1">IFERROR(SUMIFS(PEDIDO!$T:$T,PEDIDO!$AA:$AA,RESUMEN!$C61,PEDIDO!$G:$G,RESUMEN!AC$56),0)</f>
        <v>0</v>
      </c>
      <c r="AD61" s="8">
        <f ca="1">IFERROR(SUMIFS(PEDIDO!$T:$T,PEDIDO!$AA:$AA,RESUMEN!$C61,PEDIDO!$G:$G,RESUMEN!AD$56),0)</f>
        <v>0</v>
      </c>
      <c r="AE61" s="8">
        <f ca="1">IFERROR(SUMIFS(PEDIDO!$T:$T,PEDIDO!$AA:$AA,RESUMEN!$C61,PEDIDO!$G:$G,RESUMEN!AE$56),0)</f>
        <v>0</v>
      </c>
      <c r="AF61" s="8">
        <f ca="1">IFERROR(SUMIFS(PEDIDO!$T:$T,PEDIDO!$AA:$AA,RESUMEN!$C61,PEDIDO!$G:$G,RESUMEN!AF$56),0)</f>
        <v>0</v>
      </c>
      <c r="AG61" s="8">
        <f ca="1">IFERROR(SUMIFS(PEDIDO!$T:$T,PEDIDO!$AA:$AA,RESUMEN!$C61,PEDIDO!$G:$G,RESUMEN!AG$56),0)</f>
        <v>0</v>
      </c>
      <c r="AH61" s="8">
        <f ca="1">IFERROR(SUMIFS(PEDIDO!$T:$T,PEDIDO!$AA:$AA,RESUMEN!$C61,PEDIDO!$G:$G,RESUMEN!AH$56),0)</f>
        <v>0</v>
      </c>
      <c r="AI61" s="8">
        <f ca="1">IFERROR(SUMIFS(PEDIDO!$T:$T,PEDIDO!$AA:$AA,RESUMEN!$C61,PEDIDO!$G:$G,RESUMEN!AI$56),0)</f>
        <v>0</v>
      </c>
      <c r="AJ61" s="8">
        <f ca="1">IFERROR(SUMIFS(PEDIDO!$T:$T,PEDIDO!$AA:$AA,RESUMEN!$C61,PEDIDO!$G:$G,RESUMEN!AJ$56),0)</f>
        <v>0</v>
      </c>
      <c r="AK61" s="31"/>
      <c r="AL61" s="31"/>
      <c r="AM61" s="31"/>
      <c r="AN61" s="31"/>
      <c r="AO61" s="31"/>
      <c r="AP61" s="31"/>
      <c r="AQ61" s="31"/>
      <c r="AR61" s="31"/>
    </row>
    <row r="62" spans="2:44" x14ac:dyDescent="0.25">
      <c r="B62" s="238">
        <f t="shared" si="14"/>
        <v>6</v>
      </c>
      <c r="C62" s="17" t="str">
        <f t="shared" si="14"/>
        <v xml:space="preserve">- </v>
      </c>
      <c r="D62" s="58" t="str">
        <f t="shared" si="14"/>
        <v/>
      </c>
      <c r="E62" s="4"/>
      <c r="F62" s="8">
        <f ca="1">IFERROR(SUMIFS(PEDIDO!$T:$T,PEDIDO!$AA:$AA,RESUMEN!$C62,PEDIDO!$G:$G,RESUMEN!F$56),0)</f>
        <v>0</v>
      </c>
      <c r="G62" s="8">
        <f ca="1">IFERROR(SUMIFS(PEDIDO!$T:$T,PEDIDO!$AA:$AA,RESUMEN!$C62,PEDIDO!$G:$G,RESUMEN!G$56),0)</f>
        <v>0</v>
      </c>
      <c r="H62" s="8">
        <f ca="1">IFERROR(SUMIFS(PEDIDO!$T:$T,PEDIDO!$AA:$AA,RESUMEN!$C62,PEDIDO!$G:$G,RESUMEN!H$56),0)</f>
        <v>0</v>
      </c>
      <c r="I62" s="8">
        <f ca="1">IFERROR(SUMIFS(PEDIDO!$T:$T,PEDIDO!$AA:$AA,RESUMEN!$C62,PEDIDO!$G:$G,RESUMEN!I$56),0)</f>
        <v>0</v>
      </c>
      <c r="J62" s="8">
        <f ca="1">IFERROR(SUMIFS(PEDIDO!$T:$T,PEDIDO!$AA:$AA,RESUMEN!$C62,PEDIDO!$G:$G,RESUMEN!J$56),0)</f>
        <v>0</v>
      </c>
      <c r="K62" s="8">
        <f ca="1">IFERROR(SUMIFS(PEDIDO!$T:$T,PEDIDO!$AA:$AA,RESUMEN!$C62,PEDIDO!$G:$G,RESUMEN!K$56),0)</f>
        <v>0</v>
      </c>
      <c r="L62" s="8">
        <f ca="1">IFERROR(SUMIFS(PEDIDO!$T:$T,PEDIDO!$AA:$AA,RESUMEN!$C62,PEDIDO!$G:$G,RESUMEN!L$56),0)</f>
        <v>0</v>
      </c>
      <c r="M62" s="8">
        <f ca="1">IFERROR(SUMIFS(PEDIDO!$T:$T,PEDIDO!$AA:$AA,RESUMEN!$C62,PEDIDO!$G:$G,RESUMEN!M$56),0)</f>
        <v>0</v>
      </c>
      <c r="N62" s="8">
        <f ca="1">IFERROR(SUMIFS(PEDIDO!$T:$T,PEDIDO!$AA:$AA,RESUMEN!$C62,PEDIDO!$G:$G,RESUMEN!N$56),0)</f>
        <v>0</v>
      </c>
      <c r="O62" s="8">
        <f ca="1">IFERROR(SUMIFS(PEDIDO!$T:$T,PEDIDO!$AA:$AA,RESUMEN!$C62,PEDIDO!$G:$G,RESUMEN!O$56),0)</f>
        <v>0</v>
      </c>
      <c r="P62" s="8">
        <f ca="1">IFERROR(SUMIFS(PEDIDO!$T:$T,PEDIDO!$AA:$AA,RESUMEN!$C62,PEDIDO!$G:$G,RESUMEN!P$56),0)</f>
        <v>0</v>
      </c>
      <c r="Q62" s="8">
        <f ca="1">IFERROR(SUMIFS(PEDIDO!$T:$T,PEDIDO!$AA:$AA,RESUMEN!$C62,PEDIDO!$G:$G,RESUMEN!Q$56),0)</f>
        <v>0</v>
      </c>
      <c r="R62" s="8">
        <f ca="1">IFERROR(SUMIFS(PEDIDO!$T:$T,PEDIDO!$AA:$AA,RESUMEN!$C62,PEDIDO!$G:$G,RESUMEN!R$56),0)</f>
        <v>0</v>
      </c>
      <c r="S62" s="8">
        <f ca="1">IFERROR(SUMIFS(PEDIDO!$T:$T,PEDIDO!$AA:$AA,RESUMEN!$C62,PEDIDO!$G:$G,RESUMEN!S$56),0)</f>
        <v>0</v>
      </c>
      <c r="T62" s="8">
        <f ca="1">IFERROR(SUMIFS(PEDIDO!$T:$T,PEDIDO!$AA:$AA,RESUMEN!$C62,PEDIDO!$G:$G,RESUMEN!T$56),0)</f>
        <v>0</v>
      </c>
      <c r="U62" s="8">
        <f ca="1">IFERROR(SUMIFS(PEDIDO!$T:$T,PEDIDO!$AA:$AA,RESUMEN!$C62,PEDIDO!$G:$G,RESUMEN!U$56),0)</f>
        <v>0</v>
      </c>
      <c r="V62" s="8">
        <f ca="1">IFERROR(SUMIFS(PEDIDO!$T:$T,PEDIDO!$AA:$AA,RESUMEN!$C62,PEDIDO!$G:$G,RESUMEN!V$56),0)</f>
        <v>0</v>
      </c>
      <c r="W62" s="8">
        <f ca="1">IFERROR(SUMIFS(PEDIDO!$T:$T,PEDIDO!$AA:$AA,RESUMEN!$C62,PEDIDO!$G:$G,RESUMEN!W$56),0)</f>
        <v>0</v>
      </c>
      <c r="X62" s="8">
        <f ca="1">IFERROR(SUMIFS(PEDIDO!$T:$T,PEDIDO!$AA:$AA,RESUMEN!$C62,PEDIDO!$G:$G,RESUMEN!X$56),0)</f>
        <v>0</v>
      </c>
      <c r="Y62" s="8">
        <f ca="1">IFERROR(SUMIFS(PEDIDO!$T:$T,PEDIDO!$AA:$AA,RESUMEN!$C62,PEDIDO!$G:$G,RESUMEN!Y$56),0)</f>
        <v>0</v>
      </c>
      <c r="Z62" s="8">
        <f ca="1">IFERROR(SUMIFS(PEDIDO!$T:$T,PEDIDO!$AA:$AA,RESUMEN!$C62,PEDIDO!$G:$G,RESUMEN!Z$56),0)</f>
        <v>0</v>
      </c>
      <c r="AA62" s="8">
        <f ca="1">IFERROR(SUMIFS(PEDIDO!$T:$T,PEDIDO!$AA:$AA,RESUMEN!$C62,PEDIDO!$G:$G,RESUMEN!AA$56),0)</f>
        <v>0</v>
      </c>
      <c r="AB62" s="8">
        <f ca="1">IFERROR(SUMIFS(PEDIDO!$T:$T,PEDIDO!$AA:$AA,RESUMEN!$C62,PEDIDO!$G:$G,RESUMEN!AB$56),0)</f>
        <v>0</v>
      </c>
      <c r="AC62" s="8">
        <f ca="1">IFERROR(SUMIFS(PEDIDO!$T:$T,PEDIDO!$AA:$AA,RESUMEN!$C62,PEDIDO!$G:$G,RESUMEN!AC$56),0)</f>
        <v>0</v>
      </c>
      <c r="AD62" s="8">
        <f ca="1">IFERROR(SUMIFS(PEDIDO!$T:$T,PEDIDO!$AA:$AA,RESUMEN!$C62,PEDIDO!$G:$G,RESUMEN!AD$56),0)</f>
        <v>0</v>
      </c>
      <c r="AE62" s="8">
        <f ca="1">IFERROR(SUMIFS(PEDIDO!$T:$T,PEDIDO!$AA:$AA,RESUMEN!$C62,PEDIDO!$G:$G,RESUMEN!AE$56),0)</f>
        <v>0</v>
      </c>
      <c r="AF62" s="8">
        <f ca="1">IFERROR(SUMIFS(PEDIDO!$T:$T,PEDIDO!$AA:$AA,RESUMEN!$C62,PEDIDO!$G:$G,RESUMEN!AF$56),0)</f>
        <v>0</v>
      </c>
      <c r="AG62" s="8">
        <f ca="1">IFERROR(SUMIFS(PEDIDO!$T:$T,PEDIDO!$AA:$AA,RESUMEN!$C62,PEDIDO!$G:$G,RESUMEN!AG$56),0)</f>
        <v>0</v>
      </c>
      <c r="AH62" s="8">
        <f ca="1">IFERROR(SUMIFS(PEDIDO!$T:$T,PEDIDO!$AA:$AA,RESUMEN!$C62,PEDIDO!$G:$G,RESUMEN!AH$56),0)</f>
        <v>0</v>
      </c>
      <c r="AI62" s="8">
        <f ca="1">IFERROR(SUMIFS(PEDIDO!$T:$T,PEDIDO!$AA:$AA,RESUMEN!$C62,PEDIDO!$G:$G,RESUMEN!AI$56),0)</f>
        <v>0</v>
      </c>
      <c r="AJ62" s="8">
        <f ca="1">IFERROR(SUMIFS(PEDIDO!$T:$T,PEDIDO!$AA:$AA,RESUMEN!$C62,PEDIDO!$G:$G,RESUMEN!AJ$56),0)</f>
        <v>0</v>
      </c>
      <c r="AK62" s="31"/>
      <c r="AL62" s="31"/>
      <c r="AM62" s="31"/>
      <c r="AN62" s="31"/>
      <c r="AO62" s="31"/>
      <c r="AP62" s="31"/>
      <c r="AQ62" s="31"/>
      <c r="AR62" s="31"/>
    </row>
    <row r="63" spans="2:44" x14ac:dyDescent="0.25">
      <c r="B63" s="238">
        <f t="shared" si="14"/>
        <v>7</v>
      </c>
      <c r="C63" s="17" t="str">
        <f t="shared" si="14"/>
        <v xml:space="preserve">- </v>
      </c>
      <c r="D63" s="58" t="str">
        <f t="shared" si="14"/>
        <v/>
      </c>
      <c r="E63" s="4"/>
      <c r="F63" s="8">
        <f ca="1">IFERROR(SUMIFS(PEDIDO!$T:$T,PEDIDO!$AA:$AA,RESUMEN!$C63,PEDIDO!$G:$G,RESUMEN!F$56),0)</f>
        <v>0</v>
      </c>
      <c r="G63" s="8">
        <f ca="1">IFERROR(SUMIFS(PEDIDO!$T:$T,PEDIDO!$AA:$AA,RESUMEN!$C63,PEDIDO!$G:$G,RESUMEN!G$56),0)</f>
        <v>0</v>
      </c>
      <c r="H63" s="8">
        <f ca="1">IFERROR(SUMIFS(PEDIDO!$T:$T,PEDIDO!$AA:$AA,RESUMEN!$C63,PEDIDO!$G:$G,RESUMEN!H$56),0)</f>
        <v>0</v>
      </c>
      <c r="I63" s="8">
        <f ca="1">IFERROR(SUMIFS(PEDIDO!$T:$T,PEDIDO!$AA:$AA,RESUMEN!$C63,PEDIDO!$G:$G,RESUMEN!I$56),0)</f>
        <v>0</v>
      </c>
      <c r="J63" s="8">
        <f ca="1">IFERROR(SUMIFS(PEDIDO!$T:$T,PEDIDO!$AA:$AA,RESUMEN!$C63,PEDIDO!$G:$G,RESUMEN!J$56),0)</f>
        <v>0</v>
      </c>
      <c r="K63" s="8">
        <f ca="1">IFERROR(SUMIFS(PEDIDO!$T:$T,PEDIDO!$AA:$AA,RESUMEN!$C63,PEDIDO!$G:$G,RESUMEN!K$56),0)</f>
        <v>0</v>
      </c>
      <c r="L63" s="8">
        <f ca="1">IFERROR(SUMIFS(PEDIDO!$T:$T,PEDIDO!$AA:$AA,RESUMEN!$C63,PEDIDO!$G:$G,RESUMEN!L$56),0)</f>
        <v>0</v>
      </c>
      <c r="M63" s="8">
        <f ca="1">IFERROR(SUMIFS(PEDIDO!$T:$T,PEDIDO!$AA:$AA,RESUMEN!$C63,PEDIDO!$G:$G,RESUMEN!M$56),0)</f>
        <v>0</v>
      </c>
      <c r="N63" s="8">
        <f ca="1">IFERROR(SUMIFS(PEDIDO!$T:$T,PEDIDO!$AA:$AA,RESUMEN!$C63,PEDIDO!$G:$G,RESUMEN!N$56),0)</f>
        <v>0</v>
      </c>
      <c r="O63" s="8">
        <f ca="1">IFERROR(SUMIFS(PEDIDO!$T:$T,PEDIDO!$AA:$AA,RESUMEN!$C63,PEDIDO!$G:$G,RESUMEN!O$56),0)</f>
        <v>0</v>
      </c>
      <c r="P63" s="8">
        <f ca="1">IFERROR(SUMIFS(PEDIDO!$T:$T,PEDIDO!$AA:$AA,RESUMEN!$C63,PEDIDO!$G:$G,RESUMEN!P$56),0)</f>
        <v>0</v>
      </c>
      <c r="Q63" s="8">
        <f ca="1">IFERROR(SUMIFS(PEDIDO!$T:$T,PEDIDO!$AA:$AA,RESUMEN!$C63,PEDIDO!$G:$G,RESUMEN!Q$56),0)</f>
        <v>0</v>
      </c>
      <c r="R63" s="8">
        <f ca="1">IFERROR(SUMIFS(PEDIDO!$T:$T,PEDIDO!$AA:$AA,RESUMEN!$C63,PEDIDO!$G:$G,RESUMEN!R$56),0)</f>
        <v>0</v>
      </c>
      <c r="S63" s="8">
        <f ca="1">IFERROR(SUMIFS(PEDIDO!$T:$T,PEDIDO!$AA:$AA,RESUMEN!$C63,PEDIDO!$G:$G,RESUMEN!S$56),0)</f>
        <v>0</v>
      </c>
      <c r="T63" s="8">
        <f ca="1">IFERROR(SUMIFS(PEDIDO!$T:$T,PEDIDO!$AA:$AA,RESUMEN!$C63,PEDIDO!$G:$G,RESUMEN!T$56),0)</f>
        <v>0</v>
      </c>
      <c r="U63" s="8">
        <f ca="1">IFERROR(SUMIFS(PEDIDO!$T:$T,PEDIDO!$AA:$AA,RESUMEN!$C63,PEDIDO!$G:$G,RESUMEN!U$56),0)</f>
        <v>0</v>
      </c>
      <c r="V63" s="8">
        <f ca="1">IFERROR(SUMIFS(PEDIDO!$T:$T,PEDIDO!$AA:$AA,RESUMEN!$C63,PEDIDO!$G:$G,RESUMEN!V$56),0)</f>
        <v>0</v>
      </c>
      <c r="W63" s="8">
        <f ca="1">IFERROR(SUMIFS(PEDIDO!$T:$T,PEDIDO!$AA:$AA,RESUMEN!$C63,PEDIDO!$G:$G,RESUMEN!W$56),0)</f>
        <v>0</v>
      </c>
      <c r="X63" s="8">
        <f ca="1">IFERROR(SUMIFS(PEDIDO!$T:$T,PEDIDO!$AA:$AA,RESUMEN!$C63,PEDIDO!$G:$G,RESUMEN!X$56),0)</f>
        <v>0</v>
      </c>
      <c r="Y63" s="8">
        <f ca="1">IFERROR(SUMIFS(PEDIDO!$T:$T,PEDIDO!$AA:$AA,RESUMEN!$C63,PEDIDO!$G:$G,RESUMEN!Y$56),0)</f>
        <v>0</v>
      </c>
      <c r="Z63" s="8">
        <f ca="1">IFERROR(SUMIFS(PEDIDO!$T:$T,PEDIDO!$AA:$AA,RESUMEN!$C63,PEDIDO!$G:$G,RESUMEN!Z$56),0)</f>
        <v>0</v>
      </c>
      <c r="AA63" s="8">
        <f ca="1">IFERROR(SUMIFS(PEDIDO!$T:$T,PEDIDO!$AA:$AA,RESUMEN!$C63,PEDIDO!$G:$G,RESUMEN!AA$56),0)</f>
        <v>0</v>
      </c>
      <c r="AB63" s="8">
        <f ca="1">IFERROR(SUMIFS(PEDIDO!$T:$T,PEDIDO!$AA:$AA,RESUMEN!$C63,PEDIDO!$G:$G,RESUMEN!AB$56),0)</f>
        <v>0</v>
      </c>
      <c r="AC63" s="8">
        <f ca="1">IFERROR(SUMIFS(PEDIDO!$T:$T,PEDIDO!$AA:$AA,RESUMEN!$C63,PEDIDO!$G:$G,RESUMEN!AC$56),0)</f>
        <v>0</v>
      </c>
      <c r="AD63" s="8">
        <f ca="1">IFERROR(SUMIFS(PEDIDO!$T:$T,PEDIDO!$AA:$AA,RESUMEN!$C63,PEDIDO!$G:$G,RESUMEN!AD$56),0)</f>
        <v>0</v>
      </c>
      <c r="AE63" s="8">
        <f ca="1">IFERROR(SUMIFS(PEDIDO!$T:$T,PEDIDO!$AA:$AA,RESUMEN!$C63,PEDIDO!$G:$G,RESUMEN!AE$56),0)</f>
        <v>0</v>
      </c>
      <c r="AF63" s="8">
        <f ca="1">IFERROR(SUMIFS(PEDIDO!$T:$T,PEDIDO!$AA:$AA,RESUMEN!$C63,PEDIDO!$G:$G,RESUMEN!AF$56),0)</f>
        <v>0</v>
      </c>
      <c r="AG63" s="8">
        <f ca="1">IFERROR(SUMIFS(PEDIDO!$T:$T,PEDIDO!$AA:$AA,RESUMEN!$C63,PEDIDO!$G:$G,RESUMEN!AG$56),0)</f>
        <v>0</v>
      </c>
      <c r="AH63" s="8">
        <f ca="1">IFERROR(SUMIFS(PEDIDO!$T:$T,PEDIDO!$AA:$AA,RESUMEN!$C63,PEDIDO!$G:$G,RESUMEN!AH$56),0)</f>
        <v>0</v>
      </c>
      <c r="AI63" s="8">
        <f ca="1">IFERROR(SUMIFS(PEDIDO!$T:$T,PEDIDO!$AA:$AA,RESUMEN!$C63,PEDIDO!$G:$G,RESUMEN!AI$56),0)</f>
        <v>0</v>
      </c>
      <c r="AJ63" s="8">
        <f ca="1">IFERROR(SUMIFS(PEDIDO!$T:$T,PEDIDO!$AA:$AA,RESUMEN!$C63,PEDIDO!$G:$G,RESUMEN!AJ$56),0)</f>
        <v>0</v>
      </c>
      <c r="AK63" s="31"/>
      <c r="AL63" s="31"/>
      <c r="AM63" s="31"/>
      <c r="AN63" s="31"/>
      <c r="AO63" s="31"/>
      <c r="AP63" s="31"/>
      <c r="AQ63" s="31"/>
      <c r="AR63" s="31"/>
    </row>
    <row r="64" spans="2:44" x14ac:dyDescent="0.25">
      <c r="B64" s="238">
        <f t="shared" si="14"/>
        <v>8</v>
      </c>
      <c r="C64" s="17" t="str">
        <f t="shared" si="14"/>
        <v xml:space="preserve">- </v>
      </c>
      <c r="D64" s="58" t="str">
        <f t="shared" si="14"/>
        <v/>
      </c>
      <c r="E64" s="4"/>
      <c r="F64" s="8">
        <f ca="1">IFERROR(SUMIFS(PEDIDO!$T:$T,PEDIDO!$AA:$AA,RESUMEN!$C64,PEDIDO!$G:$G,RESUMEN!F$56),0)</f>
        <v>0</v>
      </c>
      <c r="G64" s="8">
        <f ca="1">IFERROR(SUMIFS(PEDIDO!$T:$T,PEDIDO!$AA:$AA,RESUMEN!$C64,PEDIDO!$G:$G,RESUMEN!G$56),0)</f>
        <v>0</v>
      </c>
      <c r="H64" s="8">
        <f ca="1">IFERROR(SUMIFS(PEDIDO!$T:$T,PEDIDO!$AA:$AA,RESUMEN!$C64,PEDIDO!$G:$G,RESUMEN!H$56),0)</f>
        <v>0</v>
      </c>
      <c r="I64" s="8">
        <f ca="1">IFERROR(SUMIFS(PEDIDO!$T:$T,PEDIDO!$AA:$AA,RESUMEN!$C64,PEDIDO!$G:$G,RESUMEN!I$56),0)</f>
        <v>0</v>
      </c>
      <c r="J64" s="8">
        <f ca="1">IFERROR(SUMIFS(PEDIDO!$T:$T,PEDIDO!$AA:$AA,RESUMEN!$C64,PEDIDO!$G:$G,RESUMEN!J$56),0)</f>
        <v>0</v>
      </c>
      <c r="K64" s="8">
        <f ca="1">IFERROR(SUMIFS(PEDIDO!$T:$T,PEDIDO!$AA:$AA,RESUMEN!$C64,PEDIDO!$G:$G,RESUMEN!K$56),0)</f>
        <v>0</v>
      </c>
      <c r="L64" s="8">
        <f ca="1">IFERROR(SUMIFS(PEDIDO!$T:$T,PEDIDO!$AA:$AA,RESUMEN!$C64,PEDIDO!$G:$G,RESUMEN!L$56),0)</f>
        <v>0</v>
      </c>
      <c r="M64" s="8">
        <f ca="1">IFERROR(SUMIFS(PEDIDO!$T:$T,PEDIDO!$AA:$AA,RESUMEN!$C64,PEDIDO!$G:$G,RESUMEN!M$56),0)</f>
        <v>0</v>
      </c>
      <c r="N64" s="8">
        <f ca="1">IFERROR(SUMIFS(PEDIDO!$T:$T,PEDIDO!$AA:$AA,RESUMEN!$C64,PEDIDO!$G:$G,RESUMEN!N$56),0)</f>
        <v>0</v>
      </c>
      <c r="O64" s="8">
        <f ca="1">IFERROR(SUMIFS(PEDIDO!$T:$T,PEDIDO!$AA:$AA,RESUMEN!$C64,PEDIDO!$G:$G,RESUMEN!O$56),0)</f>
        <v>0</v>
      </c>
      <c r="P64" s="8">
        <f ca="1">IFERROR(SUMIFS(PEDIDO!$T:$T,PEDIDO!$AA:$AA,RESUMEN!$C64,PEDIDO!$G:$G,RESUMEN!P$56),0)</f>
        <v>0</v>
      </c>
      <c r="Q64" s="8">
        <f ca="1">IFERROR(SUMIFS(PEDIDO!$T:$T,PEDIDO!$AA:$AA,RESUMEN!$C64,PEDIDO!$G:$G,RESUMEN!Q$56),0)</f>
        <v>0</v>
      </c>
      <c r="R64" s="8">
        <f ca="1">IFERROR(SUMIFS(PEDIDO!$T:$T,PEDIDO!$AA:$AA,RESUMEN!$C64,PEDIDO!$G:$G,RESUMEN!R$56),0)</f>
        <v>0</v>
      </c>
      <c r="S64" s="8">
        <f ca="1">IFERROR(SUMIFS(PEDIDO!$T:$T,PEDIDO!$AA:$AA,RESUMEN!$C64,PEDIDO!$G:$G,RESUMEN!S$56),0)</f>
        <v>0</v>
      </c>
      <c r="T64" s="8">
        <f ca="1">IFERROR(SUMIFS(PEDIDO!$T:$T,PEDIDO!$AA:$AA,RESUMEN!$C64,PEDIDO!$G:$G,RESUMEN!T$56),0)</f>
        <v>0</v>
      </c>
      <c r="U64" s="8">
        <f ca="1">IFERROR(SUMIFS(PEDIDO!$T:$T,PEDIDO!$AA:$AA,RESUMEN!$C64,PEDIDO!$G:$G,RESUMEN!U$56),0)</f>
        <v>0</v>
      </c>
      <c r="V64" s="8">
        <f ca="1">IFERROR(SUMIFS(PEDIDO!$T:$T,PEDIDO!$AA:$AA,RESUMEN!$C64,PEDIDO!$G:$G,RESUMEN!V$56),0)</f>
        <v>0</v>
      </c>
      <c r="W64" s="8">
        <f ca="1">IFERROR(SUMIFS(PEDIDO!$T:$T,PEDIDO!$AA:$AA,RESUMEN!$C64,PEDIDO!$G:$G,RESUMEN!W$56),0)</f>
        <v>0</v>
      </c>
      <c r="X64" s="8">
        <f ca="1">IFERROR(SUMIFS(PEDIDO!$T:$T,PEDIDO!$AA:$AA,RESUMEN!$C64,PEDIDO!$G:$G,RESUMEN!X$56),0)</f>
        <v>0</v>
      </c>
      <c r="Y64" s="8">
        <f ca="1">IFERROR(SUMIFS(PEDIDO!$T:$T,PEDIDO!$AA:$AA,RESUMEN!$C64,PEDIDO!$G:$G,RESUMEN!Y$56),0)</f>
        <v>0</v>
      </c>
      <c r="Z64" s="8">
        <f ca="1">IFERROR(SUMIFS(PEDIDO!$T:$T,PEDIDO!$AA:$AA,RESUMEN!$C64,PEDIDO!$G:$G,RESUMEN!Z$56),0)</f>
        <v>0</v>
      </c>
      <c r="AA64" s="8">
        <f ca="1">IFERROR(SUMIFS(PEDIDO!$T:$T,PEDIDO!$AA:$AA,RESUMEN!$C64,PEDIDO!$G:$G,RESUMEN!AA$56),0)</f>
        <v>0</v>
      </c>
      <c r="AB64" s="8">
        <f ca="1">IFERROR(SUMIFS(PEDIDO!$T:$T,PEDIDO!$AA:$AA,RESUMEN!$C64,PEDIDO!$G:$G,RESUMEN!AB$56),0)</f>
        <v>0</v>
      </c>
      <c r="AC64" s="8">
        <f ca="1">IFERROR(SUMIFS(PEDIDO!$T:$T,PEDIDO!$AA:$AA,RESUMEN!$C64,PEDIDO!$G:$G,RESUMEN!AC$56),0)</f>
        <v>0</v>
      </c>
      <c r="AD64" s="8">
        <f ca="1">IFERROR(SUMIFS(PEDIDO!$T:$T,PEDIDO!$AA:$AA,RESUMEN!$C64,PEDIDO!$G:$G,RESUMEN!AD$56),0)</f>
        <v>0</v>
      </c>
      <c r="AE64" s="8">
        <f ca="1">IFERROR(SUMIFS(PEDIDO!$T:$T,PEDIDO!$AA:$AA,RESUMEN!$C64,PEDIDO!$G:$G,RESUMEN!AE$56),0)</f>
        <v>0</v>
      </c>
      <c r="AF64" s="8">
        <f ca="1">IFERROR(SUMIFS(PEDIDO!$T:$T,PEDIDO!$AA:$AA,RESUMEN!$C64,PEDIDO!$G:$G,RESUMEN!AF$56),0)</f>
        <v>0</v>
      </c>
      <c r="AG64" s="8">
        <f ca="1">IFERROR(SUMIFS(PEDIDO!$T:$T,PEDIDO!$AA:$AA,RESUMEN!$C64,PEDIDO!$G:$G,RESUMEN!AG$56),0)</f>
        <v>0</v>
      </c>
      <c r="AH64" s="8">
        <f ca="1">IFERROR(SUMIFS(PEDIDO!$T:$T,PEDIDO!$AA:$AA,RESUMEN!$C64,PEDIDO!$G:$G,RESUMEN!AH$56),0)</f>
        <v>0</v>
      </c>
      <c r="AI64" s="8">
        <f ca="1">IFERROR(SUMIFS(PEDIDO!$T:$T,PEDIDO!$AA:$AA,RESUMEN!$C64,PEDIDO!$G:$G,RESUMEN!AI$56),0)</f>
        <v>0</v>
      </c>
      <c r="AJ64" s="8">
        <f ca="1">IFERROR(SUMIFS(PEDIDO!$T:$T,PEDIDO!$AA:$AA,RESUMEN!$C64,PEDIDO!$G:$G,RESUMEN!AJ$56),0)</f>
        <v>0</v>
      </c>
      <c r="AK64" s="31"/>
      <c r="AL64" s="31"/>
      <c r="AM64" s="31"/>
      <c r="AN64" s="31"/>
      <c r="AO64" s="31"/>
      <c r="AP64" s="31"/>
      <c r="AQ64" s="31"/>
      <c r="AR64" s="31"/>
    </row>
    <row r="65" spans="2:44" x14ac:dyDescent="0.25">
      <c r="B65" s="238">
        <f t="shared" si="14"/>
        <v>9</v>
      </c>
      <c r="C65" s="17" t="str">
        <f t="shared" si="14"/>
        <v xml:space="preserve">- </v>
      </c>
      <c r="D65" s="58" t="str">
        <f t="shared" si="14"/>
        <v/>
      </c>
      <c r="E65" s="4"/>
      <c r="F65" s="8">
        <f ca="1">IFERROR(SUMIFS(PEDIDO!$T:$T,PEDIDO!$AA:$AA,RESUMEN!$C65,PEDIDO!$G:$G,RESUMEN!F$56),0)</f>
        <v>0</v>
      </c>
      <c r="G65" s="8">
        <f ca="1">IFERROR(SUMIFS(PEDIDO!$T:$T,PEDIDO!$AA:$AA,RESUMEN!$C65,PEDIDO!$G:$G,RESUMEN!G$56),0)</f>
        <v>0</v>
      </c>
      <c r="H65" s="8">
        <f ca="1">IFERROR(SUMIFS(PEDIDO!$T:$T,PEDIDO!$AA:$AA,RESUMEN!$C65,PEDIDO!$G:$G,RESUMEN!H$56),0)</f>
        <v>0</v>
      </c>
      <c r="I65" s="8">
        <f ca="1">IFERROR(SUMIFS(PEDIDO!$T:$T,PEDIDO!$AA:$AA,RESUMEN!$C65,PEDIDO!$G:$G,RESUMEN!I$56),0)</f>
        <v>0</v>
      </c>
      <c r="J65" s="8">
        <f ca="1">IFERROR(SUMIFS(PEDIDO!$T:$T,PEDIDO!$AA:$AA,RESUMEN!$C65,PEDIDO!$G:$G,RESUMEN!J$56),0)</f>
        <v>0</v>
      </c>
      <c r="K65" s="8">
        <f ca="1">IFERROR(SUMIFS(PEDIDO!$T:$T,PEDIDO!$AA:$AA,RESUMEN!$C65,PEDIDO!$G:$G,RESUMEN!K$56),0)</f>
        <v>0</v>
      </c>
      <c r="L65" s="8">
        <f ca="1">IFERROR(SUMIFS(PEDIDO!$T:$T,PEDIDO!$AA:$AA,RESUMEN!$C65,PEDIDO!$G:$G,RESUMEN!L$56),0)</f>
        <v>0</v>
      </c>
      <c r="M65" s="8">
        <f ca="1">IFERROR(SUMIFS(PEDIDO!$T:$T,PEDIDO!$AA:$AA,RESUMEN!$C65,PEDIDO!$G:$G,RESUMEN!M$56),0)</f>
        <v>0</v>
      </c>
      <c r="N65" s="8">
        <f ca="1">IFERROR(SUMIFS(PEDIDO!$T:$T,PEDIDO!$AA:$AA,RESUMEN!$C65,PEDIDO!$G:$G,RESUMEN!N$56),0)</f>
        <v>0</v>
      </c>
      <c r="O65" s="8">
        <f ca="1">IFERROR(SUMIFS(PEDIDO!$T:$T,PEDIDO!$AA:$AA,RESUMEN!$C65,PEDIDO!$G:$G,RESUMEN!O$56),0)</f>
        <v>0</v>
      </c>
      <c r="P65" s="8">
        <f ca="1">IFERROR(SUMIFS(PEDIDO!$T:$T,PEDIDO!$AA:$AA,RESUMEN!$C65,PEDIDO!$G:$G,RESUMEN!P$56),0)</f>
        <v>0</v>
      </c>
      <c r="Q65" s="8">
        <f ca="1">IFERROR(SUMIFS(PEDIDO!$T:$T,PEDIDO!$AA:$AA,RESUMEN!$C65,PEDIDO!$G:$G,RESUMEN!Q$56),0)</f>
        <v>0</v>
      </c>
      <c r="R65" s="8">
        <f ca="1">IFERROR(SUMIFS(PEDIDO!$T:$T,PEDIDO!$AA:$AA,RESUMEN!$C65,PEDIDO!$G:$G,RESUMEN!R$56),0)</f>
        <v>0</v>
      </c>
      <c r="S65" s="8">
        <f ca="1">IFERROR(SUMIFS(PEDIDO!$T:$T,PEDIDO!$AA:$AA,RESUMEN!$C65,PEDIDO!$G:$G,RESUMEN!S$56),0)</f>
        <v>0</v>
      </c>
      <c r="T65" s="8">
        <f ca="1">IFERROR(SUMIFS(PEDIDO!$T:$T,PEDIDO!$AA:$AA,RESUMEN!$C65,PEDIDO!$G:$G,RESUMEN!T$56),0)</f>
        <v>0</v>
      </c>
      <c r="U65" s="8">
        <f ca="1">IFERROR(SUMIFS(PEDIDO!$T:$T,PEDIDO!$AA:$AA,RESUMEN!$C65,PEDIDO!$G:$G,RESUMEN!U$56),0)</f>
        <v>0</v>
      </c>
      <c r="V65" s="8">
        <f ca="1">IFERROR(SUMIFS(PEDIDO!$T:$T,PEDIDO!$AA:$AA,RESUMEN!$C65,PEDIDO!$G:$G,RESUMEN!V$56),0)</f>
        <v>0</v>
      </c>
      <c r="W65" s="8">
        <f ca="1">IFERROR(SUMIFS(PEDIDO!$T:$T,PEDIDO!$AA:$AA,RESUMEN!$C65,PEDIDO!$G:$G,RESUMEN!W$56),0)</f>
        <v>0</v>
      </c>
      <c r="X65" s="8">
        <f ca="1">IFERROR(SUMIFS(PEDIDO!$T:$T,PEDIDO!$AA:$AA,RESUMEN!$C65,PEDIDO!$G:$G,RESUMEN!X$56),0)</f>
        <v>0</v>
      </c>
      <c r="Y65" s="8">
        <f ca="1">IFERROR(SUMIFS(PEDIDO!$T:$T,PEDIDO!$AA:$AA,RESUMEN!$C65,PEDIDO!$G:$G,RESUMEN!Y$56),0)</f>
        <v>0</v>
      </c>
      <c r="Z65" s="8">
        <f ca="1">IFERROR(SUMIFS(PEDIDO!$T:$T,PEDIDO!$AA:$AA,RESUMEN!$C65,PEDIDO!$G:$G,RESUMEN!Z$56),0)</f>
        <v>0</v>
      </c>
      <c r="AA65" s="8">
        <f ca="1">IFERROR(SUMIFS(PEDIDO!$T:$T,PEDIDO!$AA:$AA,RESUMEN!$C65,PEDIDO!$G:$G,RESUMEN!AA$56),0)</f>
        <v>0</v>
      </c>
      <c r="AB65" s="8">
        <f ca="1">IFERROR(SUMIFS(PEDIDO!$T:$T,PEDIDO!$AA:$AA,RESUMEN!$C65,PEDIDO!$G:$G,RESUMEN!AB$56),0)</f>
        <v>0</v>
      </c>
      <c r="AC65" s="8">
        <f ca="1">IFERROR(SUMIFS(PEDIDO!$T:$T,PEDIDO!$AA:$AA,RESUMEN!$C65,PEDIDO!$G:$G,RESUMEN!AC$56),0)</f>
        <v>0</v>
      </c>
      <c r="AD65" s="8">
        <f ca="1">IFERROR(SUMIFS(PEDIDO!$T:$T,PEDIDO!$AA:$AA,RESUMEN!$C65,PEDIDO!$G:$G,RESUMEN!AD$56),0)</f>
        <v>0</v>
      </c>
      <c r="AE65" s="8">
        <f ca="1">IFERROR(SUMIFS(PEDIDO!$T:$T,PEDIDO!$AA:$AA,RESUMEN!$C65,PEDIDO!$G:$G,RESUMEN!AE$56),0)</f>
        <v>0</v>
      </c>
      <c r="AF65" s="8">
        <f ca="1">IFERROR(SUMIFS(PEDIDO!$T:$T,PEDIDO!$AA:$AA,RESUMEN!$C65,PEDIDO!$G:$G,RESUMEN!AF$56),0)</f>
        <v>0</v>
      </c>
      <c r="AG65" s="8">
        <f ca="1">IFERROR(SUMIFS(PEDIDO!$T:$T,PEDIDO!$AA:$AA,RESUMEN!$C65,PEDIDO!$G:$G,RESUMEN!AG$56),0)</f>
        <v>0</v>
      </c>
      <c r="AH65" s="8">
        <f ca="1">IFERROR(SUMIFS(PEDIDO!$T:$T,PEDIDO!$AA:$AA,RESUMEN!$C65,PEDIDO!$G:$G,RESUMEN!AH$56),0)</f>
        <v>0</v>
      </c>
      <c r="AI65" s="8">
        <f ca="1">IFERROR(SUMIFS(PEDIDO!$T:$T,PEDIDO!$AA:$AA,RESUMEN!$C65,PEDIDO!$G:$G,RESUMEN!AI$56),0)</f>
        <v>0</v>
      </c>
      <c r="AJ65" s="8">
        <f ca="1">IFERROR(SUMIFS(PEDIDO!$T:$T,PEDIDO!$AA:$AA,RESUMEN!$C65,PEDIDO!$G:$G,RESUMEN!AJ$56),0)</f>
        <v>0</v>
      </c>
      <c r="AK65" s="31"/>
      <c r="AL65" s="31"/>
      <c r="AM65" s="31"/>
      <c r="AN65" s="31"/>
      <c r="AO65" s="31"/>
      <c r="AP65" s="31"/>
      <c r="AQ65" s="31"/>
      <c r="AR65" s="31"/>
    </row>
    <row r="66" spans="2:44" x14ac:dyDescent="0.25">
      <c r="B66" s="238">
        <f t="shared" si="14"/>
        <v>10</v>
      </c>
      <c r="C66" s="17" t="str">
        <f t="shared" si="14"/>
        <v xml:space="preserve">- </v>
      </c>
      <c r="D66" s="58" t="str">
        <f t="shared" si="14"/>
        <v/>
      </c>
      <c r="E66" s="4"/>
      <c r="F66" s="8">
        <f ca="1">IFERROR(SUMIFS(PEDIDO!$T:$T,PEDIDO!$AA:$AA,RESUMEN!$C66,PEDIDO!$G:$G,RESUMEN!F$56),0)</f>
        <v>0</v>
      </c>
      <c r="G66" s="8">
        <f ca="1">IFERROR(SUMIFS(PEDIDO!$T:$T,PEDIDO!$AA:$AA,RESUMEN!$C66,PEDIDO!$G:$G,RESUMEN!G$56),0)</f>
        <v>0</v>
      </c>
      <c r="H66" s="8">
        <f ca="1">IFERROR(SUMIFS(PEDIDO!$T:$T,PEDIDO!$AA:$AA,RESUMEN!$C66,PEDIDO!$G:$G,RESUMEN!H$56),0)</f>
        <v>0</v>
      </c>
      <c r="I66" s="8">
        <f ca="1">IFERROR(SUMIFS(PEDIDO!$T:$T,PEDIDO!$AA:$AA,RESUMEN!$C66,PEDIDO!$G:$G,RESUMEN!I$56),0)</f>
        <v>0</v>
      </c>
      <c r="J66" s="8">
        <f ca="1">IFERROR(SUMIFS(PEDIDO!$T:$T,PEDIDO!$AA:$AA,RESUMEN!$C66,PEDIDO!$G:$G,RESUMEN!J$56),0)</f>
        <v>0</v>
      </c>
      <c r="K66" s="8">
        <f ca="1">IFERROR(SUMIFS(PEDIDO!$T:$T,PEDIDO!$AA:$AA,RESUMEN!$C66,PEDIDO!$G:$G,RESUMEN!K$56),0)</f>
        <v>0</v>
      </c>
      <c r="L66" s="8">
        <f ca="1">IFERROR(SUMIFS(PEDIDO!$T:$T,PEDIDO!$AA:$AA,RESUMEN!$C66,PEDIDO!$G:$G,RESUMEN!L$56),0)</f>
        <v>0</v>
      </c>
      <c r="M66" s="8">
        <f ca="1">IFERROR(SUMIFS(PEDIDO!$T:$T,PEDIDO!$AA:$AA,RESUMEN!$C66,PEDIDO!$G:$G,RESUMEN!M$56),0)</f>
        <v>0</v>
      </c>
      <c r="N66" s="8">
        <f ca="1">IFERROR(SUMIFS(PEDIDO!$T:$T,PEDIDO!$AA:$AA,RESUMEN!$C66,PEDIDO!$G:$G,RESUMEN!N$56),0)</f>
        <v>0</v>
      </c>
      <c r="O66" s="8">
        <f ca="1">IFERROR(SUMIFS(PEDIDO!$T:$T,PEDIDO!$AA:$AA,RESUMEN!$C66,PEDIDO!$G:$G,RESUMEN!O$56),0)</f>
        <v>0</v>
      </c>
      <c r="P66" s="8">
        <f ca="1">IFERROR(SUMIFS(PEDIDO!$T:$T,PEDIDO!$AA:$AA,RESUMEN!$C66,PEDIDO!$G:$G,RESUMEN!P$56),0)</f>
        <v>0</v>
      </c>
      <c r="Q66" s="8">
        <f ca="1">IFERROR(SUMIFS(PEDIDO!$T:$T,PEDIDO!$AA:$AA,RESUMEN!$C66,PEDIDO!$G:$G,RESUMEN!Q$56),0)</f>
        <v>0</v>
      </c>
      <c r="R66" s="8">
        <f ca="1">IFERROR(SUMIFS(PEDIDO!$T:$T,PEDIDO!$AA:$AA,RESUMEN!$C66,PEDIDO!$G:$G,RESUMEN!R$56),0)</f>
        <v>0</v>
      </c>
      <c r="S66" s="8">
        <f ca="1">IFERROR(SUMIFS(PEDIDO!$T:$T,PEDIDO!$AA:$AA,RESUMEN!$C66,PEDIDO!$G:$G,RESUMEN!S$56),0)</f>
        <v>0</v>
      </c>
      <c r="T66" s="8">
        <f ca="1">IFERROR(SUMIFS(PEDIDO!$T:$T,PEDIDO!$AA:$AA,RESUMEN!$C66,PEDIDO!$G:$G,RESUMEN!T$56),0)</f>
        <v>0</v>
      </c>
      <c r="U66" s="8">
        <f ca="1">IFERROR(SUMIFS(PEDIDO!$T:$T,PEDIDO!$AA:$AA,RESUMEN!$C66,PEDIDO!$G:$G,RESUMEN!U$56),0)</f>
        <v>0</v>
      </c>
      <c r="V66" s="8">
        <f ca="1">IFERROR(SUMIFS(PEDIDO!$T:$T,PEDIDO!$AA:$AA,RESUMEN!$C66,PEDIDO!$G:$G,RESUMEN!V$56),0)</f>
        <v>0</v>
      </c>
      <c r="W66" s="8">
        <f ca="1">IFERROR(SUMIFS(PEDIDO!$T:$T,PEDIDO!$AA:$AA,RESUMEN!$C66,PEDIDO!$G:$G,RESUMEN!W$56),0)</f>
        <v>0</v>
      </c>
      <c r="X66" s="8">
        <f ca="1">IFERROR(SUMIFS(PEDIDO!$T:$T,PEDIDO!$AA:$AA,RESUMEN!$C66,PEDIDO!$G:$G,RESUMEN!X$56),0)</f>
        <v>0</v>
      </c>
      <c r="Y66" s="8">
        <f ca="1">IFERROR(SUMIFS(PEDIDO!$T:$T,PEDIDO!$AA:$AA,RESUMEN!$C66,PEDIDO!$G:$G,RESUMEN!Y$56),0)</f>
        <v>0</v>
      </c>
      <c r="Z66" s="8">
        <f ca="1">IFERROR(SUMIFS(PEDIDO!$T:$T,PEDIDO!$AA:$AA,RESUMEN!$C66,PEDIDO!$G:$G,RESUMEN!Z$56),0)</f>
        <v>0</v>
      </c>
      <c r="AA66" s="8">
        <f ca="1">IFERROR(SUMIFS(PEDIDO!$T:$T,PEDIDO!$AA:$AA,RESUMEN!$C66,PEDIDO!$G:$G,RESUMEN!AA$56),0)</f>
        <v>0</v>
      </c>
      <c r="AB66" s="8">
        <f ca="1">IFERROR(SUMIFS(PEDIDO!$T:$T,PEDIDO!$AA:$AA,RESUMEN!$C66,PEDIDO!$G:$G,RESUMEN!AB$56),0)</f>
        <v>0</v>
      </c>
      <c r="AC66" s="8">
        <f ca="1">IFERROR(SUMIFS(PEDIDO!$T:$T,PEDIDO!$AA:$AA,RESUMEN!$C66,PEDIDO!$G:$G,RESUMEN!AC$56),0)</f>
        <v>0</v>
      </c>
      <c r="AD66" s="8">
        <f ca="1">IFERROR(SUMIFS(PEDIDO!$T:$T,PEDIDO!$AA:$AA,RESUMEN!$C66,PEDIDO!$G:$G,RESUMEN!AD$56),0)</f>
        <v>0</v>
      </c>
      <c r="AE66" s="8">
        <f ca="1">IFERROR(SUMIFS(PEDIDO!$T:$T,PEDIDO!$AA:$AA,RESUMEN!$C66,PEDIDO!$G:$G,RESUMEN!AE$56),0)</f>
        <v>0</v>
      </c>
      <c r="AF66" s="8">
        <f ca="1">IFERROR(SUMIFS(PEDIDO!$T:$T,PEDIDO!$AA:$AA,RESUMEN!$C66,PEDIDO!$G:$G,RESUMEN!AF$56),0)</f>
        <v>0</v>
      </c>
      <c r="AG66" s="8">
        <f ca="1">IFERROR(SUMIFS(PEDIDO!$T:$T,PEDIDO!$AA:$AA,RESUMEN!$C66,PEDIDO!$G:$G,RESUMEN!AG$56),0)</f>
        <v>0</v>
      </c>
      <c r="AH66" s="8">
        <f ca="1">IFERROR(SUMIFS(PEDIDO!$T:$T,PEDIDO!$AA:$AA,RESUMEN!$C66,PEDIDO!$G:$G,RESUMEN!AH$56),0)</f>
        <v>0</v>
      </c>
      <c r="AI66" s="8">
        <f ca="1">IFERROR(SUMIFS(PEDIDO!$T:$T,PEDIDO!$AA:$AA,RESUMEN!$C66,PEDIDO!$G:$G,RESUMEN!AI$56),0)</f>
        <v>0</v>
      </c>
      <c r="AJ66" s="8">
        <f ca="1">IFERROR(SUMIFS(PEDIDO!$T:$T,PEDIDO!$AA:$AA,RESUMEN!$C66,PEDIDO!$G:$G,RESUMEN!AJ$56),0)</f>
        <v>0</v>
      </c>
      <c r="AK66" s="31"/>
      <c r="AL66" s="31"/>
      <c r="AM66" s="31"/>
      <c r="AN66" s="31"/>
      <c r="AO66" s="31"/>
      <c r="AP66" s="31"/>
      <c r="AQ66" s="31"/>
      <c r="AR66" s="31"/>
    </row>
    <row r="67" spans="2:44" x14ac:dyDescent="0.25">
      <c r="B67" s="238">
        <f t="shared" si="14"/>
        <v>11</v>
      </c>
      <c r="C67" s="17" t="str">
        <f t="shared" si="14"/>
        <v xml:space="preserve">- </v>
      </c>
      <c r="D67" s="58" t="str">
        <f t="shared" si="14"/>
        <v/>
      </c>
      <c r="E67" s="4"/>
      <c r="F67" s="8">
        <f ca="1">IFERROR(SUMIFS(PEDIDO!$T:$T,PEDIDO!$AA:$AA,RESUMEN!$C67,PEDIDO!$G:$G,RESUMEN!F$56),0)</f>
        <v>0</v>
      </c>
      <c r="G67" s="8">
        <f ca="1">IFERROR(SUMIFS(PEDIDO!$T:$T,PEDIDO!$AA:$AA,RESUMEN!$C67,PEDIDO!$G:$G,RESUMEN!G$56),0)</f>
        <v>0</v>
      </c>
      <c r="H67" s="8">
        <f ca="1">IFERROR(SUMIFS(PEDIDO!$T:$T,PEDIDO!$AA:$AA,RESUMEN!$C67,PEDIDO!$G:$G,RESUMEN!H$56),0)</f>
        <v>0</v>
      </c>
      <c r="I67" s="8">
        <f ca="1">IFERROR(SUMIFS(PEDIDO!$T:$T,PEDIDO!$AA:$AA,RESUMEN!$C67,PEDIDO!$G:$G,RESUMEN!I$56),0)</f>
        <v>0</v>
      </c>
      <c r="J67" s="8">
        <f ca="1">IFERROR(SUMIFS(PEDIDO!$T:$T,PEDIDO!$AA:$AA,RESUMEN!$C67,PEDIDO!$G:$G,RESUMEN!J$56),0)</f>
        <v>0</v>
      </c>
      <c r="K67" s="8">
        <f ca="1">IFERROR(SUMIFS(PEDIDO!$T:$T,PEDIDO!$AA:$AA,RESUMEN!$C67,PEDIDO!$G:$G,RESUMEN!K$56),0)</f>
        <v>0</v>
      </c>
      <c r="L67" s="8">
        <f ca="1">IFERROR(SUMIFS(PEDIDO!$T:$T,PEDIDO!$AA:$AA,RESUMEN!$C67,PEDIDO!$G:$G,RESUMEN!L$56),0)</f>
        <v>0</v>
      </c>
      <c r="M67" s="8">
        <f ca="1">IFERROR(SUMIFS(PEDIDO!$T:$T,PEDIDO!$AA:$AA,RESUMEN!$C67,PEDIDO!$G:$G,RESUMEN!M$56),0)</f>
        <v>0</v>
      </c>
      <c r="N67" s="8">
        <f ca="1">IFERROR(SUMIFS(PEDIDO!$T:$T,PEDIDO!$AA:$AA,RESUMEN!$C67,PEDIDO!$G:$G,RESUMEN!N$56),0)</f>
        <v>0</v>
      </c>
      <c r="O67" s="8">
        <f ca="1">IFERROR(SUMIFS(PEDIDO!$T:$T,PEDIDO!$AA:$AA,RESUMEN!$C67,PEDIDO!$G:$G,RESUMEN!O$56),0)</f>
        <v>0</v>
      </c>
      <c r="P67" s="8">
        <f ca="1">IFERROR(SUMIFS(PEDIDO!$T:$T,PEDIDO!$AA:$AA,RESUMEN!$C67,PEDIDO!$G:$G,RESUMEN!P$56),0)</f>
        <v>0</v>
      </c>
      <c r="Q67" s="8">
        <f ca="1">IFERROR(SUMIFS(PEDIDO!$T:$T,PEDIDO!$AA:$AA,RESUMEN!$C67,PEDIDO!$G:$G,RESUMEN!Q$56),0)</f>
        <v>0</v>
      </c>
      <c r="R67" s="8">
        <f ca="1">IFERROR(SUMIFS(PEDIDO!$T:$T,PEDIDO!$AA:$AA,RESUMEN!$C67,PEDIDO!$G:$G,RESUMEN!R$56),0)</f>
        <v>0</v>
      </c>
      <c r="S67" s="8">
        <f ca="1">IFERROR(SUMIFS(PEDIDO!$T:$T,PEDIDO!$AA:$AA,RESUMEN!$C67,PEDIDO!$G:$G,RESUMEN!S$56),0)</f>
        <v>0</v>
      </c>
      <c r="T67" s="8">
        <f ca="1">IFERROR(SUMIFS(PEDIDO!$T:$T,PEDIDO!$AA:$AA,RESUMEN!$C67,PEDIDO!$G:$G,RESUMEN!T$56),0)</f>
        <v>0</v>
      </c>
      <c r="U67" s="8">
        <f ca="1">IFERROR(SUMIFS(PEDIDO!$T:$T,PEDIDO!$AA:$AA,RESUMEN!$C67,PEDIDO!$G:$G,RESUMEN!U$56),0)</f>
        <v>0</v>
      </c>
      <c r="V67" s="8">
        <f ca="1">IFERROR(SUMIFS(PEDIDO!$T:$T,PEDIDO!$AA:$AA,RESUMEN!$C67,PEDIDO!$G:$G,RESUMEN!V$56),0)</f>
        <v>0</v>
      </c>
      <c r="W67" s="8">
        <f ca="1">IFERROR(SUMIFS(PEDIDO!$T:$T,PEDIDO!$AA:$AA,RESUMEN!$C67,PEDIDO!$G:$G,RESUMEN!W$56),0)</f>
        <v>0</v>
      </c>
      <c r="X67" s="8">
        <f ca="1">IFERROR(SUMIFS(PEDIDO!$T:$T,PEDIDO!$AA:$AA,RESUMEN!$C67,PEDIDO!$G:$G,RESUMEN!X$56),0)</f>
        <v>0</v>
      </c>
      <c r="Y67" s="8">
        <f ca="1">IFERROR(SUMIFS(PEDIDO!$T:$T,PEDIDO!$AA:$AA,RESUMEN!$C67,PEDIDO!$G:$G,RESUMEN!Y$56),0)</f>
        <v>0</v>
      </c>
      <c r="Z67" s="8">
        <f ca="1">IFERROR(SUMIFS(PEDIDO!$T:$T,PEDIDO!$AA:$AA,RESUMEN!$C67,PEDIDO!$G:$G,RESUMEN!Z$56),0)</f>
        <v>0</v>
      </c>
      <c r="AA67" s="8">
        <f ca="1">IFERROR(SUMIFS(PEDIDO!$T:$T,PEDIDO!$AA:$AA,RESUMEN!$C67,PEDIDO!$G:$G,RESUMEN!AA$56),0)</f>
        <v>0</v>
      </c>
      <c r="AB67" s="8">
        <f ca="1">IFERROR(SUMIFS(PEDIDO!$T:$T,PEDIDO!$AA:$AA,RESUMEN!$C67,PEDIDO!$G:$G,RESUMEN!AB$56),0)</f>
        <v>0</v>
      </c>
      <c r="AC67" s="8">
        <f ca="1">IFERROR(SUMIFS(PEDIDO!$T:$T,PEDIDO!$AA:$AA,RESUMEN!$C67,PEDIDO!$G:$G,RESUMEN!AC$56),0)</f>
        <v>0</v>
      </c>
      <c r="AD67" s="8">
        <f ca="1">IFERROR(SUMIFS(PEDIDO!$T:$T,PEDIDO!$AA:$AA,RESUMEN!$C67,PEDIDO!$G:$G,RESUMEN!AD$56),0)</f>
        <v>0</v>
      </c>
      <c r="AE67" s="8">
        <f ca="1">IFERROR(SUMIFS(PEDIDO!$T:$T,PEDIDO!$AA:$AA,RESUMEN!$C67,PEDIDO!$G:$G,RESUMEN!AE$56),0)</f>
        <v>0</v>
      </c>
      <c r="AF67" s="8">
        <f ca="1">IFERROR(SUMIFS(PEDIDO!$T:$T,PEDIDO!$AA:$AA,RESUMEN!$C67,PEDIDO!$G:$G,RESUMEN!AF$56),0)</f>
        <v>0</v>
      </c>
      <c r="AG67" s="8">
        <f ca="1">IFERROR(SUMIFS(PEDIDO!$T:$T,PEDIDO!$AA:$AA,RESUMEN!$C67,PEDIDO!$G:$G,RESUMEN!AG$56),0)</f>
        <v>0</v>
      </c>
      <c r="AH67" s="8">
        <f ca="1">IFERROR(SUMIFS(PEDIDO!$T:$T,PEDIDO!$AA:$AA,RESUMEN!$C67,PEDIDO!$G:$G,RESUMEN!AH$56),0)</f>
        <v>0</v>
      </c>
      <c r="AI67" s="8">
        <f ca="1">IFERROR(SUMIFS(PEDIDO!$T:$T,PEDIDO!$AA:$AA,RESUMEN!$C67,PEDIDO!$G:$G,RESUMEN!AI$56),0)</f>
        <v>0</v>
      </c>
      <c r="AJ67" s="8">
        <f ca="1">IFERROR(SUMIFS(PEDIDO!$T:$T,PEDIDO!$AA:$AA,RESUMEN!$C67,PEDIDO!$G:$G,RESUMEN!AJ$56),0)</f>
        <v>0</v>
      </c>
      <c r="AK67" s="31"/>
      <c r="AL67" s="31"/>
      <c r="AM67" s="31"/>
      <c r="AN67" s="31"/>
      <c r="AO67" s="31"/>
      <c r="AP67" s="31"/>
      <c r="AQ67" s="31"/>
      <c r="AR67" s="31"/>
    </row>
    <row r="68" spans="2:44" x14ac:dyDescent="0.25">
      <c r="B68" s="238">
        <f t="shared" si="14"/>
        <v>12</v>
      </c>
      <c r="C68" s="17" t="str">
        <f t="shared" si="14"/>
        <v xml:space="preserve">- </v>
      </c>
      <c r="D68" s="58" t="str">
        <f t="shared" si="14"/>
        <v/>
      </c>
      <c r="E68" s="4"/>
      <c r="F68" s="8">
        <f ca="1">IFERROR(SUMIFS(PEDIDO!$T:$T,PEDIDO!$AA:$AA,RESUMEN!$C68,PEDIDO!$G:$G,RESUMEN!F$56),0)</f>
        <v>0</v>
      </c>
      <c r="G68" s="8">
        <f ca="1">IFERROR(SUMIFS(PEDIDO!$T:$T,PEDIDO!$AA:$AA,RESUMEN!$C68,PEDIDO!$G:$G,RESUMEN!G$56),0)</f>
        <v>0</v>
      </c>
      <c r="H68" s="8">
        <f ca="1">IFERROR(SUMIFS(PEDIDO!$T:$T,PEDIDO!$AA:$AA,RESUMEN!$C68,PEDIDO!$G:$G,RESUMEN!H$56),0)</f>
        <v>0</v>
      </c>
      <c r="I68" s="8">
        <f ca="1">IFERROR(SUMIFS(PEDIDO!$T:$T,PEDIDO!$AA:$AA,RESUMEN!$C68,PEDIDO!$G:$G,RESUMEN!I$56),0)</f>
        <v>0</v>
      </c>
      <c r="J68" s="8">
        <f ca="1">IFERROR(SUMIFS(PEDIDO!$T:$T,PEDIDO!$AA:$AA,RESUMEN!$C68,PEDIDO!$G:$G,RESUMEN!J$56),0)</f>
        <v>0</v>
      </c>
      <c r="K68" s="8">
        <f ca="1">IFERROR(SUMIFS(PEDIDO!$T:$T,PEDIDO!$AA:$AA,RESUMEN!$C68,PEDIDO!$G:$G,RESUMEN!K$56),0)</f>
        <v>0</v>
      </c>
      <c r="L68" s="8">
        <f ca="1">IFERROR(SUMIFS(PEDIDO!$T:$T,PEDIDO!$AA:$AA,RESUMEN!$C68,PEDIDO!$G:$G,RESUMEN!L$56),0)</f>
        <v>0</v>
      </c>
      <c r="M68" s="8">
        <f ca="1">IFERROR(SUMIFS(PEDIDO!$T:$T,PEDIDO!$AA:$AA,RESUMEN!$C68,PEDIDO!$G:$G,RESUMEN!M$56),0)</f>
        <v>0</v>
      </c>
      <c r="N68" s="8">
        <f ca="1">IFERROR(SUMIFS(PEDIDO!$T:$T,PEDIDO!$AA:$AA,RESUMEN!$C68,PEDIDO!$G:$G,RESUMEN!N$56),0)</f>
        <v>0</v>
      </c>
      <c r="O68" s="8">
        <f ca="1">IFERROR(SUMIFS(PEDIDO!$T:$T,PEDIDO!$AA:$AA,RESUMEN!$C68,PEDIDO!$G:$G,RESUMEN!O$56),0)</f>
        <v>0</v>
      </c>
      <c r="P68" s="8">
        <f ca="1">IFERROR(SUMIFS(PEDIDO!$T:$T,PEDIDO!$AA:$AA,RESUMEN!$C68,PEDIDO!$G:$G,RESUMEN!P$56),0)</f>
        <v>0</v>
      </c>
      <c r="Q68" s="8">
        <f ca="1">IFERROR(SUMIFS(PEDIDO!$T:$T,PEDIDO!$AA:$AA,RESUMEN!$C68,PEDIDO!$G:$G,RESUMEN!Q$56),0)</f>
        <v>0</v>
      </c>
      <c r="R68" s="8">
        <f ca="1">IFERROR(SUMIFS(PEDIDO!$T:$T,PEDIDO!$AA:$AA,RESUMEN!$C68,PEDIDO!$G:$G,RESUMEN!R$56),0)</f>
        <v>0</v>
      </c>
      <c r="S68" s="8">
        <f ca="1">IFERROR(SUMIFS(PEDIDO!$T:$T,PEDIDO!$AA:$AA,RESUMEN!$C68,PEDIDO!$G:$G,RESUMEN!S$56),0)</f>
        <v>0</v>
      </c>
      <c r="T68" s="8">
        <f ca="1">IFERROR(SUMIFS(PEDIDO!$T:$T,PEDIDO!$AA:$AA,RESUMEN!$C68,PEDIDO!$G:$G,RESUMEN!T$56),0)</f>
        <v>0</v>
      </c>
      <c r="U68" s="8">
        <f ca="1">IFERROR(SUMIFS(PEDIDO!$T:$T,PEDIDO!$AA:$AA,RESUMEN!$C68,PEDIDO!$G:$G,RESUMEN!U$56),0)</f>
        <v>0</v>
      </c>
      <c r="V68" s="8">
        <f ca="1">IFERROR(SUMIFS(PEDIDO!$T:$T,PEDIDO!$AA:$AA,RESUMEN!$C68,PEDIDO!$G:$G,RESUMEN!V$56),0)</f>
        <v>0</v>
      </c>
      <c r="W68" s="8">
        <f ca="1">IFERROR(SUMIFS(PEDIDO!$T:$T,PEDIDO!$AA:$AA,RESUMEN!$C68,PEDIDO!$G:$G,RESUMEN!W$56),0)</f>
        <v>0</v>
      </c>
      <c r="X68" s="8">
        <f ca="1">IFERROR(SUMIFS(PEDIDO!$T:$T,PEDIDO!$AA:$AA,RESUMEN!$C68,PEDIDO!$G:$G,RESUMEN!X$56),0)</f>
        <v>0</v>
      </c>
      <c r="Y68" s="8">
        <f ca="1">IFERROR(SUMIFS(PEDIDO!$T:$T,PEDIDO!$AA:$AA,RESUMEN!$C68,PEDIDO!$G:$G,RESUMEN!Y$56),0)</f>
        <v>0</v>
      </c>
      <c r="Z68" s="8">
        <f ca="1">IFERROR(SUMIFS(PEDIDO!$T:$T,PEDIDO!$AA:$AA,RESUMEN!$C68,PEDIDO!$G:$G,RESUMEN!Z$56),0)</f>
        <v>0</v>
      </c>
      <c r="AA68" s="8">
        <f ca="1">IFERROR(SUMIFS(PEDIDO!$T:$T,PEDIDO!$AA:$AA,RESUMEN!$C68,PEDIDO!$G:$G,RESUMEN!AA$56),0)</f>
        <v>0</v>
      </c>
      <c r="AB68" s="8">
        <f ca="1">IFERROR(SUMIFS(PEDIDO!$T:$T,PEDIDO!$AA:$AA,RESUMEN!$C68,PEDIDO!$G:$G,RESUMEN!AB$56),0)</f>
        <v>0</v>
      </c>
      <c r="AC68" s="8">
        <f ca="1">IFERROR(SUMIFS(PEDIDO!$T:$T,PEDIDO!$AA:$AA,RESUMEN!$C68,PEDIDO!$G:$G,RESUMEN!AC$56),0)</f>
        <v>0</v>
      </c>
      <c r="AD68" s="8">
        <f ca="1">IFERROR(SUMIFS(PEDIDO!$T:$T,PEDIDO!$AA:$AA,RESUMEN!$C68,PEDIDO!$G:$G,RESUMEN!AD$56),0)</f>
        <v>0</v>
      </c>
      <c r="AE68" s="8">
        <f ca="1">IFERROR(SUMIFS(PEDIDO!$T:$T,PEDIDO!$AA:$AA,RESUMEN!$C68,PEDIDO!$G:$G,RESUMEN!AE$56),0)</f>
        <v>0</v>
      </c>
      <c r="AF68" s="8">
        <f ca="1">IFERROR(SUMIFS(PEDIDO!$T:$T,PEDIDO!$AA:$AA,RESUMEN!$C68,PEDIDO!$G:$G,RESUMEN!AF$56),0)</f>
        <v>0</v>
      </c>
      <c r="AG68" s="8">
        <f ca="1">IFERROR(SUMIFS(PEDIDO!$T:$T,PEDIDO!$AA:$AA,RESUMEN!$C68,PEDIDO!$G:$G,RESUMEN!AG$56),0)</f>
        <v>0</v>
      </c>
      <c r="AH68" s="8">
        <f ca="1">IFERROR(SUMIFS(PEDIDO!$T:$T,PEDIDO!$AA:$AA,RESUMEN!$C68,PEDIDO!$G:$G,RESUMEN!AH$56),0)</f>
        <v>0</v>
      </c>
      <c r="AI68" s="8">
        <f ca="1">IFERROR(SUMIFS(PEDIDO!$T:$T,PEDIDO!$AA:$AA,RESUMEN!$C68,PEDIDO!$G:$G,RESUMEN!AI$56),0)</f>
        <v>0</v>
      </c>
      <c r="AJ68" s="8">
        <f ca="1">IFERROR(SUMIFS(PEDIDO!$T:$T,PEDIDO!$AA:$AA,RESUMEN!$C68,PEDIDO!$G:$G,RESUMEN!AJ$56),0)</f>
        <v>0</v>
      </c>
      <c r="AK68" s="31"/>
      <c r="AL68" s="31"/>
      <c r="AM68" s="31"/>
      <c r="AN68" s="31"/>
      <c r="AO68" s="31"/>
      <c r="AP68" s="31"/>
      <c r="AQ68" s="31"/>
      <c r="AR68" s="31"/>
    </row>
    <row r="69" spans="2:44" x14ac:dyDescent="0.25">
      <c r="B69" s="238">
        <f t="shared" si="14"/>
        <v>13</v>
      </c>
      <c r="C69" s="17" t="str">
        <f t="shared" si="14"/>
        <v xml:space="preserve">- </v>
      </c>
      <c r="D69" s="58" t="str">
        <f t="shared" si="14"/>
        <v/>
      </c>
      <c r="E69" s="4"/>
      <c r="F69" s="8">
        <f ca="1">IFERROR(SUMIFS(PEDIDO!$T:$T,PEDIDO!$AA:$AA,RESUMEN!$C69,PEDIDO!$G:$G,RESUMEN!F$56),0)</f>
        <v>0</v>
      </c>
      <c r="G69" s="8">
        <f ca="1">IFERROR(SUMIFS(PEDIDO!$T:$T,PEDIDO!$AA:$AA,RESUMEN!$C69,PEDIDO!$G:$G,RESUMEN!G$56),0)</f>
        <v>0</v>
      </c>
      <c r="H69" s="8">
        <f ca="1">IFERROR(SUMIFS(PEDIDO!$T:$T,PEDIDO!$AA:$AA,RESUMEN!$C69,PEDIDO!$G:$G,RESUMEN!H$56),0)</f>
        <v>0</v>
      </c>
      <c r="I69" s="8">
        <f ca="1">IFERROR(SUMIFS(PEDIDO!$T:$T,PEDIDO!$AA:$AA,RESUMEN!$C69,PEDIDO!$G:$G,RESUMEN!I$56),0)</f>
        <v>0</v>
      </c>
      <c r="J69" s="8">
        <f ca="1">IFERROR(SUMIFS(PEDIDO!$T:$T,PEDIDO!$AA:$AA,RESUMEN!$C69,PEDIDO!$G:$G,RESUMEN!J$56),0)</f>
        <v>0</v>
      </c>
      <c r="K69" s="8">
        <f ca="1">IFERROR(SUMIFS(PEDIDO!$T:$T,PEDIDO!$AA:$AA,RESUMEN!$C69,PEDIDO!$G:$G,RESUMEN!K$56),0)</f>
        <v>0</v>
      </c>
      <c r="L69" s="8">
        <f ca="1">IFERROR(SUMIFS(PEDIDO!$T:$T,PEDIDO!$AA:$AA,RESUMEN!$C69,PEDIDO!$G:$G,RESUMEN!L$56),0)</f>
        <v>0</v>
      </c>
      <c r="M69" s="8">
        <f ca="1">IFERROR(SUMIFS(PEDIDO!$T:$T,PEDIDO!$AA:$AA,RESUMEN!$C69,PEDIDO!$G:$G,RESUMEN!M$56),0)</f>
        <v>0</v>
      </c>
      <c r="N69" s="8">
        <f ca="1">IFERROR(SUMIFS(PEDIDO!$T:$T,PEDIDO!$AA:$AA,RESUMEN!$C69,PEDIDO!$G:$G,RESUMEN!N$56),0)</f>
        <v>0</v>
      </c>
      <c r="O69" s="8">
        <f ca="1">IFERROR(SUMIFS(PEDIDO!$T:$T,PEDIDO!$AA:$AA,RESUMEN!$C69,PEDIDO!$G:$G,RESUMEN!O$56),0)</f>
        <v>0</v>
      </c>
      <c r="P69" s="8">
        <f ca="1">IFERROR(SUMIFS(PEDIDO!$T:$T,PEDIDO!$AA:$AA,RESUMEN!$C69,PEDIDO!$G:$G,RESUMEN!P$56),0)</f>
        <v>0</v>
      </c>
      <c r="Q69" s="8">
        <f ca="1">IFERROR(SUMIFS(PEDIDO!$T:$T,PEDIDO!$AA:$AA,RESUMEN!$C69,PEDIDO!$G:$G,RESUMEN!Q$56),0)</f>
        <v>0</v>
      </c>
      <c r="R69" s="8">
        <f ca="1">IFERROR(SUMIFS(PEDIDO!$T:$T,PEDIDO!$AA:$AA,RESUMEN!$C69,PEDIDO!$G:$G,RESUMEN!R$56),0)</f>
        <v>0</v>
      </c>
      <c r="S69" s="8">
        <f ca="1">IFERROR(SUMIFS(PEDIDO!$T:$T,PEDIDO!$AA:$AA,RESUMEN!$C69,PEDIDO!$G:$G,RESUMEN!S$56),0)</f>
        <v>0</v>
      </c>
      <c r="T69" s="8">
        <f ca="1">IFERROR(SUMIFS(PEDIDO!$T:$T,PEDIDO!$AA:$AA,RESUMEN!$C69,PEDIDO!$G:$G,RESUMEN!T$56),0)</f>
        <v>0</v>
      </c>
      <c r="U69" s="8">
        <f ca="1">IFERROR(SUMIFS(PEDIDO!$T:$T,PEDIDO!$AA:$AA,RESUMEN!$C69,PEDIDO!$G:$G,RESUMEN!U$56),0)</f>
        <v>0</v>
      </c>
      <c r="V69" s="8">
        <f ca="1">IFERROR(SUMIFS(PEDIDO!$T:$T,PEDIDO!$AA:$AA,RESUMEN!$C69,PEDIDO!$G:$G,RESUMEN!V$56),0)</f>
        <v>0</v>
      </c>
      <c r="W69" s="8">
        <f ca="1">IFERROR(SUMIFS(PEDIDO!$T:$T,PEDIDO!$AA:$AA,RESUMEN!$C69,PEDIDO!$G:$G,RESUMEN!W$56),0)</f>
        <v>0</v>
      </c>
      <c r="X69" s="8">
        <f ca="1">IFERROR(SUMIFS(PEDIDO!$T:$T,PEDIDO!$AA:$AA,RESUMEN!$C69,PEDIDO!$G:$G,RESUMEN!X$56),0)</f>
        <v>0</v>
      </c>
      <c r="Y69" s="8">
        <f ca="1">IFERROR(SUMIFS(PEDIDO!$T:$T,PEDIDO!$AA:$AA,RESUMEN!$C69,PEDIDO!$G:$G,RESUMEN!Y$56),0)</f>
        <v>0</v>
      </c>
      <c r="Z69" s="8">
        <f ca="1">IFERROR(SUMIFS(PEDIDO!$T:$T,PEDIDO!$AA:$AA,RESUMEN!$C69,PEDIDO!$G:$G,RESUMEN!Z$56),0)</f>
        <v>0</v>
      </c>
      <c r="AA69" s="8">
        <f ca="1">IFERROR(SUMIFS(PEDIDO!$T:$T,PEDIDO!$AA:$AA,RESUMEN!$C69,PEDIDO!$G:$G,RESUMEN!AA$56),0)</f>
        <v>0</v>
      </c>
      <c r="AB69" s="8">
        <f ca="1">IFERROR(SUMIFS(PEDIDO!$T:$T,PEDIDO!$AA:$AA,RESUMEN!$C69,PEDIDO!$G:$G,RESUMEN!AB$56),0)</f>
        <v>0</v>
      </c>
      <c r="AC69" s="8">
        <f ca="1">IFERROR(SUMIFS(PEDIDO!$T:$T,PEDIDO!$AA:$AA,RESUMEN!$C69,PEDIDO!$G:$G,RESUMEN!AC$56),0)</f>
        <v>0</v>
      </c>
      <c r="AD69" s="8">
        <f ca="1">IFERROR(SUMIFS(PEDIDO!$T:$T,PEDIDO!$AA:$AA,RESUMEN!$C69,PEDIDO!$G:$G,RESUMEN!AD$56),0)</f>
        <v>0</v>
      </c>
      <c r="AE69" s="8">
        <f ca="1">IFERROR(SUMIFS(PEDIDO!$T:$T,PEDIDO!$AA:$AA,RESUMEN!$C69,PEDIDO!$G:$G,RESUMEN!AE$56),0)</f>
        <v>0</v>
      </c>
      <c r="AF69" s="8">
        <f ca="1">IFERROR(SUMIFS(PEDIDO!$T:$T,PEDIDO!$AA:$AA,RESUMEN!$C69,PEDIDO!$G:$G,RESUMEN!AF$56),0)</f>
        <v>0</v>
      </c>
      <c r="AG69" s="8">
        <f ca="1">IFERROR(SUMIFS(PEDIDO!$T:$T,PEDIDO!$AA:$AA,RESUMEN!$C69,PEDIDO!$G:$G,RESUMEN!AG$56),0)</f>
        <v>0</v>
      </c>
      <c r="AH69" s="8">
        <f ca="1">IFERROR(SUMIFS(PEDIDO!$T:$T,PEDIDO!$AA:$AA,RESUMEN!$C69,PEDIDO!$G:$G,RESUMEN!AH$56),0)</f>
        <v>0</v>
      </c>
      <c r="AI69" s="8">
        <f ca="1">IFERROR(SUMIFS(PEDIDO!$T:$T,PEDIDO!$AA:$AA,RESUMEN!$C69,PEDIDO!$G:$G,RESUMEN!AI$56),0)</f>
        <v>0</v>
      </c>
      <c r="AJ69" s="8">
        <f ca="1">IFERROR(SUMIFS(PEDIDO!$T:$T,PEDIDO!$AA:$AA,RESUMEN!$C69,PEDIDO!$G:$G,RESUMEN!AJ$56),0)</f>
        <v>0</v>
      </c>
      <c r="AK69" s="31"/>
      <c r="AL69" s="31"/>
      <c r="AM69" s="31"/>
      <c r="AN69" s="31"/>
      <c r="AO69" s="31"/>
      <c r="AP69" s="31"/>
      <c r="AQ69" s="31"/>
      <c r="AR69" s="31"/>
    </row>
    <row r="70" spans="2:44" x14ac:dyDescent="0.25">
      <c r="B70" s="143">
        <f t="shared" si="14"/>
        <v>14</v>
      </c>
      <c r="C70" s="202" t="str">
        <f t="shared" si="14"/>
        <v xml:space="preserve">- </v>
      </c>
      <c r="D70" s="144" t="str">
        <f t="shared" si="14"/>
        <v/>
      </c>
      <c r="E70" s="145"/>
      <c r="F70" s="146">
        <f ca="1">IFERROR(SUMIFS(PEDIDO!$T:$T,PEDIDO!$AA:$AA,RESUMEN!$C70,PEDIDO!$G:$G,RESUMEN!F$56),0)</f>
        <v>0</v>
      </c>
      <c r="G70" s="146">
        <f ca="1">IFERROR(SUMIFS(PEDIDO!$T:$T,PEDIDO!$AA:$AA,RESUMEN!$C70,PEDIDO!$G:$G,RESUMEN!G$56),0)</f>
        <v>0</v>
      </c>
      <c r="H70" s="146">
        <f ca="1">IFERROR(SUMIFS(PEDIDO!$T:$T,PEDIDO!$AA:$AA,RESUMEN!$C70,PEDIDO!$G:$G,RESUMEN!H$56),0)</f>
        <v>0</v>
      </c>
      <c r="I70" s="146">
        <f ca="1">IFERROR(SUMIFS(PEDIDO!$T:$T,PEDIDO!$AA:$AA,RESUMEN!$C70,PEDIDO!$G:$G,RESUMEN!I$56),0)</f>
        <v>0</v>
      </c>
      <c r="J70" s="146">
        <f ca="1">IFERROR(SUMIFS(PEDIDO!$T:$T,PEDIDO!$AA:$AA,RESUMEN!$C70,PEDIDO!$G:$G,RESUMEN!J$56),0)</f>
        <v>0</v>
      </c>
      <c r="K70" s="146">
        <f ca="1">IFERROR(SUMIFS(PEDIDO!$T:$T,PEDIDO!$AA:$AA,RESUMEN!$C70,PEDIDO!$G:$G,RESUMEN!K$56),0)</f>
        <v>0</v>
      </c>
      <c r="L70" s="146">
        <f ca="1">IFERROR(SUMIFS(PEDIDO!$T:$T,PEDIDO!$AA:$AA,RESUMEN!$C70,PEDIDO!$G:$G,RESUMEN!L$56),0)</f>
        <v>0</v>
      </c>
      <c r="M70" s="146">
        <f ca="1">IFERROR(SUMIFS(PEDIDO!$T:$T,PEDIDO!$AA:$AA,RESUMEN!$C70,PEDIDO!$G:$G,RESUMEN!M$56),0)</f>
        <v>0</v>
      </c>
      <c r="N70" s="146">
        <f ca="1">IFERROR(SUMIFS(PEDIDO!$T:$T,PEDIDO!$AA:$AA,RESUMEN!$C70,PEDIDO!$G:$G,RESUMEN!N$56),0)</f>
        <v>0</v>
      </c>
      <c r="O70" s="146">
        <f ca="1">IFERROR(SUMIFS(PEDIDO!$T:$T,PEDIDO!$AA:$AA,RESUMEN!$C70,PEDIDO!$G:$G,RESUMEN!O$56),0)</f>
        <v>0</v>
      </c>
      <c r="P70" s="146">
        <f ca="1">IFERROR(SUMIFS(PEDIDO!$T:$T,PEDIDO!$AA:$AA,RESUMEN!$C70,PEDIDO!$G:$G,RESUMEN!P$56),0)</f>
        <v>0</v>
      </c>
      <c r="Q70" s="146">
        <f ca="1">IFERROR(SUMIFS(PEDIDO!$T:$T,PEDIDO!$AA:$AA,RESUMEN!$C70,PEDIDO!$G:$G,RESUMEN!Q$56),0)</f>
        <v>0</v>
      </c>
      <c r="R70" s="146">
        <f ca="1">IFERROR(SUMIFS(PEDIDO!$T:$T,PEDIDO!$AA:$AA,RESUMEN!$C70,PEDIDO!$G:$G,RESUMEN!R$56),0)</f>
        <v>0</v>
      </c>
      <c r="S70" s="146">
        <f ca="1">IFERROR(SUMIFS(PEDIDO!$T:$T,PEDIDO!$AA:$AA,RESUMEN!$C70,PEDIDO!$G:$G,RESUMEN!S$56),0)</f>
        <v>0</v>
      </c>
      <c r="T70" s="146">
        <f ca="1">IFERROR(SUMIFS(PEDIDO!$T:$T,PEDIDO!$AA:$AA,RESUMEN!$C70,PEDIDO!$G:$G,RESUMEN!T$56),0)</f>
        <v>0</v>
      </c>
      <c r="U70" s="146">
        <f ca="1">IFERROR(SUMIFS(PEDIDO!$T:$T,PEDIDO!$AA:$AA,RESUMEN!$C70,PEDIDO!$G:$G,RESUMEN!U$56),0)</f>
        <v>0</v>
      </c>
      <c r="V70" s="146">
        <f ca="1">IFERROR(SUMIFS(PEDIDO!$T:$T,PEDIDO!$AA:$AA,RESUMEN!$C70,PEDIDO!$G:$G,RESUMEN!V$56),0)</f>
        <v>0</v>
      </c>
      <c r="W70" s="146">
        <f ca="1">IFERROR(SUMIFS(PEDIDO!$T:$T,PEDIDO!$AA:$AA,RESUMEN!$C70,PEDIDO!$G:$G,RESUMEN!W$56),0)</f>
        <v>0</v>
      </c>
      <c r="X70" s="146">
        <f ca="1">IFERROR(SUMIFS(PEDIDO!$T:$T,PEDIDO!$AA:$AA,RESUMEN!$C70,PEDIDO!$G:$G,RESUMEN!X$56),0)</f>
        <v>0</v>
      </c>
      <c r="Y70" s="146">
        <f ca="1">IFERROR(SUMIFS(PEDIDO!$T:$T,PEDIDO!$AA:$AA,RESUMEN!$C70,PEDIDO!$G:$G,RESUMEN!Y$56),0)</f>
        <v>0</v>
      </c>
      <c r="Z70" s="146">
        <f ca="1">IFERROR(SUMIFS(PEDIDO!$T:$T,PEDIDO!$AA:$AA,RESUMEN!$C70,PEDIDO!$G:$G,RESUMEN!Z$56),0)</f>
        <v>0</v>
      </c>
      <c r="AA70" s="146">
        <f ca="1">IFERROR(SUMIFS(PEDIDO!$T:$T,PEDIDO!$AA:$AA,RESUMEN!$C70,PEDIDO!$G:$G,RESUMEN!AA$56),0)</f>
        <v>0</v>
      </c>
      <c r="AB70" s="146">
        <f ca="1">IFERROR(SUMIFS(PEDIDO!$T:$T,PEDIDO!$AA:$AA,RESUMEN!$C70,PEDIDO!$G:$G,RESUMEN!AB$56),0)</f>
        <v>0</v>
      </c>
      <c r="AC70" s="146">
        <f ca="1">IFERROR(SUMIFS(PEDIDO!$T:$T,PEDIDO!$AA:$AA,RESUMEN!$C70,PEDIDO!$G:$G,RESUMEN!AC$56),0)</f>
        <v>0</v>
      </c>
      <c r="AD70" s="146">
        <f ca="1">IFERROR(SUMIFS(PEDIDO!$T:$T,PEDIDO!$AA:$AA,RESUMEN!$C70,PEDIDO!$G:$G,RESUMEN!AD$56),0)</f>
        <v>0</v>
      </c>
      <c r="AE70" s="146">
        <f ca="1">IFERROR(SUMIFS(PEDIDO!$T:$T,PEDIDO!$AA:$AA,RESUMEN!$C70,PEDIDO!$G:$G,RESUMEN!AE$56),0)</f>
        <v>0</v>
      </c>
      <c r="AF70" s="146">
        <f ca="1">IFERROR(SUMIFS(PEDIDO!$T:$T,PEDIDO!$AA:$AA,RESUMEN!$C70,PEDIDO!$G:$G,RESUMEN!AF$56),0)</f>
        <v>0</v>
      </c>
      <c r="AG70" s="146">
        <f ca="1">IFERROR(SUMIFS(PEDIDO!$T:$T,PEDIDO!$AA:$AA,RESUMEN!$C70,PEDIDO!$G:$G,RESUMEN!AG$56),0)</f>
        <v>0</v>
      </c>
      <c r="AH70" s="146">
        <f ca="1">IFERROR(SUMIFS(PEDIDO!$T:$T,PEDIDO!$AA:$AA,RESUMEN!$C70,PEDIDO!$G:$G,RESUMEN!AH$56),0)</f>
        <v>0</v>
      </c>
      <c r="AI70" s="146">
        <f ca="1">IFERROR(SUMIFS(PEDIDO!$T:$T,PEDIDO!$AA:$AA,RESUMEN!$C70,PEDIDO!$G:$G,RESUMEN!AI$56),0)</f>
        <v>0</v>
      </c>
      <c r="AJ70" s="146">
        <f ca="1">IFERROR(SUMIFS(PEDIDO!$T:$T,PEDIDO!$AA:$AA,RESUMEN!$C70,PEDIDO!$G:$G,RESUMEN!AJ$56),0)</f>
        <v>0</v>
      </c>
      <c r="AK70" s="31"/>
      <c r="AL70" s="31"/>
      <c r="AM70" s="31"/>
      <c r="AN70" s="31"/>
      <c r="AO70" s="31"/>
      <c r="AP70" s="31"/>
      <c r="AQ70" s="31"/>
      <c r="AR70" s="31"/>
    </row>
    <row r="71" spans="2:44" x14ac:dyDescent="0.25">
      <c r="B71" s="143">
        <f t="shared" si="14"/>
        <v>15</v>
      </c>
      <c r="C71" s="202" t="str">
        <f t="shared" si="14"/>
        <v xml:space="preserve">- </v>
      </c>
      <c r="D71" s="144" t="str">
        <f t="shared" si="14"/>
        <v/>
      </c>
      <c r="E71" s="145"/>
      <c r="F71" s="146">
        <f ca="1">IFERROR(SUMIFS(PEDIDO!$T:$T,PEDIDO!$AA:$AA,RESUMEN!$C71,PEDIDO!$G:$G,RESUMEN!F$56),0)</f>
        <v>0</v>
      </c>
      <c r="G71" s="146">
        <f ca="1">IFERROR(SUMIFS(PEDIDO!$T:$T,PEDIDO!$AA:$AA,RESUMEN!$C71,PEDIDO!$G:$G,RESUMEN!G$56),0)</f>
        <v>0</v>
      </c>
      <c r="H71" s="146">
        <f ca="1">IFERROR(SUMIFS(PEDIDO!$T:$T,PEDIDO!$AA:$AA,RESUMEN!$C71,PEDIDO!$G:$G,RESUMEN!H$56),0)</f>
        <v>0</v>
      </c>
      <c r="I71" s="146">
        <f ca="1">IFERROR(SUMIFS(PEDIDO!$T:$T,PEDIDO!$AA:$AA,RESUMEN!$C71,PEDIDO!$G:$G,RESUMEN!I$56),0)</f>
        <v>0</v>
      </c>
      <c r="J71" s="146">
        <f ca="1">IFERROR(SUMIFS(PEDIDO!$T:$T,PEDIDO!$AA:$AA,RESUMEN!$C71,PEDIDO!$G:$G,RESUMEN!J$56),0)</f>
        <v>0</v>
      </c>
      <c r="K71" s="146">
        <f ca="1">IFERROR(SUMIFS(PEDIDO!$T:$T,PEDIDO!$AA:$AA,RESUMEN!$C71,PEDIDO!$G:$G,RESUMEN!K$56),0)</f>
        <v>0</v>
      </c>
      <c r="L71" s="146">
        <f ca="1">IFERROR(SUMIFS(PEDIDO!$T:$T,PEDIDO!$AA:$AA,RESUMEN!$C71,PEDIDO!$G:$G,RESUMEN!L$56),0)</f>
        <v>0</v>
      </c>
      <c r="M71" s="146">
        <f ca="1">IFERROR(SUMIFS(PEDIDO!$T:$T,PEDIDO!$AA:$AA,RESUMEN!$C71,PEDIDO!$G:$G,RESUMEN!M$56),0)</f>
        <v>0</v>
      </c>
      <c r="N71" s="146">
        <f ca="1">IFERROR(SUMIFS(PEDIDO!$T:$T,PEDIDO!$AA:$AA,RESUMEN!$C71,PEDIDO!$G:$G,RESUMEN!N$56),0)</f>
        <v>0</v>
      </c>
      <c r="O71" s="146">
        <f ca="1">IFERROR(SUMIFS(PEDIDO!$T:$T,PEDIDO!$AA:$AA,RESUMEN!$C71,PEDIDO!$G:$G,RESUMEN!O$56),0)</f>
        <v>0</v>
      </c>
      <c r="P71" s="146">
        <f ca="1">IFERROR(SUMIFS(PEDIDO!$T:$T,PEDIDO!$AA:$AA,RESUMEN!$C71,PEDIDO!$G:$G,RESUMEN!P$56),0)</f>
        <v>0</v>
      </c>
      <c r="Q71" s="146">
        <f ca="1">IFERROR(SUMIFS(PEDIDO!$T:$T,PEDIDO!$AA:$AA,RESUMEN!$C71,PEDIDO!$G:$G,RESUMEN!Q$56),0)</f>
        <v>0</v>
      </c>
      <c r="R71" s="146">
        <f ca="1">IFERROR(SUMIFS(PEDIDO!$T:$T,PEDIDO!$AA:$AA,RESUMEN!$C71,PEDIDO!$G:$G,RESUMEN!R$56),0)</f>
        <v>0</v>
      </c>
      <c r="S71" s="146">
        <f ca="1">IFERROR(SUMIFS(PEDIDO!$T:$T,PEDIDO!$AA:$AA,RESUMEN!$C71,PEDIDO!$G:$G,RESUMEN!S$56),0)</f>
        <v>0</v>
      </c>
      <c r="T71" s="146">
        <f ca="1">IFERROR(SUMIFS(PEDIDO!$T:$T,PEDIDO!$AA:$AA,RESUMEN!$C71,PEDIDO!$G:$G,RESUMEN!T$56),0)</f>
        <v>0</v>
      </c>
      <c r="U71" s="146">
        <f ca="1">IFERROR(SUMIFS(PEDIDO!$T:$T,PEDIDO!$AA:$AA,RESUMEN!$C71,PEDIDO!$G:$G,RESUMEN!U$56),0)</f>
        <v>0</v>
      </c>
      <c r="V71" s="146">
        <f ca="1">IFERROR(SUMIFS(PEDIDO!$T:$T,PEDIDO!$AA:$AA,RESUMEN!$C71,PEDIDO!$G:$G,RESUMEN!V$56),0)</f>
        <v>0</v>
      </c>
      <c r="W71" s="146">
        <f ca="1">IFERROR(SUMIFS(PEDIDO!$T:$T,PEDIDO!$AA:$AA,RESUMEN!$C71,PEDIDO!$G:$G,RESUMEN!W$56),0)</f>
        <v>0</v>
      </c>
      <c r="X71" s="146">
        <f ca="1">IFERROR(SUMIFS(PEDIDO!$T:$T,PEDIDO!$AA:$AA,RESUMEN!$C71,PEDIDO!$G:$G,RESUMEN!X$56),0)</f>
        <v>0</v>
      </c>
      <c r="Y71" s="146">
        <f ca="1">IFERROR(SUMIFS(PEDIDO!$T:$T,PEDIDO!$AA:$AA,RESUMEN!$C71,PEDIDO!$G:$G,RESUMEN!Y$56),0)</f>
        <v>0</v>
      </c>
      <c r="Z71" s="146">
        <f ca="1">IFERROR(SUMIFS(PEDIDO!$T:$T,PEDIDO!$AA:$AA,RESUMEN!$C71,PEDIDO!$G:$G,RESUMEN!Z$56),0)</f>
        <v>0</v>
      </c>
      <c r="AA71" s="146">
        <f ca="1">IFERROR(SUMIFS(PEDIDO!$T:$T,PEDIDO!$AA:$AA,RESUMEN!$C71,PEDIDO!$G:$G,RESUMEN!AA$56),0)</f>
        <v>0</v>
      </c>
      <c r="AB71" s="146">
        <f ca="1">IFERROR(SUMIFS(PEDIDO!$T:$T,PEDIDO!$AA:$AA,RESUMEN!$C71,PEDIDO!$G:$G,RESUMEN!AB$56),0)</f>
        <v>0</v>
      </c>
      <c r="AC71" s="146">
        <f ca="1">IFERROR(SUMIFS(PEDIDO!$T:$T,PEDIDO!$AA:$AA,RESUMEN!$C71,PEDIDO!$G:$G,RESUMEN!AC$56),0)</f>
        <v>0</v>
      </c>
      <c r="AD71" s="146">
        <f ca="1">IFERROR(SUMIFS(PEDIDO!$T:$T,PEDIDO!$AA:$AA,RESUMEN!$C71,PEDIDO!$G:$G,RESUMEN!AD$56),0)</f>
        <v>0</v>
      </c>
      <c r="AE71" s="146">
        <f ca="1">IFERROR(SUMIFS(PEDIDO!$T:$T,PEDIDO!$AA:$AA,RESUMEN!$C71,PEDIDO!$G:$G,RESUMEN!AE$56),0)</f>
        <v>0</v>
      </c>
      <c r="AF71" s="146">
        <f ca="1">IFERROR(SUMIFS(PEDIDO!$T:$T,PEDIDO!$AA:$AA,RESUMEN!$C71,PEDIDO!$G:$G,RESUMEN!AF$56),0)</f>
        <v>0</v>
      </c>
      <c r="AG71" s="146">
        <f ca="1">IFERROR(SUMIFS(PEDIDO!$T:$T,PEDIDO!$AA:$AA,RESUMEN!$C71,PEDIDO!$G:$G,RESUMEN!AG$56),0)</f>
        <v>0</v>
      </c>
      <c r="AH71" s="146">
        <f ca="1">IFERROR(SUMIFS(PEDIDO!$T:$T,PEDIDO!$AA:$AA,RESUMEN!$C71,PEDIDO!$G:$G,RESUMEN!AH$56),0)</f>
        <v>0</v>
      </c>
      <c r="AI71" s="146">
        <f ca="1">IFERROR(SUMIFS(PEDIDO!$T:$T,PEDIDO!$AA:$AA,RESUMEN!$C71,PEDIDO!$G:$G,RESUMEN!AI$56),0)</f>
        <v>0</v>
      </c>
      <c r="AJ71" s="146">
        <f ca="1">IFERROR(SUMIFS(PEDIDO!$T:$T,PEDIDO!$AA:$AA,RESUMEN!$C71,PEDIDO!$G:$G,RESUMEN!AJ$56),0)</f>
        <v>0</v>
      </c>
      <c r="AK71" s="31"/>
      <c r="AL71" s="31"/>
      <c r="AM71" s="31"/>
      <c r="AN71" s="31"/>
      <c r="AO71" s="31"/>
      <c r="AP71" s="31"/>
      <c r="AQ71" s="31"/>
      <c r="AR71" s="31"/>
    </row>
    <row r="72" spans="2:44" x14ac:dyDescent="0.25">
      <c r="B72" s="143">
        <f t="shared" si="14"/>
        <v>16</v>
      </c>
      <c r="C72" s="202" t="str">
        <f t="shared" si="14"/>
        <v xml:space="preserve">- </v>
      </c>
      <c r="D72" s="144" t="str">
        <f t="shared" si="14"/>
        <v/>
      </c>
      <c r="E72" s="145"/>
      <c r="F72" s="146">
        <f ca="1">IFERROR(SUMIFS(PEDIDO!$T:$T,PEDIDO!$AA:$AA,RESUMEN!$C72,PEDIDO!$G:$G,RESUMEN!F$56),0)</f>
        <v>0</v>
      </c>
      <c r="G72" s="146">
        <f ca="1">IFERROR(SUMIFS(PEDIDO!$T:$T,PEDIDO!$AA:$AA,RESUMEN!$C72,PEDIDO!$G:$G,RESUMEN!G$56),0)</f>
        <v>0</v>
      </c>
      <c r="H72" s="146">
        <f ca="1">IFERROR(SUMIFS(PEDIDO!$T:$T,PEDIDO!$AA:$AA,RESUMEN!$C72,PEDIDO!$G:$G,RESUMEN!H$56),0)</f>
        <v>0</v>
      </c>
      <c r="I72" s="146">
        <f ca="1">IFERROR(SUMIFS(PEDIDO!$T:$T,PEDIDO!$AA:$AA,RESUMEN!$C72,PEDIDO!$G:$G,RESUMEN!I$56),0)</f>
        <v>0</v>
      </c>
      <c r="J72" s="146">
        <f ca="1">IFERROR(SUMIFS(PEDIDO!$T:$T,PEDIDO!$AA:$AA,RESUMEN!$C72,PEDIDO!$G:$G,RESUMEN!J$56),0)</f>
        <v>0</v>
      </c>
      <c r="K72" s="146">
        <f ca="1">IFERROR(SUMIFS(PEDIDO!$T:$T,PEDIDO!$AA:$AA,RESUMEN!$C72,PEDIDO!$G:$G,RESUMEN!K$56),0)</f>
        <v>0</v>
      </c>
      <c r="L72" s="146">
        <f ca="1">IFERROR(SUMIFS(PEDIDO!$T:$T,PEDIDO!$AA:$AA,RESUMEN!$C72,PEDIDO!$G:$G,RESUMEN!L$56),0)</f>
        <v>0</v>
      </c>
      <c r="M72" s="146">
        <f ca="1">IFERROR(SUMIFS(PEDIDO!$T:$T,PEDIDO!$AA:$AA,RESUMEN!$C72,PEDIDO!$G:$G,RESUMEN!M$56),0)</f>
        <v>0</v>
      </c>
      <c r="N72" s="146">
        <f ca="1">IFERROR(SUMIFS(PEDIDO!$T:$T,PEDIDO!$AA:$AA,RESUMEN!$C72,PEDIDO!$G:$G,RESUMEN!N$56),0)</f>
        <v>0</v>
      </c>
      <c r="O72" s="146">
        <f ca="1">IFERROR(SUMIFS(PEDIDO!$T:$T,PEDIDO!$AA:$AA,RESUMEN!$C72,PEDIDO!$G:$G,RESUMEN!O$56),0)</f>
        <v>0</v>
      </c>
      <c r="P72" s="146">
        <f ca="1">IFERROR(SUMIFS(PEDIDO!$T:$T,PEDIDO!$AA:$AA,RESUMEN!$C72,PEDIDO!$G:$G,RESUMEN!P$56),0)</f>
        <v>0</v>
      </c>
      <c r="Q72" s="146">
        <f ca="1">IFERROR(SUMIFS(PEDIDO!$T:$T,PEDIDO!$AA:$AA,RESUMEN!$C72,PEDIDO!$G:$G,RESUMEN!Q$56),0)</f>
        <v>0</v>
      </c>
      <c r="R72" s="146">
        <f ca="1">IFERROR(SUMIFS(PEDIDO!$T:$T,PEDIDO!$AA:$AA,RESUMEN!$C72,PEDIDO!$G:$G,RESUMEN!R$56),0)</f>
        <v>0</v>
      </c>
      <c r="S72" s="146">
        <f ca="1">IFERROR(SUMIFS(PEDIDO!$T:$T,PEDIDO!$AA:$AA,RESUMEN!$C72,PEDIDO!$G:$G,RESUMEN!S$56),0)</f>
        <v>0</v>
      </c>
      <c r="T72" s="146">
        <f ca="1">IFERROR(SUMIFS(PEDIDO!$T:$T,PEDIDO!$AA:$AA,RESUMEN!$C72,PEDIDO!$G:$G,RESUMEN!T$56),0)</f>
        <v>0</v>
      </c>
      <c r="U72" s="146">
        <f ca="1">IFERROR(SUMIFS(PEDIDO!$T:$T,PEDIDO!$AA:$AA,RESUMEN!$C72,PEDIDO!$G:$G,RESUMEN!U$56),0)</f>
        <v>0</v>
      </c>
      <c r="V72" s="146">
        <f ca="1">IFERROR(SUMIFS(PEDIDO!$T:$T,PEDIDO!$AA:$AA,RESUMEN!$C72,PEDIDO!$G:$G,RESUMEN!V$56),0)</f>
        <v>0</v>
      </c>
      <c r="W72" s="146">
        <f ca="1">IFERROR(SUMIFS(PEDIDO!$T:$T,PEDIDO!$AA:$AA,RESUMEN!$C72,PEDIDO!$G:$G,RESUMEN!W$56),0)</f>
        <v>0</v>
      </c>
      <c r="X72" s="146">
        <f ca="1">IFERROR(SUMIFS(PEDIDO!$T:$T,PEDIDO!$AA:$AA,RESUMEN!$C72,PEDIDO!$G:$G,RESUMEN!X$56),0)</f>
        <v>0</v>
      </c>
      <c r="Y72" s="146">
        <f ca="1">IFERROR(SUMIFS(PEDIDO!$T:$T,PEDIDO!$AA:$AA,RESUMEN!$C72,PEDIDO!$G:$G,RESUMEN!Y$56),0)</f>
        <v>0</v>
      </c>
      <c r="Z72" s="146">
        <f ca="1">IFERROR(SUMIFS(PEDIDO!$T:$T,PEDIDO!$AA:$AA,RESUMEN!$C72,PEDIDO!$G:$G,RESUMEN!Z$56),0)</f>
        <v>0</v>
      </c>
      <c r="AA72" s="146">
        <f ca="1">IFERROR(SUMIFS(PEDIDO!$T:$T,PEDIDO!$AA:$AA,RESUMEN!$C72,PEDIDO!$G:$G,RESUMEN!AA$56),0)</f>
        <v>0</v>
      </c>
      <c r="AB72" s="146">
        <f ca="1">IFERROR(SUMIFS(PEDIDO!$T:$T,PEDIDO!$AA:$AA,RESUMEN!$C72,PEDIDO!$G:$G,RESUMEN!AB$56),0)</f>
        <v>0</v>
      </c>
      <c r="AC72" s="146">
        <f ca="1">IFERROR(SUMIFS(PEDIDO!$T:$T,PEDIDO!$AA:$AA,RESUMEN!$C72,PEDIDO!$G:$G,RESUMEN!AC$56),0)</f>
        <v>0</v>
      </c>
      <c r="AD72" s="146">
        <f ca="1">IFERROR(SUMIFS(PEDIDO!$T:$T,PEDIDO!$AA:$AA,RESUMEN!$C72,PEDIDO!$G:$G,RESUMEN!AD$56),0)</f>
        <v>0</v>
      </c>
      <c r="AE72" s="146">
        <f ca="1">IFERROR(SUMIFS(PEDIDO!$T:$T,PEDIDO!$AA:$AA,RESUMEN!$C72,PEDIDO!$G:$G,RESUMEN!AE$56),0)</f>
        <v>0</v>
      </c>
      <c r="AF72" s="146">
        <f ca="1">IFERROR(SUMIFS(PEDIDO!$T:$T,PEDIDO!$AA:$AA,RESUMEN!$C72,PEDIDO!$G:$G,RESUMEN!AF$56),0)</f>
        <v>0</v>
      </c>
      <c r="AG72" s="146">
        <f ca="1">IFERROR(SUMIFS(PEDIDO!$T:$T,PEDIDO!$AA:$AA,RESUMEN!$C72,PEDIDO!$G:$G,RESUMEN!AG$56),0)</f>
        <v>0</v>
      </c>
      <c r="AH72" s="146">
        <f ca="1">IFERROR(SUMIFS(PEDIDO!$T:$T,PEDIDO!$AA:$AA,RESUMEN!$C72,PEDIDO!$G:$G,RESUMEN!AH$56),0)</f>
        <v>0</v>
      </c>
      <c r="AI72" s="146">
        <f ca="1">IFERROR(SUMIFS(PEDIDO!$T:$T,PEDIDO!$AA:$AA,RESUMEN!$C72,PEDIDO!$G:$G,RESUMEN!AI$56),0)</f>
        <v>0</v>
      </c>
      <c r="AJ72" s="146">
        <f ca="1">IFERROR(SUMIFS(PEDIDO!$T:$T,PEDIDO!$AA:$AA,RESUMEN!$C72,PEDIDO!$G:$G,RESUMEN!AJ$56),0)</f>
        <v>0</v>
      </c>
      <c r="AK72" s="31"/>
      <c r="AL72" s="31"/>
      <c r="AM72" s="31"/>
      <c r="AN72" s="31"/>
      <c r="AO72" s="31"/>
      <c r="AP72" s="31"/>
      <c r="AQ72" s="31"/>
      <c r="AR72" s="31"/>
    </row>
    <row r="73" spans="2:44" x14ac:dyDescent="0.25">
      <c r="B73" s="143">
        <f t="shared" si="14"/>
        <v>17</v>
      </c>
      <c r="C73" s="202" t="str">
        <f t="shared" si="14"/>
        <v xml:space="preserve">- </v>
      </c>
      <c r="D73" s="144" t="str">
        <f t="shared" si="14"/>
        <v/>
      </c>
      <c r="E73" s="145"/>
      <c r="F73" s="146">
        <f ca="1">IFERROR(SUMIFS(PEDIDO!$T:$T,PEDIDO!$AA:$AA,RESUMEN!$C73,PEDIDO!$G:$G,RESUMEN!F$56),0)</f>
        <v>0</v>
      </c>
      <c r="G73" s="146">
        <f ca="1">IFERROR(SUMIFS(PEDIDO!$T:$T,PEDIDO!$AA:$AA,RESUMEN!$C73,PEDIDO!$G:$G,RESUMEN!G$56),0)</f>
        <v>0</v>
      </c>
      <c r="H73" s="146">
        <f ca="1">IFERROR(SUMIFS(PEDIDO!$T:$T,PEDIDO!$AA:$AA,RESUMEN!$C73,PEDIDO!$G:$G,RESUMEN!H$56),0)</f>
        <v>0</v>
      </c>
      <c r="I73" s="146">
        <f ca="1">IFERROR(SUMIFS(PEDIDO!$T:$T,PEDIDO!$AA:$AA,RESUMEN!$C73,PEDIDO!$G:$G,RESUMEN!I$56),0)</f>
        <v>0</v>
      </c>
      <c r="J73" s="146">
        <f ca="1">IFERROR(SUMIFS(PEDIDO!$T:$T,PEDIDO!$AA:$AA,RESUMEN!$C73,PEDIDO!$G:$G,RESUMEN!J$56),0)</f>
        <v>0</v>
      </c>
      <c r="K73" s="146">
        <f ca="1">IFERROR(SUMIFS(PEDIDO!$T:$T,PEDIDO!$AA:$AA,RESUMEN!$C73,PEDIDO!$G:$G,RESUMEN!K$56),0)</f>
        <v>0</v>
      </c>
      <c r="L73" s="146">
        <f ca="1">IFERROR(SUMIFS(PEDIDO!$T:$T,PEDIDO!$AA:$AA,RESUMEN!$C73,PEDIDO!$G:$G,RESUMEN!L$56),0)</f>
        <v>0</v>
      </c>
      <c r="M73" s="146">
        <f ca="1">IFERROR(SUMIFS(PEDIDO!$T:$T,PEDIDO!$AA:$AA,RESUMEN!$C73,PEDIDO!$G:$G,RESUMEN!M$56),0)</f>
        <v>0</v>
      </c>
      <c r="N73" s="146">
        <f ca="1">IFERROR(SUMIFS(PEDIDO!$T:$T,PEDIDO!$AA:$AA,RESUMEN!$C73,PEDIDO!$G:$G,RESUMEN!N$56),0)</f>
        <v>0</v>
      </c>
      <c r="O73" s="146">
        <f ca="1">IFERROR(SUMIFS(PEDIDO!$T:$T,PEDIDO!$AA:$AA,RESUMEN!$C73,PEDIDO!$G:$G,RESUMEN!O$56),0)</f>
        <v>0</v>
      </c>
      <c r="P73" s="146">
        <f ca="1">IFERROR(SUMIFS(PEDIDO!$T:$T,PEDIDO!$AA:$AA,RESUMEN!$C73,PEDIDO!$G:$G,RESUMEN!P$56),0)</f>
        <v>0</v>
      </c>
      <c r="Q73" s="146">
        <f ca="1">IFERROR(SUMIFS(PEDIDO!$T:$T,PEDIDO!$AA:$AA,RESUMEN!$C73,PEDIDO!$G:$G,RESUMEN!Q$56),0)</f>
        <v>0</v>
      </c>
      <c r="R73" s="146">
        <f ca="1">IFERROR(SUMIFS(PEDIDO!$T:$T,PEDIDO!$AA:$AA,RESUMEN!$C73,PEDIDO!$G:$G,RESUMEN!R$56),0)</f>
        <v>0</v>
      </c>
      <c r="S73" s="146">
        <f ca="1">IFERROR(SUMIFS(PEDIDO!$T:$T,PEDIDO!$AA:$AA,RESUMEN!$C73,PEDIDO!$G:$G,RESUMEN!S$56),0)</f>
        <v>0</v>
      </c>
      <c r="T73" s="146">
        <f ca="1">IFERROR(SUMIFS(PEDIDO!$T:$T,PEDIDO!$AA:$AA,RESUMEN!$C73,PEDIDO!$G:$G,RESUMEN!T$56),0)</f>
        <v>0</v>
      </c>
      <c r="U73" s="146">
        <f ca="1">IFERROR(SUMIFS(PEDIDO!$T:$T,PEDIDO!$AA:$AA,RESUMEN!$C73,PEDIDO!$G:$G,RESUMEN!U$56),0)</f>
        <v>0</v>
      </c>
      <c r="V73" s="146">
        <f ca="1">IFERROR(SUMIFS(PEDIDO!$T:$T,PEDIDO!$AA:$AA,RESUMEN!$C73,PEDIDO!$G:$G,RESUMEN!V$56),0)</f>
        <v>0</v>
      </c>
      <c r="W73" s="146">
        <f ca="1">IFERROR(SUMIFS(PEDIDO!$T:$T,PEDIDO!$AA:$AA,RESUMEN!$C73,PEDIDO!$G:$G,RESUMEN!W$56),0)</f>
        <v>0</v>
      </c>
      <c r="X73" s="146">
        <f ca="1">IFERROR(SUMIFS(PEDIDO!$T:$T,PEDIDO!$AA:$AA,RESUMEN!$C73,PEDIDO!$G:$G,RESUMEN!X$56),0)</f>
        <v>0</v>
      </c>
      <c r="Y73" s="146">
        <f ca="1">IFERROR(SUMIFS(PEDIDO!$T:$T,PEDIDO!$AA:$AA,RESUMEN!$C73,PEDIDO!$G:$G,RESUMEN!Y$56),0)</f>
        <v>0</v>
      </c>
      <c r="Z73" s="146">
        <f ca="1">IFERROR(SUMIFS(PEDIDO!$T:$T,PEDIDO!$AA:$AA,RESUMEN!$C73,PEDIDO!$G:$G,RESUMEN!Z$56),0)</f>
        <v>0</v>
      </c>
      <c r="AA73" s="146">
        <f ca="1">IFERROR(SUMIFS(PEDIDO!$T:$T,PEDIDO!$AA:$AA,RESUMEN!$C73,PEDIDO!$G:$G,RESUMEN!AA$56),0)</f>
        <v>0</v>
      </c>
      <c r="AB73" s="146">
        <f ca="1">IFERROR(SUMIFS(PEDIDO!$T:$T,PEDIDO!$AA:$AA,RESUMEN!$C73,PEDIDO!$G:$G,RESUMEN!AB$56),0)</f>
        <v>0</v>
      </c>
      <c r="AC73" s="146">
        <f ca="1">IFERROR(SUMIFS(PEDIDO!$T:$T,PEDIDO!$AA:$AA,RESUMEN!$C73,PEDIDO!$G:$G,RESUMEN!AC$56),0)</f>
        <v>0</v>
      </c>
      <c r="AD73" s="146">
        <f ca="1">IFERROR(SUMIFS(PEDIDO!$T:$T,PEDIDO!$AA:$AA,RESUMEN!$C73,PEDIDO!$G:$G,RESUMEN!AD$56),0)</f>
        <v>0</v>
      </c>
      <c r="AE73" s="146">
        <f ca="1">IFERROR(SUMIFS(PEDIDO!$T:$T,PEDIDO!$AA:$AA,RESUMEN!$C73,PEDIDO!$G:$G,RESUMEN!AE$56),0)</f>
        <v>0</v>
      </c>
      <c r="AF73" s="146">
        <f ca="1">IFERROR(SUMIFS(PEDIDO!$T:$T,PEDIDO!$AA:$AA,RESUMEN!$C73,PEDIDO!$G:$G,RESUMEN!AF$56),0)</f>
        <v>0</v>
      </c>
      <c r="AG73" s="146">
        <f ca="1">IFERROR(SUMIFS(PEDIDO!$T:$T,PEDIDO!$AA:$AA,RESUMEN!$C73,PEDIDO!$G:$G,RESUMEN!AG$56),0)</f>
        <v>0</v>
      </c>
      <c r="AH73" s="146">
        <f ca="1">IFERROR(SUMIFS(PEDIDO!$T:$T,PEDIDO!$AA:$AA,RESUMEN!$C73,PEDIDO!$G:$G,RESUMEN!AH$56),0)</f>
        <v>0</v>
      </c>
      <c r="AI73" s="146">
        <f ca="1">IFERROR(SUMIFS(PEDIDO!$T:$T,PEDIDO!$AA:$AA,RESUMEN!$C73,PEDIDO!$G:$G,RESUMEN!AI$56),0)</f>
        <v>0</v>
      </c>
      <c r="AJ73" s="146">
        <f ca="1">IFERROR(SUMIFS(PEDIDO!$T:$T,PEDIDO!$AA:$AA,RESUMEN!$C73,PEDIDO!$G:$G,RESUMEN!AJ$56),0)</f>
        <v>0</v>
      </c>
      <c r="AK73" s="31"/>
      <c r="AL73" s="31"/>
      <c r="AM73" s="31"/>
      <c r="AN73" s="31"/>
      <c r="AO73" s="31"/>
      <c r="AP73" s="31"/>
      <c r="AQ73" s="31"/>
      <c r="AR73" s="31"/>
    </row>
    <row r="74" spans="2:44" x14ac:dyDescent="0.25">
      <c r="B74" s="143">
        <f t="shared" si="14"/>
        <v>18</v>
      </c>
      <c r="C74" s="202" t="str">
        <f t="shared" si="14"/>
        <v xml:space="preserve">- </v>
      </c>
      <c r="D74" s="144" t="str">
        <f t="shared" si="14"/>
        <v/>
      </c>
      <c r="E74" s="145"/>
      <c r="F74" s="146">
        <f ca="1">IFERROR(SUMIFS(PEDIDO!$T:$T,PEDIDO!$AA:$AA,RESUMEN!$C74,PEDIDO!$G:$G,RESUMEN!F$56),0)</f>
        <v>0</v>
      </c>
      <c r="G74" s="146">
        <f ca="1">IFERROR(SUMIFS(PEDIDO!$T:$T,PEDIDO!$AA:$AA,RESUMEN!$C74,PEDIDO!$G:$G,RESUMEN!G$56),0)</f>
        <v>0</v>
      </c>
      <c r="H74" s="146">
        <f ca="1">IFERROR(SUMIFS(PEDIDO!$T:$T,PEDIDO!$AA:$AA,RESUMEN!$C74,PEDIDO!$G:$G,RESUMEN!H$56),0)</f>
        <v>0</v>
      </c>
      <c r="I74" s="146">
        <f ca="1">IFERROR(SUMIFS(PEDIDO!$T:$T,PEDIDO!$AA:$AA,RESUMEN!$C74,PEDIDO!$G:$G,RESUMEN!I$56),0)</f>
        <v>0</v>
      </c>
      <c r="J74" s="146">
        <f ca="1">IFERROR(SUMIFS(PEDIDO!$T:$T,PEDIDO!$AA:$AA,RESUMEN!$C74,PEDIDO!$G:$G,RESUMEN!J$56),0)</f>
        <v>0</v>
      </c>
      <c r="K74" s="146">
        <f ca="1">IFERROR(SUMIFS(PEDIDO!$T:$T,PEDIDO!$AA:$AA,RESUMEN!$C74,PEDIDO!$G:$G,RESUMEN!K$56),0)</f>
        <v>0</v>
      </c>
      <c r="L74" s="146">
        <f ca="1">IFERROR(SUMIFS(PEDIDO!$T:$T,PEDIDO!$AA:$AA,RESUMEN!$C74,PEDIDO!$G:$G,RESUMEN!L$56),0)</f>
        <v>0</v>
      </c>
      <c r="M74" s="146">
        <f ca="1">IFERROR(SUMIFS(PEDIDO!$T:$T,PEDIDO!$AA:$AA,RESUMEN!$C74,PEDIDO!$G:$G,RESUMEN!M$56),0)</f>
        <v>0</v>
      </c>
      <c r="N74" s="146">
        <f ca="1">IFERROR(SUMIFS(PEDIDO!$T:$T,PEDIDO!$AA:$AA,RESUMEN!$C74,PEDIDO!$G:$G,RESUMEN!N$56),0)</f>
        <v>0</v>
      </c>
      <c r="O74" s="146">
        <f ca="1">IFERROR(SUMIFS(PEDIDO!$T:$T,PEDIDO!$AA:$AA,RESUMEN!$C74,PEDIDO!$G:$G,RESUMEN!O$56),0)</f>
        <v>0</v>
      </c>
      <c r="P74" s="146">
        <f ca="1">IFERROR(SUMIFS(PEDIDO!$T:$T,PEDIDO!$AA:$AA,RESUMEN!$C74,PEDIDO!$G:$G,RESUMEN!P$56),0)</f>
        <v>0</v>
      </c>
      <c r="Q74" s="146">
        <f ca="1">IFERROR(SUMIFS(PEDIDO!$T:$T,PEDIDO!$AA:$AA,RESUMEN!$C74,PEDIDO!$G:$G,RESUMEN!Q$56),0)</f>
        <v>0</v>
      </c>
      <c r="R74" s="146">
        <f ca="1">IFERROR(SUMIFS(PEDIDO!$T:$T,PEDIDO!$AA:$AA,RESUMEN!$C74,PEDIDO!$G:$G,RESUMEN!R$56),0)</f>
        <v>0</v>
      </c>
      <c r="S74" s="146">
        <f ca="1">IFERROR(SUMIFS(PEDIDO!$T:$T,PEDIDO!$AA:$AA,RESUMEN!$C74,PEDIDO!$G:$G,RESUMEN!S$56),0)</f>
        <v>0</v>
      </c>
      <c r="T74" s="146">
        <f ca="1">IFERROR(SUMIFS(PEDIDO!$T:$T,PEDIDO!$AA:$AA,RESUMEN!$C74,PEDIDO!$G:$G,RESUMEN!T$56),0)</f>
        <v>0</v>
      </c>
      <c r="U74" s="146">
        <f ca="1">IFERROR(SUMIFS(PEDIDO!$T:$T,PEDIDO!$AA:$AA,RESUMEN!$C74,PEDIDO!$G:$G,RESUMEN!U$56),0)</f>
        <v>0</v>
      </c>
      <c r="V74" s="146">
        <f ca="1">IFERROR(SUMIFS(PEDIDO!$T:$T,PEDIDO!$AA:$AA,RESUMEN!$C74,PEDIDO!$G:$G,RESUMEN!V$56),0)</f>
        <v>0</v>
      </c>
      <c r="W74" s="146">
        <f ca="1">IFERROR(SUMIFS(PEDIDO!$T:$T,PEDIDO!$AA:$AA,RESUMEN!$C74,PEDIDO!$G:$G,RESUMEN!W$56),0)</f>
        <v>0</v>
      </c>
      <c r="X74" s="146">
        <f ca="1">IFERROR(SUMIFS(PEDIDO!$T:$T,PEDIDO!$AA:$AA,RESUMEN!$C74,PEDIDO!$G:$G,RESUMEN!X$56),0)</f>
        <v>0</v>
      </c>
      <c r="Y74" s="146">
        <f ca="1">IFERROR(SUMIFS(PEDIDO!$T:$T,PEDIDO!$AA:$AA,RESUMEN!$C74,PEDIDO!$G:$G,RESUMEN!Y$56),0)</f>
        <v>0</v>
      </c>
      <c r="Z74" s="146">
        <f ca="1">IFERROR(SUMIFS(PEDIDO!$T:$T,PEDIDO!$AA:$AA,RESUMEN!$C74,PEDIDO!$G:$G,RESUMEN!Z$56),0)</f>
        <v>0</v>
      </c>
      <c r="AA74" s="146">
        <f ca="1">IFERROR(SUMIFS(PEDIDO!$T:$T,PEDIDO!$AA:$AA,RESUMEN!$C74,PEDIDO!$G:$G,RESUMEN!AA$56),0)</f>
        <v>0</v>
      </c>
      <c r="AB74" s="146">
        <f ca="1">IFERROR(SUMIFS(PEDIDO!$T:$T,PEDIDO!$AA:$AA,RESUMEN!$C74,PEDIDO!$G:$G,RESUMEN!AB$56),0)</f>
        <v>0</v>
      </c>
      <c r="AC74" s="146">
        <f ca="1">IFERROR(SUMIFS(PEDIDO!$T:$T,PEDIDO!$AA:$AA,RESUMEN!$C74,PEDIDO!$G:$G,RESUMEN!AC$56),0)</f>
        <v>0</v>
      </c>
      <c r="AD74" s="146">
        <f ca="1">IFERROR(SUMIFS(PEDIDO!$T:$T,PEDIDO!$AA:$AA,RESUMEN!$C74,PEDIDO!$G:$G,RESUMEN!AD$56),0)</f>
        <v>0</v>
      </c>
      <c r="AE74" s="146">
        <f ca="1">IFERROR(SUMIFS(PEDIDO!$T:$T,PEDIDO!$AA:$AA,RESUMEN!$C74,PEDIDO!$G:$G,RESUMEN!AE$56),0)</f>
        <v>0</v>
      </c>
      <c r="AF74" s="146">
        <f ca="1">IFERROR(SUMIFS(PEDIDO!$T:$T,PEDIDO!$AA:$AA,RESUMEN!$C74,PEDIDO!$G:$G,RESUMEN!AF$56),0)</f>
        <v>0</v>
      </c>
      <c r="AG74" s="146">
        <f ca="1">IFERROR(SUMIFS(PEDIDO!$T:$T,PEDIDO!$AA:$AA,RESUMEN!$C74,PEDIDO!$G:$G,RESUMEN!AG$56),0)</f>
        <v>0</v>
      </c>
      <c r="AH74" s="146">
        <f ca="1">IFERROR(SUMIFS(PEDIDO!$T:$T,PEDIDO!$AA:$AA,RESUMEN!$C74,PEDIDO!$G:$G,RESUMEN!AH$56),0)</f>
        <v>0</v>
      </c>
      <c r="AI74" s="146">
        <f ca="1">IFERROR(SUMIFS(PEDIDO!$T:$T,PEDIDO!$AA:$AA,RESUMEN!$C74,PEDIDO!$G:$G,RESUMEN!AI$56),0)</f>
        <v>0</v>
      </c>
      <c r="AJ74" s="146">
        <f ca="1">IFERROR(SUMIFS(PEDIDO!$T:$T,PEDIDO!$AA:$AA,RESUMEN!$C74,PEDIDO!$G:$G,RESUMEN!AJ$56),0)</f>
        <v>0</v>
      </c>
      <c r="AK74" s="31"/>
      <c r="AL74" s="31"/>
      <c r="AM74" s="31"/>
      <c r="AN74" s="31"/>
      <c r="AO74" s="31"/>
      <c r="AP74" s="31"/>
      <c r="AQ74" s="31"/>
      <c r="AR74" s="31"/>
    </row>
    <row r="75" spans="2:44" x14ac:dyDescent="0.25">
      <c r="B75" s="143">
        <f t="shared" si="14"/>
        <v>19</v>
      </c>
      <c r="C75" s="202" t="str">
        <f t="shared" si="14"/>
        <v xml:space="preserve">- </v>
      </c>
      <c r="D75" s="144" t="str">
        <f t="shared" si="14"/>
        <v/>
      </c>
      <c r="E75" s="145"/>
      <c r="F75" s="146">
        <f ca="1">IFERROR(SUMIFS(PEDIDO!$T:$T,PEDIDO!$AA:$AA,RESUMEN!$C75,PEDIDO!$G:$G,RESUMEN!F$56),0)</f>
        <v>0</v>
      </c>
      <c r="G75" s="146">
        <f ca="1">IFERROR(SUMIFS(PEDIDO!$T:$T,PEDIDO!$AA:$AA,RESUMEN!$C75,PEDIDO!$G:$G,RESUMEN!G$56),0)</f>
        <v>0</v>
      </c>
      <c r="H75" s="146">
        <f ca="1">IFERROR(SUMIFS(PEDIDO!$T:$T,PEDIDO!$AA:$AA,RESUMEN!$C75,PEDIDO!$G:$G,RESUMEN!H$56),0)</f>
        <v>0</v>
      </c>
      <c r="I75" s="146">
        <f ca="1">IFERROR(SUMIFS(PEDIDO!$T:$T,PEDIDO!$AA:$AA,RESUMEN!$C75,PEDIDO!$G:$G,RESUMEN!I$56),0)</f>
        <v>0</v>
      </c>
      <c r="J75" s="146">
        <f ca="1">IFERROR(SUMIFS(PEDIDO!$T:$T,PEDIDO!$AA:$AA,RESUMEN!$C75,PEDIDO!$G:$G,RESUMEN!J$56),0)</f>
        <v>0</v>
      </c>
      <c r="K75" s="146">
        <f ca="1">IFERROR(SUMIFS(PEDIDO!$T:$T,PEDIDO!$AA:$AA,RESUMEN!$C75,PEDIDO!$G:$G,RESUMEN!K$56),0)</f>
        <v>0</v>
      </c>
      <c r="L75" s="146">
        <f ca="1">IFERROR(SUMIFS(PEDIDO!$T:$T,PEDIDO!$AA:$AA,RESUMEN!$C75,PEDIDO!$G:$G,RESUMEN!L$56),0)</f>
        <v>0</v>
      </c>
      <c r="M75" s="146">
        <f ca="1">IFERROR(SUMIFS(PEDIDO!$T:$T,PEDIDO!$AA:$AA,RESUMEN!$C75,PEDIDO!$G:$G,RESUMEN!M$56),0)</f>
        <v>0</v>
      </c>
      <c r="N75" s="146">
        <f ca="1">IFERROR(SUMIFS(PEDIDO!$T:$T,PEDIDO!$AA:$AA,RESUMEN!$C75,PEDIDO!$G:$G,RESUMEN!N$56),0)</f>
        <v>0</v>
      </c>
      <c r="O75" s="146">
        <f ca="1">IFERROR(SUMIFS(PEDIDO!$T:$T,PEDIDO!$AA:$AA,RESUMEN!$C75,PEDIDO!$G:$G,RESUMEN!O$56),0)</f>
        <v>0</v>
      </c>
      <c r="P75" s="146">
        <f ca="1">IFERROR(SUMIFS(PEDIDO!$T:$T,PEDIDO!$AA:$AA,RESUMEN!$C75,PEDIDO!$G:$G,RESUMEN!P$56),0)</f>
        <v>0</v>
      </c>
      <c r="Q75" s="146">
        <f ca="1">IFERROR(SUMIFS(PEDIDO!$T:$T,PEDIDO!$AA:$AA,RESUMEN!$C75,PEDIDO!$G:$G,RESUMEN!Q$56),0)</f>
        <v>0</v>
      </c>
      <c r="R75" s="146">
        <f ca="1">IFERROR(SUMIFS(PEDIDO!$T:$T,PEDIDO!$AA:$AA,RESUMEN!$C75,PEDIDO!$G:$G,RESUMEN!R$56),0)</f>
        <v>0</v>
      </c>
      <c r="S75" s="146">
        <f ca="1">IFERROR(SUMIFS(PEDIDO!$T:$T,PEDIDO!$AA:$AA,RESUMEN!$C75,PEDIDO!$G:$G,RESUMEN!S$56),0)</f>
        <v>0</v>
      </c>
      <c r="T75" s="146">
        <f ca="1">IFERROR(SUMIFS(PEDIDO!$T:$T,PEDIDO!$AA:$AA,RESUMEN!$C75,PEDIDO!$G:$G,RESUMEN!T$56),0)</f>
        <v>0</v>
      </c>
      <c r="U75" s="146">
        <f ca="1">IFERROR(SUMIFS(PEDIDO!$T:$T,PEDIDO!$AA:$AA,RESUMEN!$C75,PEDIDO!$G:$G,RESUMEN!U$56),0)</f>
        <v>0</v>
      </c>
      <c r="V75" s="146">
        <f ca="1">IFERROR(SUMIFS(PEDIDO!$T:$T,PEDIDO!$AA:$AA,RESUMEN!$C75,PEDIDO!$G:$G,RESUMEN!V$56),0)</f>
        <v>0</v>
      </c>
      <c r="W75" s="146">
        <f ca="1">IFERROR(SUMIFS(PEDIDO!$T:$T,PEDIDO!$AA:$AA,RESUMEN!$C75,PEDIDO!$G:$G,RESUMEN!W$56),0)</f>
        <v>0</v>
      </c>
      <c r="X75" s="146">
        <f ca="1">IFERROR(SUMIFS(PEDIDO!$T:$T,PEDIDO!$AA:$AA,RESUMEN!$C75,PEDIDO!$G:$G,RESUMEN!X$56),0)</f>
        <v>0</v>
      </c>
      <c r="Y75" s="146">
        <f ca="1">IFERROR(SUMIFS(PEDIDO!$T:$T,PEDIDO!$AA:$AA,RESUMEN!$C75,PEDIDO!$G:$G,RESUMEN!Y$56),0)</f>
        <v>0</v>
      </c>
      <c r="Z75" s="146">
        <f ca="1">IFERROR(SUMIFS(PEDIDO!$T:$T,PEDIDO!$AA:$AA,RESUMEN!$C75,PEDIDO!$G:$G,RESUMEN!Z$56),0)</f>
        <v>0</v>
      </c>
      <c r="AA75" s="146">
        <f ca="1">IFERROR(SUMIFS(PEDIDO!$T:$T,PEDIDO!$AA:$AA,RESUMEN!$C75,PEDIDO!$G:$G,RESUMEN!AA$56),0)</f>
        <v>0</v>
      </c>
      <c r="AB75" s="146">
        <f ca="1">IFERROR(SUMIFS(PEDIDO!$T:$T,PEDIDO!$AA:$AA,RESUMEN!$C75,PEDIDO!$G:$G,RESUMEN!AB$56),0)</f>
        <v>0</v>
      </c>
      <c r="AC75" s="146">
        <f ca="1">IFERROR(SUMIFS(PEDIDO!$T:$T,PEDIDO!$AA:$AA,RESUMEN!$C75,PEDIDO!$G:$G,RESUMEN!AC$56),0)</f>
        <v>0</v>
      </c>
      <c r="AD75" s="146">
        <f ca="1">IFERROR(SUMIFS(PEDIDO!$T:$T,PEDIDO!$AA:$AA,RESUMEN!$C75,PEDIDO!$G:$G,RESUMEN!AD$56),0)</f>
        <v>0</v>
      </c>
      <c r="AE75" s="146">
        <f ca="1">IFERROR(SUMIFS(PEDIDO!$T:$T,PEDIDO!$AA:$AA,RESUMEN!$C75,PEDIDO!$G:$G,RESUMEN!AE$56),0)</f>
        <v>0</v>
      </c>
      <c r="AF75" s="146">
        <f ca="1">IFERROR(SUMIFS(PEDIDO!$T:$T,PEDIDO!$AA:$AA,RESUMEN!$C75,PEDIDO!$G:$G,RESUMEN!AF$56),0)</f>
        <v>0</v>
      </c>
      <c r="AG75" s="146">
        <f ca="1">IFERROR(SUMIFS(PEDIDO!$T:$T,PEDIDO!$AA:$AA,RESUMEN!$C75,PEDIDO!$G:$G,RESUMEN!AG$56),0)</f>
        <v>0</v>
      </c>
      <c r="AH75" s="146">
        <f ca="1">IFERROR(SUMIFS(PEDIDO!$T:$T,PEDIDO!$AA:$AA,RESUMEN!$C75,PEDIDO!$G:$G,RESUMEN!AH$56),0)</f>
        <v>0</v>
      </c>
      <c r="AI75" s="146">
        <f ca="1">IFERROR(SUMIFS(PEDIDO!$T:$T,PEDIDO!$AA:$AA,RESUMEN!$C75,PEDIDO!$G:$G,RESUMEN!AI$56),0)</f>
        <v>0</v>
      </c>
      <c r="AJ75" s="146">
        <f ca="1">IFERROR(SUMIFS(PEDIDO!$T:$T,PEDIDO!$AA:$AA,RESUMEN!$C75,PEDIDO!$G:$G,RESUMEN!AJ$56),0)</f>
        <v>0</v>
      </c>
      <c r="AK75" s="31"/>
      <c r="AL75" s="31"/>
      <c r="AM75" s="31"/>
      <c r="AN75" s="31"/>
      <c r="AO75" s="31"/>
      <c r="AP75" s="31"/>
      <c r="AQ75" s="31"/>
      <c r="AR75" s="31"/>
    </row>
    <row r="76" spans="2:44" x14ac:dyDescent="0.25">
      <c r="B76" s="239">
        <f t="shared" si="14"/>
        <v>20</v>
      </c>
      <c r="C76" s="202" t="str">
        <f t="shared" si="14"/>
        <v xml:space="preserve">- </v>
      </c>
      <c r="D76" s="144" t="str">
        <f t="shared" si="14"/>
        <v/>
      </c>
      <c r="E76" s="145"/>
      <c r="F76" s="146">
        <f ca="1">IFERROR(SUMIFS(PEDIDO!$T:$T,PEDIDO!$AA:$AA,RESUMEN!$C76,PEDIDO!$G:$G,RESUMEN!F$56),0)</f>
        <v>0</v>
      </c>
      <c r="G76" s="146">
        <f ca="1">IFERROR(SUMIFS(PEDIDO!$T:$T,PEDIDO!$AA:$AA,RESUMEN!$C76,PEDIDO!$G:$G,RESUMEN!G$56),0)</f>
        <v>0</v>
      </c>
      <c r="H76" s="146">
        <f ca="1">IFERROR(SUMIFS(PEDIDO!$T:$T,PEDIDO!$AA:$AA,RESUMEN!$C76,PEDIDO!$G:$G,RESUMEN!H$56),0)</f>
        <v>0</v>
      </c>
      <c r="I76" s="146">
        <f ca="1">IFERROR(SUMIFS(PEDIDO!$T:$T,PEDIDO!$AA:$AA,RESUMEN!$C76,PEDIDO!$G:$G,RESUMEN!I$56),0)</f>
        <v>0</v>
      </c>
      <c r="J76" s="146">
        <f ca="1">IFERROR(SUMIFS(PEDIDO!$T:$T,PEDIDO!$AA:$AA,RESUMEN!$C76,PEDIDO!$G:$G,RESUMEN!J$56),0)</f>
        <v>0</v>
      </c>
      <c r="K76" s="146">
        <f ca="1">IFERROR(SUMIFS(PEDIDO!$T:$T,PEDIDO!$AA:$AA,RESUMEN!$C76,PEDIDO!$G:$G,RESUMEN!K$56),0)</f>
        <v>0</v>
      </c>
      <c r="L76" s="146">
        <f ca="1">IFERROR(SUMIFS(PEDIDO!$T:$T,PEDIDO!$AA:$AA,RESUMEN!$C76,PEDIDO!$G:$G,RESUMEN!L$56),0)</f>
        <v>0</v>
      </c>
      <c r="M76" s="146">
        <f ca="1">IFERROR(SUMIFS(PEDIDO!$T:$T,PEDIDO!$AA:$AA,RESUMEN!$C76,PEDIDO!$G:$G,RESUMEN!M$56),0)</f>
        <v>0</v>
      </c>
      <c r="N76" s="146">
        <f ca="1">IFERROR(SUMIFS(PEDIDO!$T:$T,PEDIDO!$AA:$AA,RESUMEN!$C76,PEDIDO!$G:$G,RESUMEN!N$56),0)</f>
        <v>0</v>
      </c>
      <c r="O76" s="146">
        <f ca="1">IFERROR(SUMIFS(PEDIDO!$T:$T,PEDIDO!$AA:$AA,RESUMEN!$C76,PEDIDO!$G:$G,RESUMEN!O$56),0)</f>
        <v>0</v>
      </c>
      <c r="P76" s="146">
        <f ca="1">IFERROR(SUMIFS(PEDIDO!$T:$T,PEDIDO!$AA:$AA,RESUMEN!$C76,PEDIDO!$G:$G,RESUMEN!P$56),0)</f>
        <v>0</v>
      </c>
      <c r="Q76" s="146">
        <f ca="1">IFERROR(SUMIFS(PEDIDO!$T:$T,PEDIDO!$AA:$AA,RESUMEN!$C76,PEDIDO!$G:$G,RESUMEN!Q$56),0)</f>
        <v>0</v>
      </c>
      <c r="R76" s="146">
        <f ca="1">IFERROR(SUMIFS(PEDIDO!$T:$T,PEDIDO!$AA:$AA,RESUMEN!$C76,PEDIDO!$G:$G,RESUMEN!R$56),0)</f>
        <v>0</v>
      </c>
      <c r="S76" s="146">
        <f ca="1">IFERROR(SUMIFS(PEDIDO!$T:$T,PEDIDO!$AA:$AA,RESUMEN!$C76,PEDIDO!$G:$G,RESUMEN!S$56),0)</f>
        <v>0</v>
      </c>
      <c r="T76" s="146">
        <f ca="1">IFERROR(SUMIFS(PEDIDO!$T:$T,PEDIDO!$AA:$AA,RESUMEN!$C76,PEDIDO!$G:$G,RESUMEN!T$56),0)</f>
        <v>0</v>
      </c>
      <c r="U76" s="146">
        <f ca="1">IFERROR(SUMIFS(PEDIDO!$T:$T,PEDIDO!$AA:$AA,RESUMEN!$C76,PEDIDO!$G:$G,RESUMEN!U$56),0)</f>
        <v>0</v>
      </c>
      <c r="V76" s="146">
        <f ca="1">IFERROR(SUMIFS(PEDIDO!$T:$T,PEDIDO!$AA:$AA,RESUMEN!$C76,PEDIDO!$G:$G,RESUMEN!V$56),0)</f>
        <v>0</v>
      </c>
      <c r="W76" s="146">
        <f ca="1">IFERROR(SUMIFS(PEDIDO!$T:$T,PEDIDO!$AA:$AA,RESUMEN!$C76,PEDIDO!$G:$G,RESUMEN!W$56),0)</f>
        <v>0</v>
      </c>
      <c r="X76" s="146">
        <f ca="1">IFERROR(SUMIFS(PEDIDO!$T:$T,PEDIDO!$AA:$AA,RESUMEN!$C76,PEDIDO!$G:$G,RESUMEN!X$56),0)</f>
        <v>0</v>
      </c>
      <c r="Y76" s="146">
        <f ca="1">IFERROR(SUMIFS(PEDIDO!$T:$T,PEDIDO!$AA:$AA,RESUMEN!$C76,PEDIDO!$G:$G,RESUMEN!Y$56),0)</f>
        <v>0</v>
      </c>
      <c r="Z76" s="146">
        <f ca="1">IFERROR(SUMIFS(PEDIDO!$T:$T,PEDIDO!$AA:$AA,RESUMEN!$C76,PEDIDO!$G:$G,RESUMEN!Z$56),0)</f>
        <v>0</v>
      </c>
      <c r="AA76" s="146">
        <f ca="1">IFERROR(SUMIFS(PEDIDO!$T:$T,PEDIDO!$AA:$AA,RESUMEN!$C76,PEDIDO!$G:$G,RESUMEN!AA$56),0)</f>
        <v>0</v>
      </c>
      <c r="AB76" s="146">
        <f ca="1">IFERROR(SUMIFS(PEDIDO!$T:$T,PEDIDO!$AA:$AA,RESUMEN!$C76,PEDIDO!$G:$G,RESUMEN!AB$56),0)</f>
        <v>0</v>
      </c>
      <c r="AC76" s="146">
        <f ca="1">IFERROR(SUMIFS(PEDIDO!$T:$T,PEDIDO!$AA:$AA,RESUMEN!$C76,PEDIDO!$G:$G,RESUMEN!AC$56),0)</f>
        <v>0</v>
      </c>
      <c r="AD76" s="146">
        <f ca="1">IFERROR(SUMIFS(PEDIDO!$T:$T,PEDIDO!$AA:$AA,RESUMEN!$C76,PEDIDO!$G:$G,RESUMEN!AD$56),0)</f>
        <v>0</v>
      </c>
      <c r="AE76" s="146">
        <f ca="1">IFERROR(SUMIFS(PEDIDO!$T:$T,PEDIDO!$AA:$AA,RESUMEN!$C76,PEDIDO!$G:$G,RESUMEN!AE$56),0)</f>
        <v>0</v>
      </c>
      <c r="AF76" s="146">
        <f ca="1">IFERROR(SUMIFS(PEDIDO!$T:$T,PEDIDO!$AA:$AA,RESUMEN!$C76,PEDIDO!$G:$G,RESUMEN!AF$56),0)</f>
        <v>0</v>
      </c>
      <c r="AG76" s="146">
        <f ca="1">IFERROR(SUMIFS(PEDIDO!$T:$T,PEDIDO!$AA:$AA,RESUMEN!$C76,PEDIDO!$G:$G,RESUMEN!AG$56),0)</f>
        <v>0</v>
      </c>
      <c r="AH76" s="146">
        <f ca="1">IFERROR(SUMIFS(PEDIDO!$T:$T,PEDIDO!$AA:$AA,RESUMEN!$C76,PEDIDO!$G:$G,RESUMEN!AH$56),0)</f>
        <v>0</v>
      </c>
      <c r="AI76" s="146">
        <f ca="1">IFERROR(SUMIFS(PEDIDO!$T:$T,PEDIDO!$AA:$AA,RESUMEN!$C76,PEDIDO!$G:$G,RESUMEN!AI$56),0)</f>
        <v>0</v>
      </c>
      <c r="AJ76" s="146">
        <f ca="1">IFERROR(SUMIFS(PEDIDO!$T:$T,PEDIDO!$AA:$AA,RESUMEN!$C76,PEDIDO!$G:$G,RESUMEN!AJ$56),0)</f>
        <v>0</v>
      </c>
      <c r="AK76" s="31"/>
      <c r="AL76" s="31"/>
      <c r="AM76" s="31"/>
      <c r="AN76" s="31"/>
      <c r="AO76" s="31"/>
      <c r="AP76" s="31"/>
      <c r="AQ76" s="31"/>
      <c r="AR76" s="31"/>
    </row>
    <row r="77" spans="2:44" x14ac:dyDescent="0.25">
      <c r="B77" s="400" t="s">
        <v>3</v>
      </c>
      <c r="C77" s="401"/>
      <c r="D77" s="402"/>
      <c r="E77" s="4"/>
      <c r="F77" s="8">
        <f ca="1">SUM(F57:F76)</f>
        <v>0</v>
      </c>
      <c r="G77" s="8">
        <f t="shared" ref="G77:AJ77" ca="1" si="15">SUM(G57:G76)</f>
        <v>0</v>
      </c>
      <c r="H77" s="8">
        <f t="shared" ca="1" si="15"/>
        <v>0</v>
      </c>
      <c r="I77" s="8">
        <f t="shared" ca="1" si="15"/>
        <v>0</v>
      </c>
      <c r="J77" s="225">
        <f t="shared" ca="1" si="15"/>
        <v>0</v>
      </c>
      <c r="K77" s="8">
        <f t="shared" ca="1" si="15"/>
        <v>0</v>
      </c>
      <c r="L77" s="8">
        <f t="shared" ca="1" si="15"/>
        <v>0</v>
      </c>
      <c r="M77" s="8">
        <f t="shared" ca="1" si="15"/>
        <v>0</v>
      </c>
      <c r="N77" s="8">
        <f t="shared" ca="1" si="15"/>
        <v>0</v>
      </c>
      <c r="O77" s="8">
        <f t="shared" ca="1" si="15"/>
        <v>0</v>
      </c>
      <c r="P77" s="8">
        <f t="shared" ca="1" si="15"/>
        <v>0</v>
      </c>
      <c r="Q77" s="8">
        <f t="shared" ca="1" si="15"/>
        <v>0</v>
      </c>
      <c r="R77" s="8">
        <f t="shared" ca="1" si="15"/>
        <v>0</v>
      </c>
      <c r="S77" s="8">
        <f t="shared" ca="1" si="15"/>
        <v>0</v>
      </c>
      <c r="T77" s="8">
        <f t="shared" ca="1" si="15"/>
        <v>0</v>
      </c>
      <c r="U77" s="8">
        <f t="shared" ca="1" si="15"/>
        <v>0</v>
      </c>
      <c r="V77" s="8">
        <f t="shared" ca="1" si="15"/>
        <v>0</v>
      </c>
      <c r="W77" s="8">
        <f t="shared" ca="1" si="15"/>
        <v>0</v>
      </c>
      <c r="X77" s="8">
        <f t="shared" ca="1" si="15"/>
        <v>0</v>
      </c>
      <c r="Y77" s="8">
        <f t="shared" ca="1" si="15"/>
        <v>0</v>
      </c>
      <c r="Z77" s="8">
        <f t="shared" ca="1" si="15"/>
        <v>0</v>
      </c>
      <c r="AA77" s="8">
        <f t="shared" ca="1" si="15"/>
        <v>0</v>
      </c>
      <c r="AB77" s="8">
        <f t="shared" ca="1" si="15"/>
        <v>0</v>
      </c>
      <c r="AC77" s="8">
        <f t="shared" ca="1" si="15"/>
        <v>0</v>
      </c>
      <c r="AD77" s="8">
        <f t="shared" ca="1" si="15"/>
        <v>0</v>
      </c>
      <c r="AE77" s="8">
        <f t="shared" ca="1" si="15"/>
        <v>0</v>
      </c>
      <c r="AF77" s="8">
        <f t="shared" ca="1" si="15"/>
        <v>0</v>
      </c>
      <c r="AG77" s="8">
        <f t="shared" ca="1" si="15"/>
        <v>0</v>
      </c>
      <c r="AH77" s="8">
        <f t="shared" ca="1" si="15"/>
        <v>0</v>
      </c>
      <c r="AI77" s="8">
        <f t="shared" ca="1" si="15"/>
        <v>0</v>
      </c>
      <c r="AJ77" s="8">
        <f t="shared" ca="1" si="15"/>
        <v>0</v>
      </c>
      <c r="AK77" s="31"/>
      <c r="AL77" s="31"/>
      <c r="AM77" s="31"/>
      <c r="AN77" s="31"/>
      <c r="AO77" s="31"/>
      <c r="AP77" s="31"/>
      <c r="AQ77" s="31"/>
      <c r="AR77" s="31"/>
    </row>
    <row r="78" spans="2:44" x14ac:dyDescent="0.25"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</row>
    <row r="79" spans="2:44" x14ac:dyDescent="0.25">
      <c r="B79" s="6" t="s">
        <v>253</v>
      </c>
      <c r="C79" s="200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</row>
    <row r="80" spans="2:44" x14ac:dyDescent="0.25"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</row>
    <row r="81" spans="2:44" x14ac:dyDescent="0.25">
      <c r="B81" s="6" t="s">
        <v>254</v>
      </c>
      <c r="C81" s="200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</row>
    <row r="82" spans="2:44" x14ac:dyDescent="0.25"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</row>
    <row r="83" spans="2:44" x14ac:dyDescent="0.25">
      <c r="B83" s="22" t="s">
        <v>85</v>
      </c>
      <c r="C83" s="201"/>
      <c r="D83" s="22" t="s">
        <v>104</v>
      </c>
      <c r="E83" s="25">
        <f ca="1">E43</f>
        <v>42125</v>
      </c>
      <c r="F83" s="25">
        <f t="shared" ref="F83:AI83" ca="1" si="16">F43</f>
        <v>42126</v>
      </c>
      <c r="G83" s="25">
        <f t="shared" ca="1" si="16"/>
        <v>42127</v>
      </c>
      <c r="H83" s="25">
        <f t="shared" ca="1" si="16"/>
        <v>42128</v>
      </c>
      <c r="I83" s="25">
        <f t="shared" ca="1" si="16"/>
        <v>42129</v>
      </c>
      <c r="J83" s="25">
        <f t="shared" ca="1" si="16"/>
        <v>42130</v>
      </c>
      <c r="K83" s="25">
        <f t="shared" ca="1" si="16"/>
        <v>42131</v>
      </c>
      <c r="L83" s="25">
        <f t="shared" ca="1" si="16"/>
        <v>42132</v>
      </c>
      <c r="M83" s="25">
        <f t="shared" ca="1" si="16"/>
        <v>42133</v>
      </c>
      <c r="N83" s="25">
        <f t="shared" ca="1" si="16"/>
        <v>42134</v>
      </c>
      <c r="O83" s="25">
        <f t="shared" ca="1" si="16"/>
        <v>42135</v>
      </c>
      <c r="P83" s="25">
        <f t="shared" ca="1" si="16"/>
        <v>42136</v>
      </c>
      <c r="Q83" s="25">
        <f t="shared" ca="1" si="16"/>
        <v>42137</v>
      </c>
      <c r="R83" s="25">
        <f t="shared" ca="1" si="16"/>
        <v>42138</v>
      </c>
      <c r="S83" s="25">
        <f t="shared" ca="1" si="16"/>
        <v>42139</v>
      </c>
      <c r="T83" s="25">
        <f t="shared" ca="1" si="16"/>
        <v>42140</v>
      </c>
      <c r="U83" s="25">
        <f t="shared" ca="1" si="16"/>
        <v>42141</v>
      </c>
      <c r="V83" s="25">
        <f t="shared" ca="1" si="16"/>
        <v>42142</v>
      </c>
      <c r="W83" s="25">
        <f t="shared" ca="1" si="16"/>
        <v>42143</v>
      </c>
      <c r="X83" s="25">
        <f t="shared" ca="1" si="16"/>
        <v>42144</v>
      </c>
      <c r="Y83" s="25">
        <f t="shared" ca="1" si="16"/>
        <v>42145</v>
      </c>
      <c r="Z83" s="25">
        <f t="shared" ca="1" si="16"/>
        <v>42146</v>
      </c>
      <c r="AA83" s="25">
        <f t="shared" ca="1" si="16"/>
        <v>42147</v>
      </c>
      <c r="AB83" s="25">
        <f t="shared" ca="1" si="16"/>
        <v>42148</v>
      </c>
      <c r="AC83" s="25">
        <f t="shared" ca="1" si="16"/>
        <v>42149</v>
      </c>
      <c r="AD83" s="25">
        <f t="shared" ca="1" si="16"/>
        <v>42150</v>
      </c>
      <c r="AE83" s="25">
        <f t="shared" ca="1" si="16"/>
        <v>42151</v>
      </c>
      <c r="AF83" s="25">
        <f t="shared" ca="1" si="16"/>
        <v>42152</v>
      </c>
      <c r="AG83" s="25">
        <f t="shared" ca="1" si="16"/>
        <v>42153</v>
      </c>
      <c r="AH83" s="25">
        <f t="shared" ca="1" si="16"/>
        <v>42154</v>
      </c>
      <c r="AI83" s="25">
        <f t="shared" ca="1" si="16"/>
        <v>42155</v>
      </c>
      <c r="AJ83" s="31"/>
      <c r="AK83" s="31"/>
      <c r="AL83" s="31"/>
      <c r="AM83" s="31"/>
      <c r="AN83" s="31"/>
      <c r="AO83" s="31"/>
      <c r="AP83" s="31"/>
      <c r="AQ83" s="31"/>
      <c r="AR83" s="31"/>
    </row>
    <row r="84" spans="2:44" x14ac:dyDescent="0.25">
      <c r="B84" s="11" t="s">
        <v>88</v>
      </c>
      <c r="C84" s="11"/>
      <c r="D84" s="11"/>
      <c r="E84" s="8">
        <f ca="1">IFERROR(SUMIFS(FACTURA!$T:$T,FACTURA!$G:$G,RESUMEN!E83),0)</f>
        <v>0</v>
      </c>
      <c r="F84" s="8">
        <f ca="1">IFERROR(SUMIFS(FACTURA!$T:$T,FACTURA!$G:$G,RESUMEN!F83),0)</f>
        <v>0</v>
      </c>
      <c r="G84" s="8">
        <f ca="1">IFERROR(SUMIFS(FACTURA!$T:$T,FACTURA!$G:$G,RESUMEN!G83),0)</f>
        <v>0</v>
      </c>
      <c r="H84" s="8">
        <f ca="1">IFERROR(SUMIFS(FACTURA!$T:$T,FACTURA!$G:$G,RESUMEN!H83),0)</f>
        <v>0</v>
      </c>
      <c r="I84" s="8">
        <f ca="1">IFERROR(SUMIFS(FACTURA!$T:$T,FACTURA!$G:$G,RESUMEN!I83),0)</f>
        <v>0</v>
      </c>
      <c r="J84" s="8">
        <f ca="1">IFERROR(SUMIFS(FACTURA!$T:$T,FACTURA!$G:$G,RESUMEN!J83),0)</f>
        <v>0</v>
      </c>
      <c r="K84" s="8">
        <f ca="1">IFERROR(SUMIFS(FACTURA!$T:$T,FACTURA!$G:$G,RESUMEN!K83),0)</f>
        <v>0</v>
      </c>
      <c r="L84" s="8">
        <f ca="1">IFERROR(SUMIFS(FACTURA!$T:$T,FACTURA!$G:$G,RESUMEN!L83),0)</f>
        <v>0</v>
      </c>
      <c r="M84" s="8">
        <f ca="1">IFERROR(SUMIFS(FACTURA!$T:$T,FACTURA!$G:$G,RESUMEN!M83),0)</f>
        <v>0</v>
      </c>
      <c r="N84" s="8">
        <f ca="1">IFERROR(SUMIFS(FACTURA!$T:$T,FACTURA!$G:$G,RESUMEN!N83),0)</f>
        <v>0</v>
      </c>
      <c r="O84" s="8">
        <f ca="1">IFERROR(SUMIFS(FACTURA!$T:$T,FACTURA!$G:$G,RESUMEN!O83),0)</f>
        <v>0</v>
      </c>
      <c r="P84" s="8">
        <f ca="1">IFERROR(SUMIFS(FACTURA!$T:$T,FACTURA!$G:$G,RESUMEN!P83),0)</f>
        <v>0</v>
      </c>
      <c r="Q84" s="8">
        <f ca="1">IFERROR(SUMIFS(FACTURA!$T:$T,FACTURA!$G:$G,RESUMEN!Q83),0)</f>
        <v>0</v>
      </c>
      <c r="R84" s="8">
        <f ca="1">IFERROR(SUMIFS(FACTURA!$T:$T,FACTURA!$G:$G,RESUMEN!R83),0)</f>
        <v>0</v>
      </c>
      <c r="S84" s="8">
        <f ca="1">IFERROR(SUMIFS(FACTURA!$T:$T,FACTURA!$G:$G,RESUMEN!S83),0)</f>
        <v>0</v>
      </c>
      <c r="T84" s="8">
        <f ca="1">IFERROR(SUMIFS(FACTURA!$T:$T,FACTURA!$G:$G,RESUMEN!T83),0)</f>
        <v>0</v>
      </c>
      <c r="U84" s="8">
        <f ca="1">IFERROR(SUMIFS(FACTURA!$T:$T,FACTURA!$G:$G,RESUMEN!U83),0)</f>
        <v>0</v>
      </c>
      <c r="V84" s="8">
        <f ca="1">IFERROR(SUMIFS(FACTURA!$T:$T,FACTURA!$G:$G,RESUMEN!V83),0)</f>
        <v>0</v>
      </c>
      <c r="W84" s="8">
        <f ca="1">IFERROR(SUMIFS(FACTURA!$T:$T,FACTURA!$G:$G,RESUMEN!W83),0)</f>
        <v>0</v>
      </c>
      <c r="X84" s="8">
        <f ca="1">IFERROR(SUMIFS(FACTURA!$T:$T,FACTURA!$G:$G,RESUMEN!X83),0)</f>
        <v>0</v>
      </c>
      <c r="Y84" s="8">
        <f ca="1">IFERROR(SUMIFS(FACTURA!$T:$T,FACTURA!$G:$G,RESUMEN!Y83),0)</f>
        <v>0</v>
      </c>
      <c r="Z84" s="8">
        <f ca="1">IFERROR(SUMIFS(FACTURA!$T:$T,FACTURA!$G:$G,RESUMEN!Z83),0)</f>
        <v>0</v>
      </c>
      <c r="AA84" s="8">
        <f ca="1">IFERROR(SUMIFS(FACTURA!$T:$T,FACTURA!$G:$G,RESUMEN!AA83),0)</f>
        <v>0</v>
      </c>
      <c r="AB84" s="8">
        <f ca="1">IFERROR(SUMIFS(FACTURA!$T:$T,FACTURA!$G:$G,RESUMEN!AB83),0)</f>
        <v>0</v>
      </c>
      <c r="AC84" s="8">
        <f ca="1">IFERROR(SUMIFS(FACTURA!$T:$T,FACTURA!$G:$G,RESUMEN!AC83),0)</f>
        <v>0</v>
      </c>
      <c r="AD84" s="8">
        <f ca="1">IFERROR(SUMIFS(FACTURA!$T:$T,FACTURA!$G:$G,RESUMEN!AD83),0)</f>
        <v>0</v>
      </c>
      <c r="AE84" s="8">
        <f ca="1">IFERROR(SUMIFS(FACTURA!$T:$T,FACTURA!$G:$G,RESUMEN!AE83),0)</f>
        <v>0</v>
      </c>
      <c r="AF84" s="8">
        <f ca="1">IFERROR(SUMIFS(FACTURA!$T:$T,FACTURA!$G:$G,RESUMEN!AF83),0)</f>
        <v>0</v>
      </c>
      <c r="AG84" s="8">
        <f ca="1">IFERROR(SUMIFS(FACTURA!$T:$T,FACTURA!$G:$G,RESUMEN!AG83),0)</f>
        <v>0</v>
      </c>
      <c r="AH84" s="8">
        <f ca="1">IFERROR(SUMIFS(FACTURA!$T:$T,FACTURA!$G:$G,RESUMEN!AH83),0)</f>
        <v>0</v>
      </c>
      <c r="AI84" s="8">
        <f ca="1">IFERROR(SUMIFS(FACTURA!$T:$T,FACTURA!$G:$G,RESUMEN!AI83),0)</f>
        <v>0</v>
      </c>
      <c r="AJ84" s="31"/>
      <c r="AK84" s="31"/>
      <c r="AL84" s="31"/>
      <c r="AM84" s="31"/>
      <c r="AN84" s="31"/>
      <c r="AO84" s="31"/>
      <c r="AP84" s="31"/>
      <c r="AQ84" s="31"/>
      <c r="AR84" s="31"/>
    </row>
    <row r="85" spans="2:44" x14ac:dyDescent="0.25">
      <c r="B85" s="3" t="s">
        <v>86</v>
      </c>
      <c r="C85" s="3"/>
      <c r="D85" s="11"/>
      <c r="E85" s="8">
        <f ca="1">+E84</f>
        <v>0</v>
      </c>
      <c r="F85" s="8">
        <f ca="1">+F84+E85</f>
        <v>0</v>
      </c>
      <c r="G85" s="8">
        <f t="shared" ref="G85" ca="1" si="17">+G84+F85</f>
        <v>0</v>
      </c>
      <c r="H85" s="8">
        <f t="shared" ref="H85" ca="1" si="18">+H84+G85</f>
        <v>0</v>
      </c>
      <c r="I85" s="8">
        <f t="shared" ref="I85" ca="1" si="19">+I84+H85</f>
        <v>0</v>
      </c>
      <c r="J85" s="225">
        <f t="shared" ref="J85" ca="1" si="20">+J84+I85</f>
        <v>0</v>
      </c>
      <c r="K85" s="8">
        <f t="shared" ref="K85" ca="1" si="21">+K84+J85</f>
        <v>0</v>
      </c>
      <c r="L85" s="8">
        <f t="shared" ref="L85" ca="1" si="22">+L84+K85</f>
        <v>0</v>
      </c>
      <c r="M85" s="8">
        <f t="shared" ref="M85" ca="1" si="23">+M84+L85</f>
        <v>0</v>
      </c>
      <c r="N85" s="8">
        <f t="shared" ref="N85" ca="1" si="24">+N84+M85</f>
        <v>0</v>
      </c>
      <c r="O85" s="8">
        <f t="shared" ref="O85" ca="1" si="25">+O84+N85</f>
        <v>0</v>
      </c>
      <c r="P85" s="8">
        <f t="shared" ref="P85" ca="1" si="26">+P84+O85</f>
        <v>0</v>
      </c>
      <c r="Q85" s="8">
        <f t="shared" ref="Q85" ca="1" si="27">+Q84+P85</f>
        <v>0</v>
      </c>
      <c r="R85" s="8">
        <f t="shared" ref="R85" ca="1" si="28">+R84+Q85</f>
        <v>0</v>
      </c>
      <c r="S85" s="8">
        <f t="shared" ref="S85" ca="1" si="29">+S84+R85</f>
        <v>0</v>
      </c>
      <c r="T85" s="8">
        <f t="shared" ref="T85" ca="1" si="30">+T84+S85</f>
        <v>0</v>
      </c>
      <c r="U85" s="8">
        <f t="shared" ref="U85" ca="1" si="31">+U84+T85</f>
        <v>0</v>
      </c>
      <c r="V85" s="8">
        <f t="shared" ref="V85" ca="1" si="32">+V84+U85</f>
        <v>0</v>
      </c>
      <c r="W85" s="8">
        <f t="shared" ref="W85" ca="1" si="33">+W84+V85</f>
        <v>0</v>
      </c>
      <c r="X85" s="8">
        <f t="shared" ref="X85" ca="1" si="34">+X84+W85</f>
        <v>0</v>
      </c>
      <c r="Y85" s="8">
        <f t="shared" ref="Y85" ca="1" si="35">+Y84+X85</f>
        <v>0</v>
      </c>
      <c r="Z85" s="8">
        <f t="shared" ref="Z85" ca="1" si="36">+Z84+Y85</f>
        <v>0</v>
      </c>
      <c r="AA85" s="8">
        <f t="shared" ref="AA85" ca="1" si="37">+AA84+Z85</f>
        <v>0</v>
      </c>
      <c r="AB85" s="8">
        <f t="shared" ref="AB85" ca="1" si="38">+AB84+AA85</f>
        <v>0</v>
      </c>
      <c r="AC85" s="8">
        <f t="shared" ref="AC85" ca="1" si="39">+AC84+AB85</f>
        <v>0</v>
      </c>
      <c r="AD85" s="8">
        <f t="shared" ref="AD85" ca="1" si="40">+AD84+AC85</f>
        <v>0</v>
      </c>
      <c r="AE85" s="8">
        <f t="shared" ref="AE85" ca="1" si="41">+AE84+AD85</f>
        <v>0</v>
      </c>
      <c r="AF85" s="8">
        <f t="shared" ref="AF85" ca="1" si="42">+AF84+AE85</f>
        <v>0</v>
      </c>
      <c r="AG85" s="8">
        <f t="shared" ref="AG85" ca="1" si="43">+AG84+AF85</f>
        <v>0</v>
      </c>
      <c r="AH85" s="8">
        <f t="shared" ref="AH85" ca="1" si="44">+AH84+AG85</f>
        <v>0</v>
      </c>
      <c r="AI85" s="8">
        <f t="shared" ref="AI85" ca="1" si="45">+AI84+AH85</f>
        <v>0</v>
      </c>
      <c r="AJ85" s="31"/>
      <c r="AK85" s="31"/>
      <c r="AL85" s="31"/>
      <c r="AM85" s="31"/>
      <c r="AN85" s="31"/>
      <c r="AO85" s="31"/>
      <c r="AP85" s="31"/>
      <c r="AQ85" s="31"/>
      <c r="AR85" s="31"/>
    </row>
    <row r="86" spans="2:44" x14ac:dyDescent="0.25">
      <c r="E86" s="9">
        <f t="shared" ref="E86:AI86" ca="1" si="46">IFERROR(E85/$O$19,0)</f>
        <v>0</v>
      </c>
      <c r="F86" s="9">
        <f t="shared" ca="1" si="46"/>
        <v>0</v>
      </c>
      <c r="G86" s="9">
        <f t="shared" ca="1" si="46"/>
        <v>0</v>
      </c>
      <c r="H86" s="9">
        <f t="shared" ca="1" si="46"/>
        <v>0</v>
      </c>
      <c r="I86" s="9">
        <f t="shared" ca="1" si="46"/>
        <v>0</v>
      </c>
      <c r="J86" s="9">
        <f t="shared" ca="1" si="46"/>
        <v>0</v>
      </c>
      <c r="K86" s="9">
        <f t="shared" ca="1" si="46"/>
        <v>0</v>
      </c>
      <c r="L86" s="9">
        <f t="shared" ca="1" si="46"/>
        <v>0</v>
      </c>
      <c r="M86" s="9">
        <f t="shared" ca="1" si="46"/>
        <v>0</v>
      </c>
      <c r="N86" s="9">
        <f t="shared" ca="1" si="46"/>
        <v>0</v>
      </c>
      <c r="O86" s="9">
        <f t="shared" ca="1" si="46"/>
        <v>0</v>
      </c>
      <c r="P86" s="9">
        <f t="shared" ca="1" si="46"/>
        <v>0</v>
      </c>
      <c r="Q86" s="9">
        <f t="shared" ca="1" si="46"/>
        <v>0</v>
      </c>
      <c r="R86" s="9">
        <f t="shared" ca="1" si="46"/>
        <v>0</v>
      </c>
      <c r="S86" s="9">
        <f t="shared" ca="1" si="46"/>
        <v>0</v>
      </c>
      <c r="T86" s="9">
        <f t="shared" ca="1" si="46"/>
        <v>0</v>
      </c>
      <c r="U86" s="9">
        <f t="shared" ca="1" si="46"/>
        <v>0</v>
      </c>
      <c r="V86" s="9">
        <f t="shared" ca="1" si="46"/>
        <v>0</v>
      </c>
      <c r="W86" s="9">
        <f t="shared" ca="1" si="46"/>
        <v>0</v>
      </c>
      <c r="X86" s="9">
        <f t="shared" ca="1" si="46"/>
        <v>0</v>
      </c>
      <c r="Y86" s="9">
        <f t="shared" ca="1" si="46"/>
        <v>0</v>
      </c>
      <c r="Z86" s="9">
        <f t="shared" ca="1" si="46"/>
        <v>0</v>
      </c>
      <c r="AA86" s="9">
        <f t="shared" ca="1" si="46"/>
        <v>0</v>
      </c>
      <c r="AB86" s="9">
        <f t="shared" ca="1" si="46"/>
        <v>0</v>
      </c>
      <c r="AC86" s="9">
        <f t="shared" ca="1" si="46"/>
        <v>0</v>
      </c>
      <c r="AD86" s="9">
        <f t="shared" ca="1" si="46"/>
        <v>0</v>
      </c>
      <c r="AE86" s="9">
        <f t="shared" ca="1" si="46"/>
        <v>0</v>
      </c>
      <c r="AF86" s="9">
        <f t="shared" ca="1" si="46"/>
        <v>0</v>
      </c>
      <c r="AG86" s="9">
        <f t="shared" ca="1" si="46"/>
        <v>0</v>
      </c>
      <c r="AH86" s="9">
        <f t="shared" ca="1" si="46"/>
        <v>0</v>
      </c>
      <c r="AI86" s="9">
        <f t="shared" ca="1" si="46"/>
        <v>0</v>
      </c>
      <c r="AJ86" s="31"/>
      <c r="AK86" s="31"/>
      <c r="AL86" s="31"/>
      <c r="AM86" s="31"/>
      <c r="AN86" s="31"/>
      <c r="AO86" s="31"/>
      <c r="AP86" s="31"/>
      <c r="AQ86" s="31"/>
      <c r="AR86" s="31"/>
    </row>
    <row r="87" spans="2:44" x14ac:dyDescent="0.25"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</row>
    <row r="88" spans="2:44" x14ac:dyDescent="0.25">
      <c r="B88" s="6" t="s">
        <v>255</v>
      </c>
      <c r="C88" s="200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</row>
    <row r="89" spans="2:44" x14ac:dyDescent="0.25"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</row>
    <row r="90" spans="2:44" x14ac:dyDescent="0.25">
      <c r="E90" s="385" t="s">
        <v>84</v>
      </c>
      <c r="F90" s="288">
        <f ca="1">E43</f>
        <v>42125</v>
      </c>
      <c r="G90" s="288">
        <f t="shared" ref="G90:AI90" ca="1" si="47">F43</f>
        <v>42126</v>
      </c>
      <c r="H90" s="288">
        <f t="shared" ca="1" si="47"/>
        <v>42127</v>
      </c>
      <c r="I90" s="288">
        <f t="shared" ca="1" si="47"/>
        <v>42128</v>
      </c>
      <c r="J90" s="288">
        <f t="shared" ca="1" si="47"/>
        <v>42129</v>
      </c>
      <c r="K90" s="288">
        <f t="shared" ca="1" si="47"/>
        <v>42130</v>
      </c>
      <c r="L90" s="288">
        <f t="shared" ca="1" si="47"/>
        <v>42131</v>
      </c>
      <c r="M90" s="288">
        <f t="shared" ca="1" si="47"/>
        <v>42132</v>
      </c>
      <c r="N90" s="288">
        <f t="shared" ca="1" si="47"/>
        <v>42133</v>
      </c>
      <c r="O90" s="288">
        <f t="shared" ca="1" si="47"/>
        <v>42134</v>
      </c>
      <c r="P90" s="288">
        <f t="shared" ca="1" si="47"/>
        <v>42135</v>
      </c>
      <c r="Q90" s="288">
        <f t="shared" ca="1" si="47"/>
        <v>42136</v>
      </c>
      <c r="R90" s="288">
        <f t="shared" ca="1" si="47"/>
        <v>42137</v>
      </c>
      <c r="S90" s="288">
        <f t="shared" ca="1" si="47"/>
        <v>42138</v>
      </c>
      <c r="T90" s="288">
        <f t="shared" ca="1" si="47"/>
        <v>42139</v>
      </c>
      <c r="U90" s="288">
        <f t="shared" ca="1" si="47"/>
        <v>42140</v>
      </c>
      <c r="V90" s="288">
        <f t="shared" ca="1" si="47"/>
        <v>42141</v>
      </c>
      <c r="W90" s="288">
        <f t="shared" ca="1" si="47"/>
        <v>42142</v>
      </c>
      <c r="X90" s="288">
        <f t="shared" ca="1" si="47"/>
        <v>42143</v>
      </c>
      <c r="Y90" s="288">
        <f t="shared" ca="1" si="47"/>
        <v>42144</v>
      </c>
      <c r="Z90" s="288">
        <f t="shared" ca="1" si="47"/>
        <v>42145</v>
      </c>
      <c r="AA90" s="288">
        <f t="shared" ca="1" si="47"/>
        <v>42146</v>
      </c>
      <c r="AB90" s="288">
        <f t="shared" ca="1" si="47"/>
        <v>42147</v>
      </c>
      <c r="AC90" s="288">
        <f t="shared" ca="1" si="47"/>
        <v>42148</v>
      </c>
      <c r="AD90" s="288">
        <f t="shared" ca="1" si="47"/>
        <v>42149</v>
      </c>
      <c r="AE90" s="288">
        <f t="shared" ca="1" si="47"/>
        <v>42150</v>
      </c>
      <c r="AF90" s="288">
        <f t="shared" ca="1" si="47"/>
        <v>42151</v>
      </c>
      <c r="AG90" s="288">
        <f t="shared" ca="1" si="47"/>
        <v>42152</v>
      </c>
      <c r="AH90" s="288">
        <f t="shared" ca="1" si="47"/>
        <v>42153</v>
      </c>
      <c r="AI90" s="288">
        <f t="shared" ca="1" si="47"/>
        <v>42154</v>
      </c>
      <c r="AJ90" s="288">
        <f ca="1">AI43</f>
        <v>42155</v>
      </c>
      <c r="AK90" s="31"/>
      <c r="AL90" s="31"/>
      <c r="AM90" s="31"/>
      <c r="AN90" s="31"/>
      <c r="AO90" s="31"/>
      <c r="AP90" s="31"/>
      <c r="AQ90" s="31"/>
      <c r="AR90" s="31"/>
    </row>
    <row r="91" spans="2:44" x14ac:dyDescent="0.25">
      <c r="B91" s="352" t="s">
        <v>83</v>
      </c>
      <c r="C91" s="352" t="s">
        <v>216</v>
      </c>
      <c r="D91" s="53" t="s">
        <v>0</v>
      </c>
      <c r="E91" s="385"/>
      <c r="F91" s="54">
        <f ca="1">E43</f>
        <v>42125</v>
      </c>
      <c r="G91" s="54">
        <f t="shared" ref="G91:AI91" ca="1" si="48">F43</f>
        <v>42126</v>
      </c>
      <c r="H91" s="54">
        <f t="shared" ca="1" si="48"/>
        <v>42127</v>
      </c>
      <c r="I91" s="54">
        <f t="shared" ca="1" si="48"/>
        <v>42128</v>
      </c>
      <c r="J91" s="54">
        <f t="shared" ca="1" si="48"/>
        <v>42129</v>
      </c>
      <c r="K91" s="54">
        <f t="shared" ca="1" si="48"/>
        <v>42130</v>
      </c>
      <c r="L91" s="54">
        <f t="shared" ca="1" si="48"/>
        <v>42131</v>
      </c>
      <c r="M91" s="54">
        <f t="shared" ca="1" si="48"/>
        <v>42132</v>
      </c>
      <c r="N91" s="54">
        <f t="shared" ca="1" si="48"/>
        <v>42133</v>
      </c>
      <c r="O91" s="54">
        <f t="shared" ca="1" si="48"/>
        <v>42134</v>
      </c>
      <c r="P91" s="54">
        <f t="shared" ca="1" si="48"/>
        <v>42135</v>
      </c>
      <c r="Q91" s="54">
        <f t="shared" ca="1" si="48"/>
        <v>42136</v>
      </c>
      <c r="R91" s="54">
        <f t="shared" ca="1" si="48"/>
        <v>42137</v>
      </c>
      <c r="S91" s="54">
        <f t="shared" ca="1" si="48"/>
        <v>42138</v>
      </c>
      <c r="T91" s="54">
        <f t="shared" ca="1" si="48"/>
        <v>42139</v>
      </c>
      <c r="U91" s="54">
        <f t="shared" ca="1" si="48"/>
        <v>42140</v>
      </c>
      <c r="V91" s="54">
        <f t="shared" ca="1" si="48"/>
        <v>42141</v>
      </c>
      <c r="W91" s="54">
        <f t="shared" ca="1" si="48"/>
        <v>42142</v>
      </c>
      <c r="X91" s="54">
        <f t="shared" ca="1" si="48"/>
        <v>42143</v>
      </c>
      <c r="Y91" s="54">
        <f t="shared" ca="1" si="48"/>
        <v>42144</v>
      </c>
      <c r="Z91" s="54">
        <f t="shared" ca="1" si="48"/>
        <v>42145</v>
      </c>
      <c r="AA91" s="54">
        <f t="shared" ca="1" si="48"/>
        <v>42146</v>
      </c>
      <c r="AB91" s="54">
        <f t="shared" ca="1" si="48"/>
        <v>42147</v>
      </c>
      <c r="AC91" s="54">
        <f t="shared" ca="1" si="48"/>
        <v>42148</v>
      </c>
      <c r="AD91" s="54">
        <f t="shared" ca="1" si="48"/>
        <v>42149</v>
      </c>
      <c r="AE91" s="54">
        <f t="shared" ca="1" si="48"/>
        <v>42150</v>
      </c>
      <c r="AF91" s="54">
        <f t="shared" ca="1" si="48"/>
        <v>42151</v>
      </c>
      <c r="AG91" s="54">
        <f t="shared" ca="1" si="48"/>
        <v>42152</v>
      </c>
      <c r="AH91" s="54">
        <f t="shared" ca="1" si="48"/>
        <v>42153</v>
      </c>
      <c r="AI91" s="54">
        <f t="shared" ca="1" si="48"/>
        <v>42154</v>
      </c>
      <c r="AJ91" s="54">
        <f ca="1">AI43</f>
        <v>42155</v>
      </c>
      <c r="AK91" s="31"/>
      <c r="AL91" s="31"/>
      <c r="AM91" s="31"/>
      <c r="AN91" s="31"/>
      <c r="AO91" s="31"/>
      <c r="AP91" s="31"/>
      <c r="AQ91" s="31"/>
      <c r="AR91" s="31"/>
    </row>
    <row r="92" spans="2:44" s="6" customFormat="1" x14ac:dyDescent="0.25">
      <c r="B92" s="147">
        <f t="shared" ref="B92:D93" si="49">B19</f>
        <v>1</v>
      </c>
      <c r="C92" s="153" t="str">
        <f t="shared" si="49"/>
        <v xml:space="preserve">- </v>
      </c>
      <c r="D92" s="148" t="str">
        <f t="shared" si="49"/>
        <v/>
      </c>
      <c r="E92" s="149"/>
      <c r="F92" s="150">
        <f ca="1">IFERROR(SUMIFS(FACTURA!$T:$T,FACTURA!$AA:$AA,RESUMEN!$C92,FACTURA!$G:$G,RESUMEN!F$91),0)</f>
        <v>0</v>
      </c>
      <c r="G92" s="150">
        <f ca="1">IFERROR(SUMIFS(FACTURA!$T:$T,FACTURA!$AA:$AA,RESUMEN!$C92,FACTURA!$G:$G,RESUMEN!G$91),0)</f>
        <v>0</v>
      </c>
      <c r="H92" s="150">
        <f ca="1">IFERROR(SUMIFS(FACTURA!$T:$T,FACTURA!$AA:$AA,RESUMEN!$C92,FACTURA!$G:$G,RESUMEN!H$91),0)</f>
        <v>0</v>
      </c>
      <c r="I92" s="150">
        <f ca="1">IFERROR(SUMIFS(FACTURA!$T:$T,FACTURA!$AA:$AA,RESUMEN!$C92,FACTURA!$G:$G,RESUMEN!I$91),0)</f>
        <v>0</v>
      </c>
      <c r="J92" s="150">
        <f ca="1">IFERROR(SUMIFS(FACTURA!$T:$T,FACTURA!$AA:$AA,RESUMEN!$C92,FACTURA!$G:$G,RESUMEN!J$91),0)</f>
        <v>0</v>
      </c>
      <c r="K92" s="150">
        <f ca="1">IFERROR(SUMIFS(FACTURA!$T:$T,FACTURA!$AA:$AA,RESUMEN!$C92,FACTURA!$G:$G,RESUMEN!K$91),0)</f>
        <v>0</v>
      </c>
      <c r="L92" s="150">
        <f ca="1">IFERROR(SUMIFS(FACTURA!$T:$T,FACTURA!$AA:$AA,RESUMEN!$C92,FACTURA!$G:$G,RESUMEN!L$91),0)</f>
        <v>0</v>
      </c>
      <c r="M92" s="150">
        <f ca="1">IFERROR(SUMIFS(FACTURA!$T:$T,FACTURA!$AA:$AA,RESUMEN!$C92,FACTURA!$G:$G,RESUMEN!M$91),0)</f>
        <v>0</v>
      </c>
      <c r="N92" s="150">
        <f ca="1">IFERROR(SUMIFS(FACTURA!$T:$T,FACTURA!$AA:$AA,RESUMEN!$C92,FACTURA!$G:$G,RESUMEN!N$91),0)</f>
        <v>0</v>
      </c>
      <c r="O92" s="150">
        <f ca="1">IFERROR(SUMIFS(FACTURA!$T:$T,FACTURA!$AA:$AA,RESUMEN!$C92,FACTURA!$G:$G,RESUMEN!O$91),0)</f>
        <v>0</v>
      </c>
      <c r="P92" s="150">
        <f ca="1">IFERROR(SUMIFS(FACTURA!$T:$T,FACTURA!$AA:$AA,RESUMEN!$C92,FACTURA!$G:$G,RESUMEN!P$91),0)</f>
        <v>0</v>
      </c>
      <c r="Q92" s="150">
        <f ca="1">IFERROR(SUMIFS(FACTURA!$T:$T,FACTURA!$AA:$AA,RESUMEN!$C92,FACTURA!$G:$G,RESUMEN!Q$91),0)</f>
        <v>0</v>
      </c>
      <c r="R92" s="150">
        <f ca="1">IFERROR(SUMIFS(FACTURA!$T:$T,FACTURA!$AA:$AA,RESUMEN!$C92,FACTURA!$G:$G,RESUMEN!R$91),0)</f>
        <v>0</v>
      </c>
      <c r="S92" s="150">
        <f ca="1">IFERROR(SUMIFS(FACTURA!$T:$T,FACTURA!$AA:$AA,RESUMEN!$C92,FACTURA!$G:$G,RESUMEN!S$91),0)</f>
        <v>0</v>
      </c>
      <c r="T92" s="150">
        <f ca="1">IFERROR(SUMIFS(FACTURA!$T:$T,FACTURA!$AA:$AA,RESUMEN!$C92,FACTURA!$G:$G,RESUMEN!T$91),0)</f>
        <v>0</v>
      </c>
      <c r="U92" s="150">
        <f ca="1">IFERROR(SUMIFS(FACTURA!$T:$T,FACTURA!$AA:$AA,RESUMEN!$C92,FACTURA!$G:$G,RESUMEN!U$91),0)</f>
        <v>0</v>
      </c>
      <c r="V92" s="150">
        <f ca="1">IFERROR(SUMIFS(FACTURA!$T:$T,FACTURA!$AA:$AA,RESUMEN!$C92,FACTURA!$G:$G,RESUMEN!V$91),0)</f>
        <v>0</v>
      </c>
      <c r="W92" s="150">
        <f ca="1">IFERROR(SUMIFS(FACTURA!$T:$T,FACTURA!$AA:$AA,RESUMEN!$C92,FACTURA!$G:$G,RESUMEN!W$91),0)</f>
        <v>0</v>
      </c>
      <c r="X92" s="150">
        <f ca="1">IFERROR(SUMIFS(FACTURA!$T:$T,FACTURA!$AA:$AA,RESUMEN!$C92,FACTURA!$G:$G,RESUMEN!X$91),0)</f>
        <v>0</v>
      </c>
      <c r="Y92" s="150">
        <f ca="1">IFERROR(SUMIFS(FACTURA!$T:$T,FACTURA!$AA:$AA,RESUMEN!$C92,FACTURA!$G:$G,RESUMEN!Y$91),0)</f>
        <v>0</v>
      </c>
      <c r="Z92" s="150">
        <f ca="1">IFERROR(SUMIFS(FACTURA!$T:$T,FACTURA!$AA:$AA,RESUMEN!$C92,FACTURA!$G:$G,RESUMEN!Z$91),0)</f>
        <v>0</v>
      </c>
      <c r="AA92" s="150">
        <f ca="1">IFERROR(SUMIFS(FACTURA!$T:$T,FACTURA!$AA:$AA,RESUMEN!$C92,FACTURA!$G:$G,RESUMEN!AA$91),0)</f>
        <v>0</v>
      </c>
      <c r="AB92" s="150">
        <f ca="1">IFERROR(SUMIFS(FACTURA!$T:$T,FACTURA!$AA:$AA,RESUMEN!$C92,FACTURA!$G:$G,RESUMEN!AB$91),0)</f>
        <v>0</v>
      </c>
      <c r="AC92" s="150">
        <f ca="1">IFERROR(SUMIFS(FACTURA!$T:$T,FACTURA!$AA:$AA,RESUMEN!$C92,FACTURA!$G:$G,RESUMEN!AC$91),0)</f>
        <v>0</v>
      </c>
      <c r="AD92" s="150">
        <f ca="1">IFERROR(SUMIFS(FACTURA!$T:$T,FACTURA!$AA:$AA,RESUMEN!$C92,FACTURA!$G:$G,RESUMEN!AD$91),0)</f>
        <v>0</v>
      </c>
      <c r="AE92" s="150">
        <f ca="1">IFERROR(SUMIFS(FACTURA!$T:$T,FACTURA!$AA:$AA,RESUMEN!$C92,FACTURA!$G:$G,RESUMEN!AE$91),0)</f>
        <v>0</v>
      </c>
      <c r="AF92" s="150">
        <f ca="1">IFERROR(SUMIFS(FACTURA!$T:$T,FACTURA!$AA:$AA,RESUMEN!$C92,FACTURA!$G:$G,RESUMEN!AF$91),0)</f>
        <v>0</v>
      </c>
      <c r="AG92" s="150">
        <f ca="1">IFERROR(SUMIFS(FACTURA!$T:$T,FACTURA!$AA:$AA,RESUMEN!$C92,FACTURA!$G:$G,RESUMEN!AG$91),0)</f>
        <v>0</v>
      </c>
      <c r="AH92" s="150">
        <f ca="1">IFERROR(SUMIFS(FACTURA!$T:$T,FACTURA!$AA:$AA,RESUMEN!$C92,FACTURA!$G:$G,RESUMEN!AH$91),0)</f>
        <v>0</v>
      </c>
      <c r="AI92" s="150">
        <f ca="1">IFERROR(SUMIFS(FACTURA!$T:$T,FACTURA!$AA:$AA,RESUMEN!$C92,FACTURA!$G:$G,RESUMEN!AI$91),0)</f>
        <v>0</v>
      </c>
      <c r="AJ92" s="150">
        <f ca="1">IFERROR(SUMIFS(FACTURA!$T:$T,FACTURA!$AA:$AA,RESUMEN!$C92,FACTURA!$G:$G,RESUMEN!AJ$91),0)</f>
        <v>0</v>
      </c>
      <c r="AK92" s="16"/>
      <c r="AL92" s="16"/>
      <c r="AM92" s="16"/>
      <c r="AN92" s="16"/>
      <c r="AO92" s="16"/>
      <c r="AP92" s="16"/>
      <c r="AQ92" s="16"/>
      <c r="AR92" s="16"/>
    </row>
    <row r="93" spans="2:44" s="6" customFormat="1" x14ac:dyDescent="0.25">
      <c r="B93" s="151">
        <f t="shared" si="49"/>
        <v>2</v>
      </c>
      <c r="C93" s="154" t="str">
        <f t="shared" si="49"/>
        <v xml:space="preserve">- </v>
      </c>
      <c r="D93" s="152" t="str">
        <f t="shared" si="49"/>
        <v/>
      </c>
      <c r="E93" s="149"/>
      <c r="F93" s="150">
        <f ca="1">IFERROR(SUMIFS(FACTURA!$T:$T,FACTURA!$AA:$AA,RESUMEN!$C93,FACTURA!$G:$G,RESUMEN!F$91),0)</f>
        <v>0</v>
      </c>
      <c r="G93" s="150">
        <f ca="1">IFERROR(SUMIFS(FACTURA!$T:$T,FACTURA!$AA:$AA,RESUMEN!$C93,FACTURA!$G:$G,RESUMEN!G$91),0)</f>
        <v>0</v>
      </c>
      <c r="H93" s="150">
        <f ca="1">IFERROR(SUMIFS(FACTURA!$T:$T,FACTURA!$AA:$AA,RESUMEN!$C93,FACTURA!$G:$G,RESUMEN!H$91),0)</f>
        <v>0</v>
      </c>
      <c r="I93" s="150">
        <f ca="1">IFERROR(SUMIFS(FACTURA!$T:$T,FACTURA!$AA:$AA,RESUMEN!$C93,FACTURA!$G:$G,RESUMEN!I$91),0)</f>
        <v>0</v>
      </c>
      <c r="J93" s="150">
        <f ca="1">IFERROR(SUMIFS(FACTURA!$T:$T,FACTURA!$AA:$AA,RESUMEN!$C93,FACTURA!$G:$G,RESUMEN!J$91),0)</f>
        <v>0</v>
      </c>
      <c r="K93" s="150">
        <f ca="1">IFERROR(SUMIFS(FACTURA!$T:$T,FACTURA!$AA:$AA,RESUMEN!$C93,FACTURA!$G:$G,RESUMEN!K$91),0)</f>
        <v>0</v>
      </c>
      <c r="L93" s="150">
        <f ca="1">IFERROR(SUMIFS(FACTURA!$T:$T,FACTURA!$AA:$AA,RESUMEN!$C93,FACTURA!$G:$G,RESUMEN!L$91),0)</f>
        <v>0</v>
      </c>
      <c r="M93" s="150">
        <f ca="1">IFERROR(SUMIFS(FACTURA!$T:$T,FACTURA!$AA:$AA,RESUMEN!$C93,FACTURA!$G:$G,RESUMEN!M$91),0)</f>
        <v>0</v>
      </c>
      <c r="N93" s="150">
        <f ca="1">IFERROR(SUMIFS(FACTURA!$T:$T,FACTURA!$AA:$AA,RESUMEN!$C93,FACTURA!$G:$G,RESUMEN!N$91),0)</f>
        <v>0</v>
      </c>
      <c r="O93" s="150">
        <f ca="1">IFERROR(SUMIFS(FACTURA!$T:$T,FACTURA!$AA:$AA,RESUMEN!$C93,FACTURA!$G:$G,RESUMEN!O$91),0)</f>
        <v>0</v>
      </c>
      <c r="P93" s="150">
        <f ca="1">IFERROR(SUMIFS(FACTURA!$T:$T,FACTURA!$AA:$AA,RESUMEN!$C93,FACTURA!$G:$G,RESUMEN!P$91),0)</f>
        <v>0</v>
      </c>
      <c r="Q93" s="150">
        <f ca="1">IFERROR(SUMIFS(FACTURA!$T:$T,FACTURA!$AA:$AA,RESUMEN!$C93,FACTURA!$G:$G,RESUMEN!Q$91),0)</f>
        <v>0</v>
      </c>
      <c r="R93" s="150">
        <f ca="1">IFERROR(SUMIFS(FACTURA!$T:$T,FACTURA!$AA:$AA,RESUMEN!$C93,FACTURA!$G:$G,RESUMEN!R$91),0)</f>
        <v>0</v>
      </c>
      <c r="S93" s="150">
        <f ca="1">IFERROR(SUMIFS(FACTURA!$T:$T,FACTURA!$AA:$AA,RESUMEN!$C93,FACTURA!$G:$G,RESUMEN!S$91),0)</f>
        <v>0</v>
      </c>
      <c r="T93" s="150">
        <f ca="1">IFERROR(SUMIFS(FACTURA!$T:$T,FACTURA!$AA:$AA,RESUMEN!$C93,FACTURA!$G:$G,RESUMEN!T$91),0)</f>
        <v>0</v>
      </c>
      <c r="U93" s="150">
        <f ca="1">IFERROR(SUMIFS(FACTURA!$T:$T,FACTURA!$AA:$AA,RESUMEN!$C93,FACTURA!$G:$G,RESUMEN!U$91),0)</f>
        <v>0</v>
      </c>
      <c r="V93" s="150">
        <f ca="1">IFERROR(SUMIFS(FACTURA!$T:$T,FACTURA!$AA:$AA,RESUMEN!$C93,FACTURA!$G:$G,RESUMEN!V$91),0)</f>
        <v>0</v>
      </c>
      <c r="W93" s="150">
        <f ca="1">IFERROR(SUMIFS(FACTURA!$T:$T,FACTURA!$AA:$AA,RESUMEN!$C93,FACTURA!$G:$G,RESUMEN!W$91),0)</f>
        <v>0</v>
      </c>
      <c r="X93" s="150">
        <f ca="1">IFERROR(SUMIFS(FACTURA!$T:$T,FACTURA!$AA:$AA,RESUMEN!$C93,FACTURA!$G:$G,RESUMEN!X$91),0)</f>
        <v>0</v>
      </c>
      <c r="Y93" s="150">
        <f ca="1">IFERROR(SUMIFS(FACTURA!$T:$T,FACTURA!$AA:$AA,RESUMEN!$C93,FACTURA!$G:$G,RESUMEN!Y$91),0)</f>
        <v>0</v>
      </c>
      <c r="Z93" s="150">
        <f ca="1">IFERROR(SUMIFS(FACTURA!$T:$T,FACTURA!$AA:$AA,RESUMEN!$C93,FACTURA!$G:$G,RESUMEN!Z$91),0)</f>
        <v>0</v>
      </c>
      <c r="AA93" s="150">
        <f ca="1">IFERROR(SUMIFS(FACTURA!$T:$T,FACTURA!$AA:$AA,RESUMEN!$C93,FACTURA!$G:$G,RESUMEN!AA$91),0)</f>
        <v>0</v>
      </c>
      <c r="AB93" s="150">
        <f ca="1">IFERROR(SUMIFS(FACTURA!$T:$T,FACTURA!$AA:$AA,RESUMEN!$C93,FACTURA!$G:$G,RESUMEN!AB$91),0)</f>
        <v>0</v>
      </c>
      <c r="AC93" s="150">
        <f ca="1">IFERROR(SUMIFS(FACTURA!$T:$T,FACTURA!$AA:$AA,RESUMEN!$C93,FACTURA!$G:$G,RESUMEN!AC$91),0)</f>
        <v>0</v>
      </c>
      <c r="AD93" s="150">
        <f ca="1">IFERROR(SUMIFS(FACTURA!$T:$T,FACTURA!$AA:$AA,RESUMEN!$C93,FACTURA!$G:$G,RESUMEN!AD$91),0)</f>
        <v>0</v>
      </c>
      <c r="AE93" s="150">
        <f ca="1">IFERROR(SUMIFS(FACTURA!$T:$T,FACTURA!$AA:$AA,RESUMEN!$C93,FACTURA!$G:$G,RESUMEN!AE$91),0)</f>
        <v>0</v>
      </c>
      <c r="AF93" s="150">
        <f ca="1">IFERROR(SUMIFS(FACTURA!$T:$T,FACTURA!$AA:$AA,RESUMEN!$C93,FACTURA!$G:$G,RESUMEN!AF$91),0)</f>
        <v>0</v>
      </c>
      <c r="AG93" s="150">
        <f ca="1">IFERROR(SUMIFS(FACTURA!$T:$T,FACTURA!$AA:$AA,RESUMEN!$C93,FACTURA!$G:$G,RESUMEN!AG$91),0)</f>
        <v>0</v>
      </c>
      <c r="AH93" s="150">
        <f ca="1">IFERROR(SUMIFS(FACTURA!$T:$T,FACTURA!$AA:$AA,RESUMEN!$C93,FACTURA!$G:$G,RESUMEN!AH$91),0)</f>
        <v>0</v>
      </c>
      <c r="AI93" s="150">
        <f ca="1">IFERROR(SUMIFS(FACTURA!$T:$T,FACTURA!$AA:$AA,RESUMEN!$C93,FACTURA!$G:$G,RESUMEN!AI$91),0)</f>
        <v>0</v>
      </c>
      <c r="AJ93" s="150">
        <f ca="1">IFERROR(SUMIFS(FACTURA!$T:$T,FACTURA!$AA:$AA,RESUMEN!$C93,FACTURA!$G:$G,RESUMEN!AJ$91),0)</f>
        <v>0</v>
      </c>
      <c r="AK93" s="16"/>
      <c r="AL93" s="16"/>
      <c r="AM93" s="16"/>
      <c r="AN93" s="16"/>
      <c r="AO93" s="16"/>
      <c r="AP93" s="16"/>
      <c r="AQ93" s="16"/>
      <c r="AR93" s="16"/>
    </row>
    <row r="94" spans="2:44" s="6" customFormat="1" x14ac:dyDescent="0.25">
      <c r="B94" s="151">
        <f t="shared" ref="B94:D110" si="50">B21</f>
        <v>3</v>
      </c>
      <c r="C94" s="154" t="str">
        <f t="shared" si="50"/>
        <v xml:space="preserve">- </v>
      </c>
      <c r="D94" s="152" t="str">
        <f t="shared" si="50"/>
        <v/>
      </c>
      <c r="E94" s="149"/>
      <c r="F94" s="150">
        <f ca="1">IFERROR(SUMIFS(FACTURA!$T:$T,FACTURA!$AA:$AA,RESUMEN!$C94,FACTURA!$G:$G,RESUMEN!F$91),0)</f>
        <v>0</v>
      </c>
      <c r="G94" s="150">
        <f ca="1">IFERROR(SUMIFS(FACTURA!$T:$T,FACTURA!$AA:$AA,RESUMEN!$C94,FACTURA!$G:$G,RESUMEN!G$91),0)</f>
        <v>0</v>
      </c>
      <c r="H94" s="150">
        <f ca="1">IFERROR(SUMIFS(FACTURA!$T:$T,FACTURA!$AA:$AA,RESUMEN!$C94,FACTURA!$G:$G,RESUMEN!H$91),0)</f>
        <v>0</v>
      </c>
      <c r="I94" s="150">
        <f ca="1">IFERROR(SUMIFS(FACTURA!$T:$T,FACTURA!$AA:$AA,RESUMEN!$C94,FACTURA!$G:$G,RESUMEN!I$91),0)</f>
        <v>0</v>
      </c>
      <c r="J94" s="150">
        <f ca="1">IFERROR(SUMIFS(FACTURA!$T:$T,FACTURA!$AA:$AA,RESUMEN!$C94,FACTURA!$G:$G,RESUMEN!J$91),0)</f>
        <v>0</v>
      </c>
      <c r="K94" s="150">
        <f ca="1">IFERROR(SUMIFS(FACTURA!$T:$T,FACTURA!$AA:$AA,RESUMEN!$C94,FACTURA!$G:$G,RESUMEN!K$91),0)</f>
        <v>0</v>
      </c>
      <c r="L94" s="150">
        <f ca="1">IFERROR(SUMIFS(FACTURA!$T:$T,FACTURA!$AA:$AA,RESUMEN!$C94,FACTURA!$G:$G,RESUMEN!L$91),0)</f>
        <v>0</v>
      </c>
      <c r="M94" s="150">
        <f ca="1">IFERROR(SUMIFS(FACTURA!$T:$T,FACTURA!$AA:$AA,RESUMEN!$C94,FACTURA!$G:$G,RESUMEN!M$91),0)</f>
        <v>0</v>
      </c>
      <c r="N94" s="150">
        <f ca="1">IFERROR(SUMIFS(FACTURA!$T:$T,FACTURA!$AA:$AA,RESUMEN!$C94,FACTURA!$G:$G,RESUMEN!N$91),0)</f>
        <v>0</v>
      </c>
      <c r="O94" s="150">
        <f ca="1">IFERROR(SUMIFS(FACTURA!$T:$T,FACTURA!$AA:$AA,RESUMEN!$C94,FACTURA!$G:$G,RESUMEN!O$91),0)</f>
        <v>0</v>
      </c>
      <c r="P94" s="150">
        <f ca="1">IFERROR(SUMIFS(FACTURA!$T:$T,FACTURA!$AA:$AA,RESUMEN!$C94,FACTURA!$G:$G,RESUMEN!P$91),0)</f>
        <v>0</v>
      </c>
      <c r="Q94" s="150">
        <f ca="1">IFERROR(SUMIFS(FACTURA!$T:$T,FACTURA!$AA:$AA,RESUMEN!$C94,FACTURA!$G:$G,RESUMEN!Q$91),0)</f>
        <v>0</v>
      </c>
      <c r="R94" s="150">
        <f ca="1">IFERROR(SUMIFS(FACTURA!$T:$T,FACTURA!$AA:$AA,RESUMEN!$C94,FACTURA!$G:$G,RESUMEN!R$91),0)</f>
        <v>0</v>
      </c>
      <c r="S94" s="150">
        <f ca="1">IFERROR(SUMIFS(FACTURA!$T:$T,FACTURA!$AA:$AA,RESUMEN!$C94,FACTURA!$G:$G,RESUMEN!S$91),0)</f>
        <v>0</v>
      </c>
      <c r="T94" s="150">
        <f ca="1">IFERROR(SUMIFS(FACTURA!$T:$T,FACTURA!$AA:$AA,RESUMEN!$C94,FACTURA!$G:$G,RESUMEN!T$91),0)</f>
        <v>0</v>
      </c>
      <c r="U94" s="150">
        <f ca="1">IFERROR(SUMIFS(FACTURA!$T:$T,FACTURA!$AA:$AA,RESUMEN!$C94,FACTURA!$G:$G,RESUMEN!U$91),0)</f>
        <v>0</v>
      </c>
      <c r="V94" s="150">
        <f ca="1">IFERROR(SUMIFS(FACTURA!$T:$T,FACTURA!$AA:$AA,RESUMEN!$C94,FACTURA!$G:$G,RESUMEN!V$91),0)</f>
        <v>0</v>
      </c>
      <c r="W94" s="150">
        <f ca="1">IFERROR(SUMIFS(FACTURA!$T:$T,FACTURA!$AA:$AA,RESUMEN!$C94,FACTURA!$G:$G,RESUMEN!W$91),0)</f>
        <v>0</v>
      </c>
      <c r="X94" s="150">
        <f ca="1">IFERROR(SUMIFS(FACTURA!$T:$T,FACTURA!$AA:$AA,RESUMEN!$C94,FACTURA!$G:$G,RESUMEN!X$91),0)</f>
        <v>0</v>
      </c>
      <c r="Y94" s="150">
        <f ca="1">IFERROR(SUMIFS(FACTURA!$T:$T,FACTURA!$AA:$AA,RESUMEN!$C94,FACTURA!$G:$G,RESUMEN!Y$91),0)</f>
        <v>0</v>
      </c>
      <c r="Z94" s="150">
        <f ca="1">IFERROR(SUMIFS(FACTURA!$T:$T,FACTURA!$AA:$AA,RESUMEN!$C94,FACTURA!$G:$G,RESUMEN!Z$91),0)</f>
        <v>0</v>
      </c>
      <c r="AA94" s="150">
        <f ca="1">IFERROR(SUMIFS(FACTURA!$T:$T,FACTURA!$AA:$AA,RESUMEN!$C94,FACTURA!$G:$G,RESUMEN!AA$91),0)</f>
        <v>0</v>
      </c>
      <c r="AB94" s="150">
        <f ca="1">IFERROR(SUMIFS(FACTURA!$T:$T,FACTURA!$AA:$AA,RESUMEN!$C94,FACTURA!$G:$G,RESUMEN!AB$91),0)</f>
        <v>0</v>
      </c>
      <c r="AC94" s="150">
        <f ca="1">IFERROR(SUMIFS(FACTURA!$T:$T,FACTURA!$AA:$AA,RESUMEN!$C94,FACTURA!$G:$G,RESUMEN!AC$91),0)</f>
        <v>0</v>
      </c>
      <c r="AD94" s="150">
        <f ca="1">IFERROR(SUMIFS(FACTURA!$T:$T,FACTURA!$AA:$AA,RESUMEN!$C94,FACTURA!$G:$G,RESUMEN!AD$91),0)</f>
        <v>0</v>
      </c>
      <c r="AE94" s="150">
        <f ca="1">IFERROR(SUMIFS(FACTURA!$T:$T,FACTURA!$AA:$AA,RESUMEN!$C94,FACTURA!$G:$G,RESUMEN!AE$91),0)</f>
        <v>0</v>
      </c>
      <c r="AF94" s="150">
        <f ca="1">IFERROR(SUMIFS(FACTURA!$T:$T,FACTURA!$AA:$AA,RESUMEN!$C94,FACTURA!$G:$G,RESUMEN!AF$91),0)</f>
        <v>0</v>
      </c>
      <c r="AG94" s="150">
        <f ca="1">IFERROR(SUMIFS(FACTURA!$T:$T,FACTURA!$AA:$AA,RESUMEN!$C94,FACTURA!$G:$G,RESUMEN!AG$91),0)</f>
        <v>0</v>
      </c>
      <c r="AH94" s="150">
        <f ca="1">IFERROR(SUMIFS(FACTURA!$T:$T,FACTURA!$AA:$AA,RESUMEN!$C94,FACTURA!$G:$G,RESUMEN!AH$91),0)</f>
        <v>0</v>
      </c>
      <c r="AI94" s="150">
        <f ca="1">IFERROR(SUMIFS(FACTURA!$T:$T,FACTURA!$AA:$AA,RESUMEN!$C94,FACTURA!$G:$G,RESUMEN!AI$91),0)</f>
        <v>0</v>
      </c>
      <c r="AJ94" s="150">
        <f ca="1">IFERROR(SUMIFS(FACTURA!$T:$T,FACTURA!$AA:$AA,RESUMEN!$C94,FACTURA!$G:$G,RESUMEN!AJ$91),0)</f>
        <v>0</v>
      </c>
      <c r="AK94" s="16"/>
      <c r="AL94" s="16"/>
      <c r="AM94" s="16"/>
      <c r="AN94" s="16"/>
      <c r="AO94" s="16"/>
      <c r="AP94" s="16"/>
      <c r="AQ94" s="16"/>
      <c r="AR94" s="16"/>
    </row>
    <row r="95" spans="2:44" x14ac:dyDescent="0.25">
      <c r="B95" s="238">
        <f t="shared" si="50"/>
        <v>4</v>
      </c>
      <c r="C95" s="17" t="str">
        <f t="shared" si="50"/>
        <v xml:space="preserve">- </v>
      </c>
      <c r="D95" s="58" t="str">
        <f t="shared" si="50"/>
        <v/>
      </c>
      <c r="E95" s="4"/>
      <c r="F95" s="8">
        <f ca="1">IFERROR(SUMIFS(FACTURA!$T:$T,FACTURA!$AA:$AA,RESUMEN!$C95,FACTURA!$G:$G,RESUMEN!F$91),0)</f>
        <v>0</v>
      </c>
      <c r="G95" s="8">
        <f ca="1">IFERROR(SUMIFS(FACTURA!$T:$T,FACTURA!$AA:$AA,RESUMEN!$C95,FACTURA!$G:$G,RESUMEN!G$91),0)</f>
        <v>0</v>
      </c>
      <c r="H95" s="8">
        <f ca="1">IFERROR(SUMIFS(FACTURA!$T:$T,FACTURA!$AA:$AA,RESUMEN!$C95,FACTURA!$G:$G,RESUMEN!H$91),0)</f>
        <v>0</v>
      </c>
      <c r="I95" s="8">
        <f ca="1">IFERROR(SUMIFS(FACTURA!$T:$T,FACTURA!$AA:$AA,RESUMEN!$C95,FACTURA!$G:$G,RESUMEN!I$91),0)</f>
        <v>0</v>
      </c>
      <c r="J95" s="8">
        <f ca="1">IFERROR(SUMIFS(FACTURA!$T:$T,FACTURA!$AA:$AA,RESUMEN!$C95,FACTURA!$G:$G,RESUMEN!J$91),0)</f>
        <v>0</v>
      </c>
      <c r="K95" s="8">
        <f ca="1">IFERROR(SUMIFS(FACTURA!$T:$T,FACTURA!$AA:$AA,RESUMEN!$C95,FACTURA!$G:$G,RESUMEN!K$91),0)</f>
        <v>0</v>
      </c>
      <c r="L95" s="8">
        <f ca="1">IFERROR(SUMIFS(FACTURA!$T:$T,FACTURA!$AA:$AA,RESUMEN!$C95,FACTURA!$G:$G,RESUMEN!L$91),0)</f>
        <v>0</v>
      </c>
      <c r="M95" s="8">
        <f ca="1">IFERROR(SUMIFS(FACTURA!$T:$T,FACTURA!$AA:$AA,RESUMEN!$C95,FACTURA!$G:$G,RESUMEN!M$91),0)</f>
        <v>0</v>
      </c>
      <c r="N95" s="8">
        <f ca="1">IFERROR(SUMIFS(FACTURA!$T:$T,FACTURA!$AA:$AA,RESUMEN!$C95,FACTURA!$G:$G,RESUMEN!N$91),0)</f>
        <v>0</v>
      </c>
      <c r="O95" s="8">
        <f ca="1">IFERROR(SUMIFS(FACTURA!$T:$T,FACTURA!$AA:$AA,RESUMEN!$C95,FACTURA!$G:$G,RESUMEN!O$91),0)</f>
        <v>0</v>
      </c>
      <c r="P95" s="8">
        <f ca="1">IFERROR(SUMIFS(FACTURA!$T:$T,FACTURA!$AA:$AA,RESUMEN!$C95,FACTURA!$G:$G,RESUMEN!P$91),0)</f>
        <v>0</v>
      </c>
      <c r="Q95" s="8">
        <f ca="1">IFERROR(SUMIFS(FACTURA!$T:$T,FACTURA!$AA:$AA,RESUMEN!$C95,FACTURA!$G:$G,RESUMEN!Q$91),0)</f>
        <v>0</v>
      </c>
      <c r="R95" s="8">
        <f ca="1">IFERROR(SUMIFS(FACTURA!$T:$T,FACTURA!$AA:$AA,RESUMEN!$C95,FACTURA!$G:$G,RESUMEN!R$91),0)</f>
        <v>0</v>
      </c>
      <c r="S95" s="8">
        <f ca="1">IFERROR(SUMIFS(FACTURA!$T:$T,FACTURA!$AA:$AA,RESUMEN!$C95,FACTURA!$G:$G,RESUMEN!S$91),0)</f>
        <v>0</v>
      </c>
      <c r="T95" s="8">
        <f ca="1">IFERROR(SUMIFS(FACTURA!$T:$T,FACTURA!$AA:$AA,RESUMEN!$C95,FACTURA!$G:$G,RESUMEN!T$91),0)</f>
        <v>0</v>
      </c>
      <c r="U95" s="8">
        <f ca="1">IFERROR(SUMIFS(FACTURA!$T:$T,FACTURA!$AA:$AA,RESUMEN!$C95,FACTURA!$G:$G,RESUMEN!U$91),0)</f>
        <v>0</v>
      </c>
      <c r="V95" s="8">
        <f ca="1">IFERROR(SUMIFS(FACTURA!$T:$T,FACTURA!$AA:$AA,RESUMEN!$C95,FACTURA!$G:$G,RESUMEN!V$91),0)</f>
        <v>0</v>
      </c>
      <c r="W95" s="8">
        <f ca="1">IFERROR(SUMIFS(FACTURA!$T:$T,FACTURA!$AA:$AA,RESUMEN!$C95,FACTURA!$G:$G,RESUMEN!W$91),0)</f>
        <v>0</v>
      </c>
      <c r="X95" s="8">
        <f ca="1">IFERROR(SUMIFS(FACTURA!$T:$T,FACTURA!$AA:$AA,RESUMEN!$C95,FACTURA!$G:$G,RESUMEN!X$91),0)</f>
        <v>0</v>
      </c>
      <c r="Y95" s="8">
        <f ca="1">IFERROR(SUMIFS(FACTURA!$T:$T,FACTURA!$AA:$AA,RESUMEN!$C95,FACTURA!$G:$G,RESUMEN!Y$91),0)</f>
        <v>0</v>
      </c>
      <c r="Z95" s="8">
        <f ca="1">IFERROR(SUMIFS(FACTURA!$T:$T,FACTURA!$AA:$AA,RESUMEN!$C95,FACTURA!$G:$G,RESUMEN!Z$91),0)</f>
        <v>0</v>
      </c>
      <c r="AA95" s="8">
        <f ca="1">IFERROR(SUMIFS(FACTURA!$T:$T,FACTURA!$AA:$AA,RESUMEN!$C95,FACTURA!$G:$G,RESUMEN!AA$91),0)</f>
        <v>0</v>
      </c>
      <c r="AB95" s="8">
        <f ca="1">IFERROR(SUMIFS(FACTURA!$T:$T,FACTURA!$AA:$AA,RESUMEN!$C95,FACTURA!$G:$G,RESUMEN!AB$91),0)</f>
        <v>0</v>
      </c>
      <c r="AC95" s="8">
        <f ca="1">IFERROR(SUMIFS(FACTURA!$T:$T,FACTURA!$AA:$AA,RESUMEN!$C95,FACTURA!$G:$G,RESUMEN!AC$91),0)</f>
        <v>0</v>
      </c>
      <c r="AD95" s="8">
        <f ca="1">IFERROR(SUMIFS(FACTURA!$T:$T,FACTURA!$AA:$AA,RESUMEN!$C95,FACTURA!$G:$G,RESUMEN!AD$91),0)</f>
        <v>0</v>
      </c>
      <c r="AE95" s="8">
        <f ca="1">IFERROR(SUMIFS(FACTURA!$T:$T,FACTURA!$AA:$AA,RESUMEN!$C95,FACTURA!$G:$G,RESUMEN!AE$91),0)</f>
        <v>0</v>
      </c>
      <c r="AF95" s="8">
        <f ca="1">IFERROR(SUMIFS(FACTURA!$T:$T,FACTURA!$AA:$AA,RESUMEN!$C95,FACTURA!$G:$G,RESUMEN!AF$91),0)</f>
        <v>0</v>
      </c>
      <c r="AG95" s="8">
        <f ca="1">IFERROR(SUMIFS(FACTURA!$T:$T,FACTURA!$AA:$AA,RESUMEN!$C95,FACTURA!$G:$G,RESUMEN!AG$91),0)</f>
        <v>0</v>
      </c>
      <c r="AH95" s="8">
        <f ca="1">IFERROR(SUMIFS(FACTURA!$T:$T,FACTURA!$AA:$AA,RESUMEN!$C95,FACTURA!$G:$G,RESUMEN!AH$91),0)</f>
        <v>0</v>
      </c>
      <c r="AI95" s="8">
        <f ca="1">IFERROR(SUMIFS(FACTURA!$T:$T,FACTURA!$AA:$AA,RESUMEN!$C95,FACTURA!$G:$G,RESUMEN!AI$91),0)</f>
        <v>0</v>
      </c>
      <c r="AJ95" s="8">
        <f ca="1">IFERROR(SUMIFS(FACTURA!$T:$T,FACTURA!$AA:$AA,RESUMEN!$C95,FACTURA!$G:$G,RESUMEN!AJ$91),0)</f>
        <v>0</v>
      </c>
      <c r="AK95" s="31"/>
      <c r="AL95" s="31"/>
      <c r="AM95" s="31"/>
      <c r="AN95" s="31"/>
      <c r="AO95" s="31"/>
      <c r="AP95" s="31"/>
      <c r="AQ95" s="31"/>
      <c r="AR95" s="31"/>
    </row>
    <row r="96" spans="2:44" x14ac:dyDescent="0.25">
      <c r="B96" s="238">
        <f t="shared" si="50"/>
        <v>5</v>
      </c>
      <c r="C96" s="17" t="str">
        <f t="shared" si="50"/>
        <v xml:space="preserve">- </v>
      </c>
      <c r="D96" s="58" t="str">
        <f t="shared" si="50"/>
        <v/>
      </c>
      <c r="E96" s="4"/>
      <c r="F96" s="8">
        <f ca="1">IFERROR(SUMIFS(FACTURA!$T:$T,FACTURA!$AA:$AA,RESUMEN!$C96,FACTURA!$G:$G,RESUMEN!F$91),0)</f>
        <v>0</v>
      </c>
      <c r="G96" s="8">
        <f ca="1">IFERROR(SUMIFS(FACTURA!$T:$T,FACTURA!$AA:$AA,RESUMEN!$C96,FACTURA!$G:$G,RESUMEN!G$91),0)</f>
        <v>0</v>
      </c>
      <c r="H96" s="8">
        <f ca="1">IFERROR(SUMIFS(FACTURA!$T:$T,FACTURA!$AA:$AA,RESUMEN!$C96,FACTURA!$G:$G,RESUMEN!H$91),0)</f>
        <v>0</v>
      </c>
      <c r="I96" s="8">
        <f ca="1">IFERROR(SUMIFS(FACTURA!$T:$T,FACTURA!$AA:$AA,RESUMEN!$C96,FACTURA!$G:$G,RESUMEN!I$91),0)</f>
        <v>0</v>
      </c>
      <c r="J96" s="8">
        <f ca="1">IFERROR(SUMIFS(FACTURA!$T:$T,FACTURA!$AA:$AA,RESUMEN!$C96,FACTURA!$G:$G,RESUMEN!J$91),0)</f>
        <v>0</v>
      </c>
      <c r="K96" s="8">
        <f ca="1">IFERROR(SUMIFS(FACTURA!$T:$T,FACTURA!$AA:$AA,RESUMEN!$C96,FACTURA!$G:$G,RESUMEN!K$91),0)</f>
        <v>0</v>
      </c>
      <c r="L96" s="8">
        <f ca="1">IFERROR(SUMIFS(FACTURA!$T:$T,FACTURA!$AA:$AA,RESUMEN!$C96,FACTURA!$G:$G,RESUMEN!L$91),0)</f>
        <v>0</v>
      </c>
      <c r="M96" s="8">
        <f ca="1">IFERROR(SUMIFS(FACTURA!$T:$T,FACTURA!$AA:$AA,RESUMEN!$C96,FACTURA!$G:$G,RESUMEN!M$91),0)</f>
        <v>0</v>
      </c>
      <c r="N96" s="8">
        <f ca="1">IFERROR(SUMIFS(FACTURA!$T:$T,FACTURA!$AA:$AA,RESUMEN!$C96,FACTURA!$G:$G,RESUMEN!N$91),0)</f>
        <v>0</v>
      </c>
      <c r="O96" s="8">
        <f ca="1">IFERROR(SUMIFS(FACTURA!$T:$T,FACTURA!$AA:$AA,RESUMEN!$C96,FACTURA!$G:$G,RESUMEN!O$91),0)</f>
        <v>0</v>
      </c>
      <c r="P96" s="8">
        <f ca="1">IFERROR(SUMIFS(FACTURA!$T:$T,FACTURA!$AA:$AA,RESUMEN!$C96,FACTURA!$G:$G,RESUMEN!P$91),0)</f>
        <v>0</v>
      </c>
      <c r="Q96" s="8">
        <f ca="1">IFERROR(SUMIFS(FACTURA!$T:$T,FACTURA!$AA:$AA,RESUMEN!$C96,FACTURA!$G:$G,RESUMEN!Q$91),0)</f>
        <v>0</v>
      </c>
      <c r="R96" s="8">
        <f ca="1">IFERROR(SUMIFS(FACTURA!$T:$T,FACTURA!$AA:$AA,RESUMEN!$C96,FACTURA!$G:$G,RESUMEN!R$91),0)</f>
        <v>0</v>
      </c>
      <c r="S96" s="8">
        <f ca="1">IFERROR(SUMIFS(FACTURA!$T:$T,FACTURA!$AA:$AA,RESUMEN!$C96,FACTURA!$G:$G,RESUMEN!S$91),0)</f>
        <v>0</v>
      </c>
      <c r="T96" s="8">
        <f ca="1">IFERROR(SUMIFS(FACTURA!$T:$T,FACTURA!$AA:$AA,RESUMEN!$C96,FACTURA!$G:$G,RESUMEN!T$91),0)</f>
        <v>0</v>
      </c>
      <c r="U96" s="8">
        <f ca="1">IFERROR(SUMIFS(FACTURA!$T:$T,FACTURA!$AA:$AA,RESUMEN!$C96,FACTURA!$G:$G,RESUMEN!U$91),0)</f>
        <v>0</v>
      </c>
      <c r="V96" s="8">
        <f ca="1">IFERROR(SUMIFS(FACTURA!$T:$T,FACTURA!$AA:$AA,RESUMEN!$C96,FACTURA!$G:$G,RESUMEN!V$91),0)</f>
        <v>0</v>
      </c>
      <c r="W96" s="8">
        <f ca="1">IFERROR(SUMIFS(FACTURA!$T:$T,FACTURA!$AA:$AA,RESUMEN!$C96,FACTURA!$G:$G,RESUMEN!W$91),0)</f>
        <v>0</v>
      </c>
      <c r="X96" s="8">
        <f ca="1">IFERROR(SUMIFS(FACTURA!$T:$T,FACTURA!$AA:$AA,RESUMEN!$C96,FACTURA!$G:$G,RESUMEN!X$91),0)</f>
        <v>0</v>
      </c>
      <c r="Y96" s="8">
        <f ca="1">IFERROR(SUMIFS(FACTURA!$T:$T,FACTURA!$AA:$AA,RESUMEN!$C96,FACTURA!$G:$G,RESUMEN!Y$91),0)</f>
        <v>0</v>
      </c>
      <c r="Z96" s="8">
        <f ca="1">IFERROR(SUMIFS(FACTURA!$T:$T,FACTURA!$AA:$AA,RESUMEN!$C96,FACTURA!$G:$G,RESUMEN!Z$91),0)</f>
        <v>0</v>
      </c>
      <c r="AA96" s="8">
        <f ca="1">IFERROR(SUMIFS(FACTURA!$T:$T,FACTURA!$AA:$AA,RESUMEN!$C96,FACTURA!$G:$G,RESUMEN!AA$91),0)</f>
        <v>0</v>
      </c>
      <c r="AB96" s="8">
        <f ca="1">IFERROR(SUMIFS(FACTURA!$T:$T,FACTURA!$AA:$AA,RESUMEN!$C96,FACTURA!$G:$G,RESUMEN!AB$91),0)</f>
        <v>0</v>
      </c>
      <c r="AC96" s="8">
        <f ca="1">IFERROR(SUMIFS(FACTURA!$T:$T,FACTURA!$AA:$AA,RESUMEN!$C96,FACTURA!$G:$G,RESUMEN!AC$91),0)</f>
        <v>0</v>
      </c>
      <c r="AD96" s="8">
        <f ca="1">IFERROR(SUMIFS(FACTURA!$T:$T,FACTURA!$AA:$AA,RESUMEN!$C96,FACTURA!$G:$G,RESUMEN!AD$91),0)</f>
        <v>0</v>
      </c>
      <c r="AE96" s="8">
        <f ca="1">IFERROR(SUMIFS(FACTURA!$T:$T,FACTURA!$AA:$AA,RESUMEN!$C96,FACTURA!$G:$G,RESUMEN!AE$91),0)</f>
        <v>0</v>
      </c>
      <c r="AF96" s="8">
        <f ca="1">IFERROR(SUMIFS(FACTURA!$T:$T,FACTURA!$AA:$AA,RESUMEN!$C96,FACTURA!$G:$G,RESUMEN!AF$91),0)</f>
        <v>0</v>
      </c>
      <c r="AG96" s="8">
        <f ca="1">IFERROR(SUMIFS(FACTURA!$T:$T,FACTURA!$AA:$AA,RESUMEN!$C96,FACTURA!$G:$G,RESUMEN!AG$91),0)</f>
        <v>0</v>
      </c>
      <c r="AH96" s="8">
        <f ca="1">IFERROR(SUMIFS(FACTURA!$T:$T,FACTURA!$AA:$AA,RESUMEN!$C96,FACTURA!$G:$G,RESUMEN!AH$91),0)</f>
        <v>0</v>
      </c>
      <c r="AI96" s="8">
        <f ca="1">IFERROR(SUMIFS(FACTURA!$T:$T,FACTURA!$AA:$AA,RESUMEN!$C96,FACTURA!$G:$G,RESUMEN!AI$91),0)</f>
        <v>0</v>
      </c>
      <c r="AJ96" s="8">
        <f ca="1">IFERROR(SUMIFS(FACTURA!$T:$T,FACTURA!$AA:$AA,RESUMEN!$C96,FACTURA!$G:$G,RESUMEN!AJ$91),0)</f>
        <v>0</v>
      </c>
      <c r="AK96" s="31"/>
      <c r="AL96" s="31"/>
      <c r="AM96" s="31"/>
      <c r="AN96" s="31"/>
      <c r="AO96" s="31"/>
      <c r="AP96" s="31"/>
      <c r="AQ96" s="31"/>
      <c r="AR96" s="31"/>
    </row>
    <row r="97" spans="2:44" x14ac:dyDescent="0.25">
      <c r="B97" s="238">
        <f t="shared" si="50"/>
        <v>6</v>
      </c>
      <c r="C97" s="17" t="str">
        <f t="shared" si="50"/>
        <v xml:space="preserve">- </v>
      </c>
      <c r="D97" s="58" t="str">
        <f t="shared" si="50"/>
        <v/>
      </c>
      <c r="E97" s="4"/>
      <c r="F97" s="8">
        <f ca="1">IFERROR(SUMIFS(FACTURA!$T:$T,FACTURA!$AA:$AA,RESUMEN!$C97,FACTURA!$G:$G,RESUMEN!F$91),0)</f>
        <v>0</v>
      </c>
      <c r="G97" s="8">
        <f ca="1">IFERROR(SUMIFS(FACTURA!$T:$T,FACTURA!$AA:$AA,RESUMEN!$C97,FACTURA!$G:$G,RESUMEN!G$91),0)</f>
        <v>0</v>
      </c>
      <c r="H97" s="8">
        <f ca="1">IFERROR(SUMIFS(FACTURA!$T:$T,FACTURA!$AA:$AA,RESUMEN!$C97,FACTURA!$G:$G,RESUMEN!H$91),0)</f>
        <v>0</v>
      </c>
      <c r="I97" s="8">
        <f ca="1">IFERROR(SUMIFS(FACTURA!$T:$T,FACTURA!$AA:$AA,RESUMEN!$C97,FACTURA!$G:$G,RESUMEN!I$91),0)</f>
        <v>0</v>
      </c>
      <c r="J97" s="8">
        <f ca="1">IFERROR(SUMIFS(FACTURA!$T:$T,FACTURA!$AA:$AA,RESUMEN!$C97,FACTURA!$G:$G,RESUMEN!J$91),0)</f>
        <v>0</v>
      </c>
      <c r="K97" s="8">
        <f ca="1">IFERROR(SUMIFS(FACTURA!$T:$T,FACTURA!$AA:$AA,RESUMEN!$C97,FACTURA!$G:$G,RESUMEN!K$91),0)</f>
        <v>0</v>
      </c>
      <c r="L97" s="8">
        <f ca="1">IFERROR(SUMIFS(FACTURA!$T:$T,FACTURA!$AA:$AA,RESUMEN!$C97,FACTURA!$G:$G,RESUMEN!L$91),0)</f>
        <v>0</v>
      </c>
      <c r="M97" s="8">
        <f ca="1">IFERROR(SUMIFS(FACTURA!$T:$T,FACTURA!$AA:$AA,RESUMEN!$C97,FACTURA!$G:$G,RESUMEN!M$91),0)</f>
        <v>0</v>
      </c>
      <c r="N97" s="8">
        <f ca="1">IFERROR(SUMIFS(FACTURA!$T:$T,FACTURA!$AA:$AA,RESUMEN!$C97,FACTURA!$G:$G,RESUMEN!N$91),0)</f>
        <v>0</v>
      </c>
      <c r="O97" s="8">
        <f ca="1">IFERROR(SUMIFS(FACTURA!$T:$T,FACTURA!$AA:$AA,RESUMEN!$C97,FACTURA!$G:$G,RESUMEN!O$91),0)</f>
        <v>0</v>
      </c>
      <c r="P97" s="8">
        <f ca="1">IFERROR(SUMIFS(FACTURA!$T:$T,FACTURA!$AA:$AA,RESUMEN!$C97,FACTURA!$G:$G,RESUMEN!P$91),0)</f>
        <v>0</v>
      </c>
      <c r="Q97" s="8">
        <f ca="1">IFERROR(SUMIFS(FACTURA!$T:$T,FACTURA!$AA:$AA,RESUMEN!$C97,FACTURA!$G:$G,RESUMEN!Q$91),0)</f>
        <v>0</v>
      </c>
      <c r="R97" s="8">
        <f ca="1">IFERROR(SUMIFS(FACTURA!$T:$T,FACTURA!$AA:$AA,RESUMEN!$C97,FACTURA!$G:$G,RESUMEN!R$91),0)</f>
        <v>0</v>
      </c>
      <c r="S97" s="8">
        <f ca="1">IFERROR(SUMIFS(FACTURA!$T:$T,FACTURA!$AA:$AA,RESUMEN!$C97,FACTURA!$G:$G,RESUMEN!S$91),0)</f>
        <v>0</v>
      </c>
      <c r="T97" s="8">
        <f ca="1">IFERROR(SUMIFS(FACTURA!$T:$T,FACTURA!$AA:$AA,RESUMEN!$C97,FACTURA!$G:$G,RESUMEN!T$91),0)</f>
        <v>0</v>
      </c>
      <c r="U97" s="8">
        <f ca="1">IFERROR(SUMIFS(FACTURA!$T:$T,FACTURA!$AA:$AA,RESUMEN!$C97,FACTURA!$G:$G,RESUMEN!U$91),0)</f>
        <v>0</v>
      </c>
      <c r="V97" s="8">
        <f ca="1">IFERROR(SUMIFS(FACTURA!$T:$T,FACTURA!$AA:$AA,RESUMEN!$C97,FACTURA!$G:$G,RESUMEN!V$91),0)</f>
        <v>0</v>
      </c>
      <c r="W97" s="8">
        <f ca="1">IFERROR(SUMIFS(FACTURA!$T:$T,FACTURA!$AA:$AA,RESUMEN!$C97,FACTURA!$G:$G,RESUMEN!W$91),0)</f>
        <v>0</v>
      </c>
      <c r="X97" s="8">
        <f ca="1">IFERROR(SUMIFS(FACTURA!$T:$T,FACTURA!$AA:$AA,RESUMEN!$C97,FACTURA!$G:$G,RESUMEN!X$91),0)</f>
        <v>0</v>
      </c>
      <c r="Y97" s="8">
        <f ca="1">IFERROR(SUMIFS(FACTURA!$T:$T,FACTURA!$AA:$AA,RESUMEN!$C97,FACTURA!$G:$G,RESUMEN!Y$91),0)</f>
        <v>0</v>
      </c>
      <c r="Z97" s="8">
        <f ca="1">IFERROR(SUMIFS(FACTURA!$T:$T,FACTURA!$AA:$AA,RESUMEN!$C97,FACTURA!$G:$G,RESUMEN!Z$91),0)</f>
        <v>0</v>
      </c>
      <c r="AA97" s="8">
        <f ca="1">IFERROR(SUMIFS(FACTURA!$T:$T,FACTURA!$AA:$AA,RESUMEN!$C97,FACTURA!$G:$G,RESUMEN!AA$91),0)</f>
        <v>0</v>
      </c>
      <c r="AB97" s="8">
        <f ca="1">IFERROR(SUMIFS(FACTURA!$T:$T,FACTURA!$AA:$AA,RESUMEN!$C97,FACTURA!$G:$G,RESUMEN!AB$91),0)</f>
        <v>0</v>
      </c>
      <c r="AC97" s="8">
        <f ca="1">IFERROR(SUMIFS(FACTURA!$T:$T,FACTURA!$AA:$AA,RESUMEN!$C97,FACTURA!$G:$G,RESUMEN!AC$91),0)</f>
        <v>0</v>
      </c>
      <c r="AD97" s="8">
        <f ca="1">IFERROR(SUMIFS(FACTURA!$T:$T,FACTURA!$AA:$AA,RESUMEN!$C97,FACTURA!$G:$G,RESUMEN!AD$91),0)</f>
        <v>0</v>
      </c>
      <c r="AE97" s="8">
        <f ca="1">IFERROR(SUMIFS(FACTURA!$T:$T,FACTURA!$AA:$AA,RESUMEN!$C97,FACTURA!$G:$G,RESUMEN!AE$91),0)</f>
        <v>0</v>
      </c>
      <c r="AF97" s="8">
        <f ca="1">IFERROR(SUMIFS(FACTURA!$T:$T,FACTURA!$AA:$AA,RESUMEN!$C97,FACTURA!$G:$G,RESUMEN!AF$91),0)</f>
        <v>0</v>
      </c>
      <c r="AG97" s="8">
        <f ca="1">IFERROR(SUMIFS(FACTURA!$T:$T,FACTURA!$AA:$AA,RESUMEN!$C97,FACTURA!$G:$G,RESUMEN!AG$91),0)</f>
        <v>0</v>
      </c>
      <c r="AH97" s="8">
        <f ca="1">IFERROR(SUMIFS(FACTURA!$T:$T,FACTURA!$AA:$AA,RESUMEN!$C97,FACTURA!$G:$G,RESUMEN!AH$91),0)</f>
        <v>0</v>
      </c>
      <c r="AI97" s="8">
        <f ca="1">IFERROR(SUMIFS(FACTURA!$T:$T,FACTURA!$AA:$AA,RESUMEN!$C97,FACTURA!$G:$G,RESUMEN!AI$91),0)</f>
        <v>0</v>
      </c>
      <c r="AJ97" s="8">
        <f ca="1">IFERROR(SUMIFS(FACTURA!$T:$T,FACTURA!$AA:$AA,RESUMEN!$C97,FACTURA!$G:$G,RESUMEN!AJ$91),0)</f>
        <v>0</v>
      </c>
      <c r="AK97" s="31"/>
      <c r="AL97" s="31"/>
      <c r="AM97" s="31"/>
      <c r="AN97" s="31"/>
      <c r="AO97" s="31"/>
      <c r="AP97" s="31"/>
      <c r="AQ97" s="31"/>
      <c r="AR97" s="31"/>
    </row>
    <row r="98" spans="2:44" x14ac:dyDescent="0.25">
      <c r="B98" s="238">
        <f t="shared" si="50"/>
        <v>7</v>
      </c>
      <c r="C98" s="17" t="str">
        <f t="shared" si="50"/>
        <v xml:space="preserve">- </v>
      </c>
      <c r="D98" s="58" t="str">
        <f t="shared" si="50"/>
        <v/>
      </c>
      <c r="E98" s="4"/>
      <c r="F98" s="8">
        <f ca="1">IFERROR(SUMIFS(FACTURA!$T:$T,FACTURA!$AA:$AA,RESUMEN!$C98,FACTURA!$G:$G,RESUMEN!F$91),0)</f>
        <v>0</v>
      </c>
      <c r="G98" s="8">
        <f ca="1">IFERROR(SUMIFS(FACTURA!$T:$T,FACTURA!$AA:$AA,RESUMEN!$C98,FACTURA!$G:$G,RESUMEN!G$91),0)</f>
        <v>0</v>
      </c>
      <c r="H98" s="8">
        <f ca="1">IFERROR(SUMIFS(FACTURA!$T:$T,FACTURA!$AA:$AA,RESUMEN!$C98,FACTURA!$G:$G,RESUMEN!H$91),0)</f>
        <v>0</v>
      </c>
      <c r="I98" s="8">
        <f ca="1">IFERROR(SUMIFS(FACTURA!$T:$T,FACTURA!$AA:$AA,RESUMEN!$C98,FACTURA!$G:$G,RESUMEN!I$91),0)</f>
        <v>0</v>
      </c>
      <c r="J98" s="8">
        <f ca="1">IFERROR(SUMIFS(FACTURA!$T:$T,FACTURA!$AA:$AA,RESUMEN!$C98,FACTURA!$G:$G,RESUMEN!J$91),0)</f>
        <v>0</v>
      </c>
      <c r="K98" s="8">
        <f ca="1">IFERROR(SUMIFS(FACTURA!$T:$T,FACTURA!$AA:$AA,RESUMEN!$C98,FACTURA!$G:$G,RESUMEN!K$91),0)</f>
        <v>0</v>
      </c>
      <c r="L98" s="8">
        <f ca="1">IFERROR(SUMIFS(FACTURA!$T:$T,FACTURA!$AA:$AA,RESUMEN!$C98,FACTURA!$G:$G,RESUMEN!L$91),0)</f>
        <v>0</v>
      </c>
      <c r="M98" s="8">
        <f ca="1">IFERROR(SUMIFS(FACTURA!$T:$T,FACTURA!$AA:$AA,RESUMEN!$C98,FACTURA!$G:$G,RESUMEN!M$91),0)</f>
        <v>0</v>
      </c>
      <c r="N98" s="8">
        <f ca="1">IFERROR(SUMIFS(FACTURA!$T:$T,FACTURA!$AA:$AA,RESUMEN!$C98,FACTURA!$G:$G,RESUMEN!N$91),0)</f>
        <v>0</v>
      </c>
      <c r="O98" s="8">
        <f ca="1">IFERROR(SUMIFS(FACTURA!$T:$T,FACTURA!$AA:$AA,RESUMEN!$C98,FACTURA!$G:$G,RESUMEN!O$91),0)</f>
        <v>0</v>
      </c>
      <c r="P98" s="8">
        <f ca="1">IFERROR(SUMIFS(FACTURA!$T:$T,FACTURA!$AA:$AA,RESUMEN!$C98,FACTURA!$G:$G,RESUMEN!P$91),0)</f>
        <v>0</v>
      </c>
      <c r="Q98" s="8">
        <f ca="1">IFERROR(SUMIFS(FACTURA!$T:$T,FACTURA!$AA:$AA,RESUMEN!$C98,FACTURA!$G:$G,RESUMEN!Q$91),0)</f>
        <v>0</v>
      </c>
      <c r="R98" s="8">
        <f ca="1">IFERROR(SUMIFS(FACTURA!$T:$T,FACTURA!$AA:$AA,RESUMEN!$C98,FACTURA!$G:$G,RESUMEN!R$91),0)</f>
        <v>0</v>
      </c>
      <c r="S98" s="8">
        <f ca="1">IFERROR(SUMIFS(FACTURA!$T:$T,FACTURA!$AA:$AA,RESUMEN!$C98,FACTURA!$G:$G,RESUMEN!S$91),0)</f>
        <v>0</v>
      </c>
      <c r="T98" s="8">
        <f ca="1">IFERROR(SUMIFS(FACTURA!$T:$T,FACTURA!$AA:$AA,RESUMEN!$C98,FACTURA!$G:$G,RESUMEN!T$91),0)</f>
        <v>0</v>
      </c>
      <c r="U98" s="8">
        <f ca="1">IFERROR(SUMIFS(FACTURA!$T:$T,FACTURA!$AA:$AA,RESUMEN!$C98,FACTURA!$G:$G,RESUMEN!U$91),0)</f>
        <v>0</v>
      </c>
      <c r="V98" s="8">
        <f ca="1">IFERROR(SUMIFS(FACTURA!$T:$T,FACTURA!$AA:$AA,RESUMEN!$C98,FACTURA!$G:$G,RESUMEN!V$91),0)</f>
        <v>0</v>
      </c>
      <c r="W98" s="8">
        <f ca="1">IFERROR(SUMIFS(FACTURA!$T:$T,FACTURA!$AA:$AA,RESUMEN!$C98,FACTURA!$G:$G,RESUMEN!W$91),0)</f>
        <v>0</v>
      </c>
      <c r="X98" s="8">
        <f ca="1">IFERROR(SUMIFS(FACTURA!$T:$T,FACTURA!$AA:$AA,RESUMEN!$C98,FACTURA!$G:$G,RESUMEN!X$91),0)</f>
        <v>0</v>
      </c>
      <c r="Y98" s="8">
        <f ca="1">IFERROR(SUMIFS(FACTURA!$T:$T,FACTURA!$AA:$AA,RESUMEN!$C98,FACTURA!$G:$G,RESUMEN!Y$91),0)</f>
        <v>0</v>
      </c>
      <c r="Z98" s="8">
        <f ca="1">IFERROR(SUMIFS(FACTURA!$T:$T,FACTURA!$AA:$AA,RESUMEN!$C98,FACTURA!$G:$G,RESUMEN!Z$91),0)</f>
        <v>0</v>
      </c>
      <c r="AA98" s="8">
        <f ca="1">IFERROR(SUMIFS(FACTURA!$T:$T,FACTURA!$AA:$AA,RESUMEN!$C98,FACTURA!$G:$G,RESUMEN!AA$91),0)</f>
        <v>0</v>
      </c>
      <c r="AB98" s="8">
        <f ca="1">IFERROR(SUMIFS(FACTURA!$T:$T,FACTURA!$AA:$AA,RESUMEN!$C98,FACTURA!$G:$G,RESUMEN!AB$91),0)</f>
        <v>0</v>
      </c>
      <c r="AC98" s="8">
        <f ca="1">IFERROR(SUMIFS(FACTURA!$T:$T,FACTURA!$AA:$AA,RESUMEN!$C98,FACTURA!$G:$G,RESUMEN!AC$91),0)</f>
        <v>0</v>
      </c>
      <c r="AD98" s="8">
        <f ca="1">IFERROR(SUMIFS(FACTURA!$T:$T,FACTURA!$AA:$AA,RESUMEN!$C98,FACTURA!$G:$G,RESUMEN!AD$91),0)</f>
        <v>0</v>
      </c>
      <c r="AE98" s="8">
        <f ca="1">IFERROR(SUMIFS(FACTURA!$T:$T,FACTURA!$AA:$AA,RESUMEN!$C98,FACTURA!$G:$G,RESUMEN!AE$91),0)</f>
        <v>0</v>
      </c>
      <c r="AF98" s="8">
        <f ca="1">IFERROR(SUMIFS(FACTURA!$T:$T,FACTURA!$AA:$AA,RESUMEN!$C98,FACTURA!$G:$G,RESUMEN!AF$91),0)</f>
        <v>0</v>
      </c>
      <c r="AG98" s="8">
        <f ca="1">IFERROR(SUMIFS(FACTURA!$T:$T,FACTURA!$AA:$AA,RESUMEN!$C98,FACTURA!$G:$G,RESUMEN!AG$91),0)</f>
        <v>0</v>
      </c>
      <c r="AH98" s="8">
        <f ca="1">IFERROR(SUMIFS(FACTURA!$T:$T,FACTURA!$AA:$AA,RESUMEN!$C98,FACTURA!$G:$G,RESUMEN!AH$91),0)</f>
        <v>0</v>
      </c>
      <c r="AI98" s="8">
        <f ca="1">IFERROR(SUMIFS(FACTURA!$T:$T,FACTURA!$AA:$AA,RESUMEN!$C98,FACTURA!$G:$G,RESUMEN!AI$91),0)</f>
        <v>0</v>
      </c>
      <c r="AJ98" s="8">
        <f ca="1">IFERROR(SUMIFS(FACTURA!$T:$T,FACTURA!$AA:$AA,RESUMEN!$C98,FACTURA!$G:$G,RESUMEN!AJ$91),0)</f>
        <v>0</v>
      </c>
      <c r="AK98" s="31"/>
      <c r="AL98" s="31"/>
      <c r="AM98" s="31"/>
      <c r="AN98" s="31"/>
      <c r="AO98" s="31"/>
      <c r="AP98" s="31"/>
      <c r="AQ98" s="31"/>
      <c r="AR98" s="31"/>
    </row>
    <row r="99" spans="2:44" x14ac:dyDescent="0.25">
      <c r="B99" s="238">
        <f t="shared" si="50"/>
        <v>8</v>
      </c>
      <c r="C99" s="17" t="str">
        <f t="shared" si="50"/>
        <v xml:space="preserve">- </v>
      </c>
      <c r="D99" s="58" t="str">
        <f t="shared" si="50"/>
        <v/>
      </c>
      <c r="E99" s="4"/>
      <c r="F99" s="8">
        <f ca="1">IFERROR(SUMIFS(FACTURA!$T:$T,FACTURA!$AA:$AA,RESUMEN!$C99,FACTURA!$G:$G,RESUMEN!F$91),0)</f>
        <v>0</v>
      </c>
      <c r="G99" s="8">
        <f ca="1">IFERROR(SUMIFS(FACTURA!$T:$T,FACTURA!$AA:$AA,RESUMEN!$C99,FACTURA!$G:$G,RESUMEN!G$91),0)</f>
        <v>0</v>
      </c>
      <c r="H99" s="8">
        <f ca="1">IFERROR(SUMIFS(FACTURA!$T:$T,FACTURA!$AA:$AA,RESUMEN!$C99,FACTURA!$G:$G,RESUMEN!H$91),0)</f>
        <v>0</v>
      </c>
      <c r="I99" s="8">
        <f ca="1">IFERROR(SUMIFS(FACTURA!$T:$T,FACTURA!$AA:$AA,RESUMEN!$C99,FACTURA!$G:$G,RESUMEN!I$91),0)</f>
        <v>0</v>
      </c>
      <c r="J99" s="8">
        <f ca="1">IFERROR(SUMIFS(FACTURA!$T:$T,FACTURA!$AA:$AA,RESUMEN!$C99,FACTURA!$G:$G,RESUMEN!J$91),0)</f>
        <v>0</v>
      </c>
      <c r="K99" s="8">
        <f ca="1">IFERROR(SUMIFS(FACTURA!$T:$T,FACTURA!$AA:$AA,RESUMEN!$C99,FACTURA!$G:$G,RESUMEN!K$91),0)</f>
        <v>0</v>
      </c>
      <c r="L99" s="8">
        <f ca="1">IFERROR(SUMIFS(FACTURA!$T:$T,FACTURA!$AA:$AA,RESUMEN!$C99,FACTURA!$G:$G,RESUMEN!L$91),0)</f>
        <v>0</v>
      </c>
      <c r="M99" s="8">
        <f ca="1">IFERROR(SUMIFS(FACTURA!$T:$T,FACTURA!$AA:$AA,RESUMEN!$C99,FACTURA!$G:$G,RESUMEN!M$91),0)</f>
        <v>0</v>
      </c>
      <c r="N99" s="8">
        <f ca="1">IFERROR(SUMIFS(FACTURA!$T:$T,FACTURA!$AA:$AA,RESUMEN!$C99,FACTURA!$G:$G,RESUMEN!N$91),0)</f>
        <v>0</v>
      </c>
      <c r="O99" s="8">
        <f ca="1">IFERROR(SUMIFS(FACTURA!$T:$T,FACTURA!$AA:$AA,RESUMEN!$C99,FACTURA!$G:$G,RESUMEN!O$91),0)</f>
        <v>0</v>
      </c>
      <c r="P99" s="8">
        <f ca="1">IFERROR(SUMIFS(FACTURA!$T:$T,FACTURA!$AA:$AA,RESUMEN!$C99,FACTURA!$G:$G,RESUMEN!P$91),0)</f>
        <v>0</v>
      </c>
      <c r="Q99" s="8">
        <f ca="1">IFERROR(SUMIFS(FACTURA!$T:$T,FACTURA!$AA:$AA,RESUMEN!$C99,FACTURA!$G:$G,RESUMEN!Q$91),0)</f>
        <v>0</v>
      </c>
      <c r="R99" s="8">
        <f ca="1">IFERROR(SUMIFS(FACTURA!$T:$T,FACTURA!$AA:$AA,RESUMEN!$C99,FACTURA!$G:$G,RESUMEN!R$91),0)</f>
        <v>0</v>
      </c>
      <c r="S99" s="8">
        <f ca="1">IFERROR(SUMIFS(FACTURA!$T:$T,FACTURA!$AA:$AA,RESUMEN!$C99,FACTURA!$G:$G,RESUMEN!S$91),0)</f>
        <v>0</v>
      </c>
      <c r="T99" s="8">
        <f ca="1">IFERROR(SUMIFS(FACTURA!$T:$T,FACTURA!$AA:$AA,RESUMEN!$C99,FACTURA!$G:$G,RESUMEN!T$91),0)</f>
        <v>0</v>
      </c>
      <c r="U99" s="8">
        <f ca="1">IFERROR(SUMIFS(FACTURA!$T:$T,FACTURA!$AA:$AA,RESUMEN!$C99,FACTURA!$G:$G,RESUMEN!U$91),0)</f>
        <v>0</v>
      </c>
      <c r="V99" s="8">
        <f ca="1">IFERROR(SUMIFS(FACTURA!$T:$T,FACTURA!$AA:$AA,RESUMEN!$C99,FACTURA!$G:$G,RESUMEN!V$91),0)</f>
        <v>0</v>
      </c>
      <c r="W99" s="8">
        <f ca="1">IFERROR(SUMIFS(FACTURA!$T:$T,FACTURA!$AA:$AA,RESUMEN!$C99,FACTURA!$G:$G,RESUMEN!W$91),0)</f>
        <v>0</v>
      </c>
      <c r="X99" s="8">
        <f ca="1">IFERROR(SUMIFS(FACTURA!$T:$T,FACTURA!$AA:$AA,RESUMEN!$C99,FACTURA!$G:$G,RESUMEN!X$91),0)</f>
        <v>0</v>
      </c>
      <c r="Y99" s="8">
        <f ca="1">IFERROR(SUMIFS(FACTURA!$T:$T,FACTURA!$AA:$AA,RESUMEN!$C99,FACTURA!$G:$G,RESUMEN!Y$91),0)</f>
        <v>0</v>
      </c>
      <c r="Z99" s="8">
        <f ca="1">IFERROR(SUMIFS(FACTURA!$T:$T,FACTURA!$AA:$AA,RESUMEN!$C99,FACTURA!$G:$G,RESUMEN!Z$91),0)</f>
        <v>0</v>
      </c>
      <c r="AA99" s="8">
        <f ca="1">IFERROR(SUMIFS(FACTURA!$T:$T,FACTURA!$AA:$AA,RESUMEN!$C99,FACTURA!$G:$G,RESUMEN!AA$91),0)</f>
        <v>0</v>
      </c>
      <c r="AB99" s="8">
        <f ca="1">IFERROR(SUMIFS(FACTURA!$T:$T,FACTURA!$AA:$AA,RESUMEN!$C99,FACTURA!$G:$G,RESUMEN!AB$91),0)</f>
        <v>0</v>
      </c>
      <c r="AC99" s="8">
        <f ca="1">IFERROR(SUMIFS(FACTURA!$T:$T,FACTURA!$AA:$AA,RESUMEN!$C99,FACTURA!$G:$G,RESUMEN!AC$91),0)</f>
        <v>0</v>
      </c>
      <c r="AD99" s="8">
        <f ca="1">IFERROR(SUMIFS(FACTURA!$T:$T,FACTURA!$AA:$AA,RESUMEN!$C99,FACTURA!$G:$G,RESUMEN!AD$91),0)</f>
        <v>0</v>
      </c>
      <c r="AE99" s="8">
        <f ca="1">IFERROR(SUMIFS(FACTURA!$T:$T,FACTURA!$AA:$AA,RESUMEN!$C99,FACTURA!$G:$G,RESUMEN!AE$91),0)</f>
        <v>0</v>
      </c>
      <c r="AF99" s="8">
        <f ca="1">IFERROR(SUMIFS(FACTURA!$T:$T,FACTURA!$AA:$AA,RESUMEN!$C99,FACTURA!$G:$G,RESUMEN!AF$91),0)</f>
        <v>0</v>
      </c>
      <c r="AG99" s="8">
        <f ca="1">IFERROR(SUMIFS(FACTURA!$T:$T,FACTURA!$AA:$AA,RESUMEN!$C99,FACTURA!$G:$G,RESUMEN!AG$91),0)</f>
        <v>0</v>
      </c>
      <c r="AH99" s="8">
        <f ca="1">IFERROR(SUMIFS(FACTURA!$T:$T,FACTURA!$AA:$AA,RESUMEN!$C99,FACTURA!$G:$G,RESUMEN!AH$91),0)</f>
        <v>0</v>
      </c>
      <c r="AI99" s="8">
        <f ca="1">IFERROR(SUMIFS(FACTURA!$T:$T,FACTURA!$AA:$AA,RESUMEN!$C99,FACTURA!$G:$G,RESUMEN!AI$91),0)</f>
        <v>0</v>
      </c>
      <c r="AJ99" s="8">
        <f ca="1">IFERROR(SUMIFS(FACTURA!$T:$T,FACTURA!$AA:$AA,RESUMEN!$C99,FACTURA!$G:$G,RESUMEN!AJ$91),0)</f>
        <v>0</v>
      </c>
      <c r="AK99" s="31"/>
      <c r="AL99" s="31"/>
      <c r="AM99" s="31"/>
      <c r="AN99" s="31"/>
      <c r="AO99" s="31"/>
      <c r="AP99" s="31"/>
      <c r="AQ99" s="31"/>
      <c r="AR99" s="31"/>
    </row>
    <row r="100" spans="2:44" x14ac:dyDescent="0.25">
      <c r="B100" s="238">
        <f t="shared" si="50"/>
        <v>9</v>
      </c>
      <c r="C100" s="17" t="str">
        <f t="shared" si="50"/>
        <v xml:space="preserve">- </v>
      </c>
      <c r="D100" s="58" t="str">
        <f t="shared" si="50"/>
        <v/>
      </c>
      <c r="E100" s="4"/>
      <c r="F100" s="8">
        <f ca="1">IFERROR(SUMIFS(FACTURA!$T:$T,FACTURA!$AA:$AA,RESUMEN!$C100,FACTURA!$G:$G,RESUMEN!F$91),0)</f>
        <v>0</v>
      </c>
      <c r="G100" s="8">
        <f ca="1">IFERROR(SUMIFS(FACTURA!$T:$T,FACTURA!$AA:$AA,RESUMEN!$C100,FACTURA!$G:$G,RESUMEN!G$91),0)</f>
        <v>0</v>
      </c>
      <c r="H100" s="8">
        <f ca="1">IFERROR(SUMIFS(FACTURA!$T:$T,FACTURA!$AA:$AA,RESUMEN!$C100,FACTURA!$G:$G,RESUMEN!H$91),0)</f>
        <v>0</v>
      </c>
      <c r="I100" s="8">
        <f ca="1">IFERROR(SUMIFS(FACTURA!$T:$T,FACTURA!$AA:$AA,RESUMEN!$C100,FACTURA!$G:$G,RESUMEN!I$91),0)</f>
        <v>0</v>
      </c>
      <c r="J100" s="8">
        <f ca="1">IFERROR(SUMIFS(FACTURA!$T:$T,FACTURA!$AA:$AA,RESUMEN!$C100,FACTURA!$G:$G,RESUMEN!J$91),0)</f>
        <v>0</v>
      </c>
      <c r="K100" s="8">
        <f ca="1">IFERROR(SUMIFS(FACTURA!$T:$T,FACTURA!$AA:$AA,RESUMEN!$C100,FACTURA!$G:$G,RESUMEN!K$91),0)</f>
        <v>0</v>
      </c>
      <c r="L100" s="8">
        <f ca="1">IFERROR(SUMIFS(FACTURA!$T:$T,FACTURA!$AA:$AA,RESUMEN!$C100,FACTURA!$G:$G,RESUMEN!L$91),0)</f>
        <v>0</v>
      </c>
      <c r="M100" s="8">
        <f ca="1">IFERROR(SUMIFS(FACTURA!$T:$T,FACTURA!$AA:$AA,RESUMEN!$C100,FACTURA!$G:$G,RESUMEN!M$91),0)</f>
        <v>0</v>
      </c>
      <c r="N100" s="8">
        <f ca="1">IFERROR(SUMIFS(FACTURA!$T:$T,FACTURA!$AA:$AA,RESUMEN!$C100,FACTURA!$G:$G,RESUMEN!N$91),0)</f>
        <v>0</v>
      </c>
      <c r="O100" s="8">
        <f ca="1">IFERROR(SUMIFS(FACTURA!$T:$T,FACTURA!$AA:$AA,RESUMEN!$C100,FACTURA!$G:$G,RESUMEN!O$91),0)</f>
        <v>0</v>
      </c>
      <c r="P100" s="8">
        <f ca="1">IFERROR(SUMIFS(FACTURA!$T:$T,FACTURA!$AA:$AA,RESUMEN!$C100,FACTURA!$G:$G,RESUMEN!P$91),0)</f>
        <v>0</v>
      </c>
      <c r="Q100" s="8">
        <f ca="1">IFERROR(SUMIFS(FACTURA!$T:$T,FACTURA!$AA:$AA,RESUMEN!$C100,FACTURA!$G:$G,RESUMEN!Q$91),0)</f>
        <v>0</v>
      </c>
      <c r="R100" s="8">
        <f ca="1">IFERROR(SUMIFS(FACTURA!$T:$T,FACTURA!$AA:$AA,RESUMEN!$C100,FACTURA!$G:$G,RESUMEN!R$91),0)</f>
        <v>0</v>
      </c>
      <c r="S100" s="8">
        <f ca="1">IFERROR(SUMIFS(FACTURA!$T:$T,FACTURA!$AA:$AA,RESUMEN!$C100,FACTURA!$G:$G,RESUMEN!S$91),0)</f>
        <v>0</v>
      </c>
      <c r="T100" s="8">
        <f ca="1">IFERROR(SUMIFS(FACTURA!$T:$T,FACTURA!$AA:$AA,RESUMEN!$C100,FACTURA!$G:$G,RESUMEN!T$91),0)</f>
        <v>0</v>
      </c>
      <c r="U100" s="8">
        <f ca="1">IFERROR(SUMIFS(FACTURA!$T:$T,FACTURA!$AA:$AA,RESUMEN!$C100,FACTURA!$G:$G,RESUMEN!U$91),0)</f>
        <v>0</v>
      </c>
      <c r="V100" s="8">
        <f ca="1">IFERROR(SUMIFS(FACTURA!$T:$T,FACTURA!$AA:$AA,RESUMEN!$C100,FACTURA!$G:$G,RESUMEN!V$91),0)</f>
        <v>0</v>
      </c>
      <c r="W100" s="8">
        <f ca="1">IFERROR(SUMIFS(FACTURA!$T:$T,FACTURA!$AA:$AA,RESUMEN!$C100,FACTURA!$G:$G,RESUMEN!W$91),0)</f>
        <v>0</v>
      </c>
      <c r="X100" s="8">
        <f ca="1">IFERROR(SUMIFS(FACTURA!$T:$T,FACTURA!$AA:$AA,RESUMEN!$C100,FACTURA!$G:$G,RESUMEN!X$91),0)</f>
        <v>0</v>
      </c>
      <c r="Y100" s="8">
        <f ca="1">IFERROR(SUMIFS(FACTURA!$T:$T,FACTURA!$AA:$AA,RESUMEN!$C100,FACTURA!$G:$G,RESUMEN!Y$91),0)</f>
        <v>0</v>
      </c>
      <c r="Z100" s="8">
        <f ca="1">IFERROR(SUMIFS(FACTURA!$T:$T,FACTURA!$AA:$AA,RESUMEN!$C100,FACTURA!$G:$G,RESUMEN!Z$91),0)</f>
        <v>0</v>
      </c>
      <c r="AA100" s="8">
        <f ca="1">IFERROR(SUMIFS(FACTURA!$T:$T,FACTURA!$AA:$AA,RESUMEN!$C100,FACTURA!$G:$G,RESUMEN!AA$91),0)</f>
        <v>0</v>
      </c>
      <c r="AB100" s="8">
        <f ca="1">IFERROR(SUMIFS(FACTURA!$T:$T,FACTURA!$AA:$AA,RESUMEN!$C100,FACTURA!$G:$G,RESUMEN!AB$91),0)</f>
        <v>0</v>
      </c>
      <c r="AC100" s="8">
        <f ca="1">IFERROR(SUMIFS(FACTURA!$T:$T,FACTURA!$AA:$AA,RESUMEN!$C100,FACTURA!$G:$G,RESUMEN!AC$91),0)</f>
        <v>0</v>
      </c>
      <c r="AD100" s="8">
        <f ca="1">IFERROR(SUMIFS(FACTURA!$T:$T,FACTURA!$AA:$AA,RESUMEN!$C100,FACTURA!$G:$G,RESUMEN!AD$91),0)</f>
        <v>0</v>
      </c>
      <c r="AE100" s="8">
        <f ca="1">IFERROR(SUMIFS(FACTURA!$T:$T,FACTURA!$AA:$AA,RESUMEN!$C100,FACTURA!$G:$G,RESUMEN!AE$91),0)</f>
        <v>0</v>
      </c>
      <c r="AF100" s="8">
        <f ca="1">IFERROR(SUMIFS(FACTURA!$T:$T,FACTURA!$AA:$AA,RESUMEN!$C100,FACTURA!$G:$G,RESUMEN!AF$91),0)</f>
        <v>0</v>
      </c>
      <c r="AG100" s="8">
        <f ca="1">IFERROR(SUMIFS(FACTURA!$T:$T,FACTURA!$AA:$AA,RESUMEN!$C100,FACTURA!$G:$G,RESUMEN!AG$91),0)</f>
        <v>0</v>
      </c>
      <c r="AH100" s="8">
        <f ca="1">IFERROR(SUMIFS(FACTURA!$T:$T,FACTURA!$AA:$AA,RESUMEN!$C100,FACTURA!$G:$G,RESUMEN!AH$91),0)</f>
        <v>0</v>
      </c>
      <c r="AI100" s="8">
        <f ca="1">IFERROR(SUMIFS(FACTURA!$T:$T,FACTURA!$AA:$AA,RESUMEN!$C100,FACTURA!$G:$G,RESUMEN!AI$91),0)</f>
        <v>0</v>
      </c>
      <c r="AJ100" s="8">
        <f ca="1">IFERROR(SUMIFS(FACTURA!$T:$T,FACTURA!$AA:$AA,RESUMEN!$C100,FACTURA!$G:$G,RESUMEN!AJ$91),0)</f>
        <v>0</v>
      </c>
      <c r="AK100" s="31"/>
      <c r="AL100" s="31"/>
      <c r="AM100" s="31"/>
      <c r="AN100" s="31"/>
      <c r="AO100" s="31"/>
      <c r="AP100" s="31"/>
      <c r="AQ100" s="31"/>
      <c r="AR100" s="31"/>
    </row>
    <row r="101" spans="2:44" x14ac:dyDescent="0.25">
      <c r="B101" s="238">
        <f t="shared" si="50"/>
        <v>10</v>
      </c>
      <c r="C101" s="17" t="str">
        <f t="shared" si="50"/>
        <v xml:space="preserve">- </v>
      </c>
      <c r="D101" s="58" t="str">
        <f t="shared" si="50"/>
        <v/>
      </c>
      <c r="E101" s="4"/>
      <c r="F101" s="8">
        <f ca="1">IFERROR(SUMIFS(FACTURA!$T:$T,FACTURA!$AA:$AA,RESUMEN!$C101,FACTURA!$G:$G,RESUMEN!F$91),0)</f>
        <v>0</v>
      </c>
      <c r="G101" s="8">
        <f ca="1">IFERROR(SUMIFS(FACTURA!$T:$T,FACTURA!$AA:$AA,RESUMEN!$C101,FACTURA!$G:$G,RESUMEN!G$91),0)</f>
        <v>0</v>
      </c>
      <c r="H101" s="8">
        <f ca="1">IFERROR(SUMIFS(FACTURA!$T:$T,FACTURA!$AA:$AA,RESUMEN!$C101,FACTURA!$G:$G,RESUMEN!H$91),0)</f>
        <v>0</v>
      </c>
      <c r="I101" s="8">
        <f ca="1">IFERROR(SUMIFS(FACTURA!$T:$T,FACTURA!$AA:$AA,RESUMEN!$C101,FACTURA!$G:$G,RESUMEN!I$91),0)</f>
        <v>0</v>
      </c>
      <c r="J101" s="8">
        <f ca="1">IFERROR(SUMIFS(FACTURA!$T:$T,FACTURA!$AA:$AA,RESUMEN!$C101,FACTURA!$G:$G,RESUMEN!J$91),0)</f>
        <v>0</v>
      </c>
      <c r="K101" s="8">
        <f ca="1">IFERROR(SUMIFS(FACTURA!$T:$T,FACTURA!$AA:$AA,RESUMEN!$C101,FACTURA!$G:$G,RESUMEN!K$91),0)</f>
        <v>0</v>
      </c>
      <c r="L101" s="8">
        <f ca="1">IFERROR(SUMIFS(FACTURA!$T:$T,FACTURA!$AA:$AA,RESUMEN!$C101,FACTURA!$G:$G,RESUMEN!L$91),0)</f>
        <v>0</v>
      </c>
      <c r="M101" s="8">
        <f ca="1">IFERROR(SUMIFS(FACTURA!$T:$T,FACTURA!$AA:$AA,RESUMEN!$C101,FACTURA!$G:$G,RESUMEN!M$91),0)</f>
        <v>0</v>
      </c>
      <c r="N101" s="8">
        <f ca="1">IFERROR(SUMIFS(FACTURA!$T:$T,FACTURA!$AA:$AA,RESUMEN!$C101,FACTURA!$G:$G,RESUMEN!N$91),0)</f>
        <v>0</v>
      </c>
      <c r="O101" s="8">
        <f ca="1">IFERROR(SUMIFS(FACTURA!$T:$T,FACTURA!$AA:$AA,RESUMEN!$C101,FACTURA!$G:$G,RESUMEN!O$91),0)</f>
        <v>0</v>
      </c>
      <c r="P101" s="8">
        <f ca="1">IFERROR(SUMIFS(FACTURA!$T:$T,FACTURA!$AA:$AA,RESUMEN!$C101,FACTURA!$G:$G,RESUMEN!P$91),0)</f>
        <v>0</v>
      </c>
      <c r="Q101" s="8">
        <f ca="1">IFERROR(SUMIFS(FACTURA!$T:$T,FACTURA!$AA:$AA,RESUMEN!$C101,FACTURA!$G:$G,RESUMEN!Q$91),0)</f>
        <v>0</v>
      </c>
      <c r="R101" s="8">
        <f ca="1">IFERROR(SUMIFS(FACTURA!$T:$T,FACTURA!$AA:$AA,RESUMEN!$C101,FACTURA!$G:$G,RESUMEN!R$91),0)</f>
        <v>0</v>
      </c>
      <c r="S101" s="8">
        <f ca="1">IFERROR(SUMIFS(FACTURA!$T:$T,FACTURA!$AA:$AA,RESUMEN!$C101,FACTURA!$G:$G,RESUMEN!S$91),0)</f>
        <v>0</v>
      </c>
      <c r="T101" s="8">
        <f ca="1">IFERROR(SUMIFS(FACTURA!$T:$T,FACTURA!$AA:$AA,RESUMEN!$C101,FACTURA!$G:$G,RESUMEN!T$91),0)</f>
        <v>0</v>
      </c>
      <c r="U101" s="8">
        <f ca="1">IFERROR(SUMIFS(FACTURA!$T:$T,FACTURA!$AA:$AA,RESUMEN!$C101,FACTURA!$G:$G,RESUMEN!U$91),0)</f>
        <v>0</v>
      </c>
      <c r="V101" s="8">
        <f ca="1">IFERROR(SUMIFS(FACTURA!$T:$T,FACTURA!$AA:$AA,RESUMEN!$C101,FACTURA!$G:$G,RESUMEN!V$91),0)</f>
        <v>0</v>
      </c>
      <c r="W101" s="8">
        <f ca="1">IFERROR(SUMIFS(FACTURA!$T:$T,FACTURA!$AA:$AA,RESUMEN!$C101,FACTURA!$G:$G,RESUMEN!W$91),0)</f>
        <v>0</v>
      </c>
      <c r="X101" s="8">
        <f ca="1">IFERROR(SUMIFS(FACTURA!$T:$T,FACTURA!$AA:$AA,RESUMEN!$C101,FACTURA!$G:$G,RESUMEN!X$91),0)</f>
        <v>0</v>
      </c>
      <c r="Y101" s="8">
        <f ca="1">IFERROR(SUMIFS(FACTURA!$T:$T,FACTURA!$AA:$AA,RESUMEN!$C101,FACTURA!$G:$G,RESUMEN!Y$91),0)</f>
        <v>0</v>
      </c>
      <c r="Z101" s="8">
        <f ca="1">IFERROR(SUMIFS(FACTURA!$T:$T,FACTURA!$AA:$AA,RESUMEN!$C101,FACTURA!$G:$G,RESUMEN!Z$91),0)</f>
        <v>0</v>
      </c>
      <c r="AA101" s="8">
        <f ca="1">IFERROR(SUMIFS(FACTURA!$T:$T,FACTURA!$AA:$AA,RESUMEN!$C101,FACTURA!$G:$G,RESUMEN!AA$91),0)</f>
        <v>0</v>
      </c>
      <c r="AB101" s="8">
        <f ca="1">IFERROR(SUMIFS(FACTURA!$T:$T,FACTURA!$AA:$AA,RESUMEN!$C101,FACTURA!$G:$G,RESUMEN!AB$91),0)</f>
        <v>0</v>
      </c>
      <c r="AC101" s="8">
        <f ca="1">IFERROR(SUMIFS(FACTURA!$T:$T,FACTURA!$AA:$AA,RESUMEN!$C101,FACTURA!$G:$G,RESUMEN!AC$91),0)</f>
        <v>0</v>
      </c>
      <c r="AD101" s="8">
        <f ca="1">IFERROR(SUMIFS(FACTURA!$T:$T,FACTURA!$AA:$AA,RESUMEN!$C101,FACTURA!$G:$G,RESUMEN!AD$91),0)</f>
        <v>0</v>
      </c>
      <c r="AE101" s="8">
        <f ca="1">IFERROR(SUMIFS(FACTURA!$T:$T,FACTURA!$AA:$AA,RESUMEN!$C101,FACTURA!$G:$G,RESUMEN!AE$91),0)</f>
        <v>0</v>
      </c>
      <c r="AF101" s="8">
        <f ca="1">IFERROR(SUMIFS(FACTURA!$T:$T,FACTURA!$AA:$AA,RESUMEN!$C101,FACTURA!$G:$G,RESUMEN!AF$91),0)</f>
        <v>0</v>
      </c>
      <c r="AG101" s="8">
        <f ca="1">IFERROR(SUMIFS(FACTURA!$T:$T,FACTURA!$AA:$AA,RESUMEN!$C101,FACTURA!$G:$G,RESUMEN!AG$91),0)</f>
        <v>0</v>
      </c>
      <c r="AH101" s="8">
        <f ca="1">IFERROR(SUMIFS(FACTURA!$T:$T,FACTURA!$AA:$AA,RESUMEN!$C101,FACTURA!$G:$G,RESUMEN!AH$91),0)</f>
        <v>0</v>
      </c>
      <c r="AI101" s="8">
        <f ca="1">IFERROR(SUMIFS(FACTURA!$T:$T,FACTURA!$AA:$AA,RESUMEN!$C101,FACTURA!$G:$G,RESUMEN!AI$91),0)</f>
        <v>0</v>
      </c>
      <c r="AJ101" s="8">
        <f ca="1">IFERROR(SUMIFS(FACTURA!$T:$T,FACTURA!$AA:$AA,RESUMEN!$C101,FACTURA!$G:$G,RESUMEN!AJ$91),0)</f>
        <v>0</v>
      </c>
      <c r="AK101" s="31"/>
      <c r="AL101" s="31"/>
      <c r="AM101" s="31"/>
      <c r="AN101" s="31"/>
      <c r="AO101" s="31"/>
      <c r="AP101" s="31"/>
      <c r="AQ101" s="31"/>
      <c r="AR101" s="31"/>
    </row>
    <row r="102" spans="2:44" x14ac:dyDescent="0.25">
      <c r="B102" s="238">
        <f t="shared" si="50"/>
        <v>11</v>
      </c>
      <c r="C102" s="17" t="str">
        <f t="shared" si="50"/>
        <v xml:space="preserve">- </v>
      </c>
      <c r="D102" s="58" t="str">
        <f t="shared" si="50"/>
        <v/>
      </c>
      <c r="E102" s="4"/>
      <c r="F102" s="8">
        <f ca="1">IFERROR(SUMIFS(FACTURA!$T:$T,FACTURA!$AA:$AA,RESUMEN!$C102,FACTURA!$G:$G,RESUMEN!F$91),0)</f>
        <v>0</v>
      </c>
      <c r="G102" s="8">
        <f ca="1">IFERROR(SUMIFS(FACTURA!$T:$T,FACTURA!$AA:$AA,RESUMEN!$C102,FACTURA!$G:$G,RESUMEN!G$91),0)</f>
        <v>0</v>
      </c>
      <c r="H102" s="8">
        <f ca="1">IFERROR(SUMIFS(FACTURA!$T:$T,FACTURA!$AA:$AA,RESUMEN!$C102,FACTURA!$G:$G,RESUMEN!H$91),0)</f>
        <v>0</v>
      </c>
      <c r="I102" s="8">
        <f ca="1">IFERROR(SUMIFS(FACTURA!$T:$T,FACTURA!$AA:$AA,RESUMEN!$C102,FACTURA!$G:$G,RESUMEN!I$91),0)</f>
        <v>0</v>
      </c>
      <c r="J102" s="8">
        <f ca="1">IFERROR(SUMIFS(FACTURA!$T:$T,FACTURA!$AA:$AA,RESUMEN!$C102,FACTURA!$G:$G,RESUMEN!J$91),0)</f>
        <v>0</v>
      </c>
      <c r="K102" s="8">
        <f ca="1">IFERROR(SUMIFS(FACTURA!$T:$T,FACTURA!$AA:$AA,RESUMEN!$C102,FACTURA!$G:$G,RESUMEN!K$91),0)</f>
        <v>0</v>
      </c>
      <c r="L102" s="8">
        <f ca="1">IFERROR(SUMIFS(FACTURA!$T:$T,FACTURA!$AA:$AA,RESUMEN!$C102,FACTURA!$G:$G,RESUMEN!L$91),0)</f>
        <v>0</v>
      </c>
      <c r="M102" s="8">
        <f ca="1">IFERROR(SUMIFS(FACTURA!$T:$T,FACTURA!$AA:$AA,RESUMEN!$C102,FACTURA!$G:$G,RESUMEN!M$91),0)</f>
        <v>0</v>
      </c>
      <c r="N102" s="8">
        <f ca="1">IFERROR(SUMIFS(FACTURA!$T:$T,FACTURA!$AA:$AA,RESUMEN!$C102,FACTURA!$G:$G,RESUMEN!N$91),0)</f>
        <v>0</v>
      </c>
      <c r="O102" s="8">
        <f ca="1">IFERROR(SUMIFS(FACTURA!$T:$T,FACTURA!$AA:$AA,RESUMEN!$C102,FACTURA!$G:$G,RESUMEN!O$91),0)</f>
        <v>0</v>
      </c>
      <c r="P102" s="8">
        <f ca="1">IFERROR(SUMIFS(FACTURA!$T:$T,FACTURA!$AA:$AA,RESUMEN!$C102,FACTURA!$G:$G,RESUMEN!P$91),0)</f>
        <v>0</v>
      </c>
      <c r="Q102" s="8">
        <f ca="1">IFERROR(SUMIFS(FACTURA!$T:$T,FACTURA!$AA:$AA,RESUMEN!$C102,FACTURA!$G:$G,RESUMEN!Q$91),0)</f>
        <v>0</v>
      </c>
      <c r="R102" s="8">
        <f ca="1">IFERROR(SUMIFS(FACTURA!$T:$T,FACTURA!$AA:$AA,RESUMEN!$C102,FACTURA!$G:$G,RESUMEN!R$91),0)</f>
        <v>0</v>
      </c>
      <c r="S102" s="8">
        <f ca="1">IFERROR(SUMIFS(FACTURA!$T:$T,FACTURA!$AA:$AA,RESUMEN!$C102,FACTURA!$G:$G,RESUMEN!S$91),0)</f>
        <v>0</v>
      </c>
      <c r="T102" s="8">
        <f ca="1">IFERROR(SUMIFS(FACTURA!$T:$T,FACTURA!$AA:$AA,RESUMEN!$C102,FACTURA!$G:$G,RESUMEN!T$91),0)</f>
        <v>0</v>
      </c>
      <c r="U102" s="8">
        <f ca="1">IFERROR(SUMIFS(FACTURA!$T:$T,FACTURA!$AA:$AA,RESUMEN!$C102,FACTURA!$G:$G,RESUMEN!U$91),0)</f>
        <v>0</v>
      </c>
      <c r="V102" s="8">
        <f ca="1">IFERROR(SUMIFS(FACTURA!$T:$T,FACTURA!$AA:$AA,RESUMEN!$C102,FACTURA!$G:$G,RESUMEN!V$91),0)</f>
        <v>0</v>
      </c>
      <c r="W102" s="8">
        <f ca="1">IFERROR(SUMIFS(FACTURA!$T:$T,FACTURA!$AA:$AA,RESUMEN!$C102,FACTURA!$G:$G,RESUMEN!W$91),0)</f>
        <v>0</v>
      </c>
      <c r="X102" s="8">
        <f ca="1">IFERROR(SUMIFS(FACTURA!$T:$T,FACTURA!$AA:$AA,RESUMEN!$C102,FACTURA!$G:$G,RESUMEN!X$91),0)</f>
        <v>0</v>
      </c>
      <c r="Y102" s="8">
        <f ca="1">IFERROR(SUMIFS(FACTURA!$T:$T,FACTURA!$AA:$AA,RESUMEN!$C102,FACTURA!$G:$G,RESUMEN!Y$91),0)</f>
        <v>0</v>
      </c>
      <c r="Z102" s="8">
        <f ca="1">IFERROR(SUMIFS(FACTURA!$T:$T,FACTURA!$AA:$AA,RESUMEN!$C102,FACTURA!$G:$G,RESUMEN!Z$91),0)</f>
        <v>0</v>
      </c>
      <c r="AA102" s="8">
        <f ca="1">IFERROR(SUMIFS(FACTURA!$T:$T,FACTURA!$AA:$AA,RESUMEN!$C102,FACTURA!$G:$G,RESUMEN!AA$91),0)</f>
        <v>0</v>
      </c>
      <c r="AB102" s="8">
        <f ca="1">IFERROR(SUMIFS(FACTURA!$T:$T,FACTURA!$AA:$AA,RESUMEN!$C102,FACTURA!$G:$G,RESUMEN!AB$91),0)</f>
        <v>0</v>
      </c>
      <c r="AC102" s="8">
        <f ca="1">IFERROR(SUMIFS(FACTURA!$T:$T,FACTURA!$AA:$AA,RESUMEN!$C102,FACTURA!$G:$G,RESUMEN!AC$91),0)</f>
        <v>0</v>
      </c>
      <c r="AD102" s="8">
        <f ca="1">IFERROR(SUMIFS(FACTURA!$T:$T,FACTURA!$AA:$AA,RESUMEN!$C102,FACTURA!$G:$G,RESUMEN!AD$91),0)</f>
        <v>0</v>
      </c>
      <c r="AE102" s="8">
        <f ca="1">IFERROR(SUMIFS(FACTURA!$T:$T,FACTURA!$AA:$AA,RESUMEN!$C102,FACTURA!$G:$G,RESUMEN!AE$91),0)</f>
        <v>0</v>
      </c>
      <c r="AF102" s="8">
        <f ca="1">IFERROR(SUMIFS(FACTURA!$T:$T,FACTURA!$AA:$AA,RESUMEN!$C102,FACTURA!$G:$G,RESUMEN!AF$91),0)</f>
        <v>0</v>
      </c>
      <c r="AG102" s="8">
        <f ca="1">IFERROR(SUMIFS(FACTURA!$T:$T,FACTURA!$AA:$AA,RESUMEN!$C102,FACTURA!$G:$G,RESUMEN!AG$91),0)</f>
        <v>0</v>
      </c>
      <c r="AH102" s="8">
        <f ca="1">IFERROR(SUMIFS(FACTURA!$T:$T,FACTURA!$AA:$AA,RESUMEN!$C102,FACTURA!$G:$G,RESUMEN!AH$91),0)</f>
        <v>0</v>
      </c>
      <c r="AI102" s="8">
        <f ca="1">IFERROR(SUMIFS(FACTURA!$T:$T,FACTURA!$AA:$AA,RESUMEN!$C102,FACTURA!$G:$G,RESUMEN!AI$91),0)</f>
        <v>0</v>
      </c>
      <c r="AJ102" s="8">
        <f ca="1">IFERROR(SUMIFS(FACTURA!$T:$T,FACTURA!$AA:$AA,RESUMEN!$C102,FACTURA!$G:$G,RESUMEN!AJ$91),0)</f>
        <v>0</v>
      </c>
      <c r="AK102" s="31"/>
      <c r="AL102" s="31"/>
      <c r="AM102" s="31"/>
      <c r="AN102" s="31"/>
      <c r="AO102" s="31"/>
      <c r="AP102" s="31"/>
      <c r="AQ102" s="31"/>
      <c r="AR102" s="31"/>
    </row>
    <row r="103" spans="2:44" x14ac:dyDescent="0.25">
      <c r="B103" s="238">
        <f t="shared" si="50"/>
        <v>12</v>
      </c>
      <c r="C103" s="17" t="str">
        <f t="shared" si="50"/>
        <v xml:space="preserve">- </v>
      </c>
      <c r="D103" s="58" t="str">
        <f t="shared" si="50"/>
        <v/>
      </c>
      <c r="E103" s="4"/>
      <c r="F103" s="8">
        <f ca="1">IFERROR(SUMIFS(FACTURA!$T:$T,FACTURA!$AA:$AA,RESUMEN!$C103,FACTURA!$G:$G,RESUMEN!F$91),0)</f>
        <v>0</v>
      </c>
      <c r="G103" s="8">
        <f ca="1">IFERROR(SUMIFS(FACTURA!$T:$T,FACTURA!$AA:$AA,RESUMEN!$C103,FACTURA!$G:$G,RESUMEN!G$91),0)</f>
        <v>0</v>
      </c>
      <c r="H103" s="8">
        <f ca="1">IFERROR(SUMIFS(FACTURA!$T:$T,FACTURA!$AA:$AA,RESUMEN!$C103,FACTURA!$G:$G,RESUMEN!H$91),0)</f>
        <v>0</v>
      </c>
      <c r="I103" s="8">
        <f ca="1">IFERROR(SUMIFS(FACTURA!$T:$T,FACTURA!$AA:$AA,RESUMEN!$C103,FACTURA!$G:$G,RESUMEN!I$91),0)</f>
        <v>0</v>
      </c>
      <c r="J103" s="8">
        <f ca="1">IFERROR(SUMIFS(FACTURA!$T:$T,FACTURA!$AA:$AA,RESUMEN!$C103,FACTURA!$G:$G,RESUMEN!J$91),0)</f>
        <v>0</v>
      </c>
      <c r="K103" s="8">
        <f ca="1">IFERROR(SUMIFS(FACTURA!$T:$T,FACTURA!$AA:$AA,RESUMEN!$C103,FACTURA!$G:$G,RESUMEN!K$91),0)</f>
        <v>0</v>
      </c>
      <c r="L103" s="8">
        <f ca="1">IFERROR(SUMIFS(FACTURA!$T:$T,FACTURA!$AA:$AA,RESUMEN!$C103,FACTURA!$G:$G,RESUMEN!L$91),0)</f>
        <v>0</v>
      </c>
      <c r="M103" s="8">
        <f ca="1">IFERROR(SUMIFS(FACTURA!$T:$T,FACTURA!$AA:$AA,RESUMEN!$C103,FACTURA!$G:$G,RESUMEN!M$91),0)</f>
        <v>0</v>
      </c>
      <c r="N103" s="8">
        <f ca="1">IFERROR(SUMIFS(FACTURA!$T:$T,FACTURA!$AA:$AA,RESUMEN!$C103,FACTURA!$G:$G,RESUMEN!N$91),0)</f>
        <v>0</v>
      </c>
      <c r="O103" s="8">
        <f ca="1">IFERROR(SUMIFS(FACTURA!$T:$T,FACTURA!$AA:$AA,RESUMEN!$C103,FACTURA!$G:$G,RESUMEN!O$91),0)</f>
        <v>0</v>
      </c>
      <c r="P103" s="8">
        <f ca="1">IFERROR(SUMIFS(FACTURA!$T:$T,FACTURA!$AA:$AA,RESUMEN!$C103,FACTURA!$G:$G,RESUMEN!P$91),0)</f>
        <v>0</v>
      </c>
      <c r="Q103" s="8">
        <f ca="1">IFERROR(SUMIFS(FACTURA!$T:$T,FACTURA!$AA:$AA,RESUMEN!$C103,FACTURA!$G:$G,RESUMEN!Q$91),0)</f>
        <v>0</v>
      </c>
      <c r="R103" s="8">
        <f ca="1">IFERROR(SUMIFS(FACTURA!$T:$T,FACTURA!$AA:$AA,RESUMEN!$C103,FACTURA!$G:$G,RESUMEN!R$91),0)</f>
        <v>0</v>
      </c>
      <c r="S103" s="8">
        <f ca="1">IFERROR(SUMIFS(FACTURA!$T:$T,FACTURA!$AA:$AA,RESUMEN!$C103,FACTURA!$G:$G,RESUMEN!S$91),0)</f>
        <v>0</v>
      </c>
      <c r="T103" s="8">
        <f ca="1">IFERROR(SUMIFS(FACTURA!$T:$T,FACTURA!$AA:$AA,RESUMEN!$C103,FACTURA!$G:$G,RESUMEN!T$91),0)</f>
        <v>0</v>
      </c>
      <c r="U103" s="8">
        <f ca="1">IFERROR(SUMIFS(FACTURA!$T:$T,FACTURA!$AA:$AA,RESUMEN!$C103,FACTURA!$G:$G,RESUMEN!U$91),0)</f>
        <v>0</v>
      </c>
      <c r="V103" s="8">
        <f ca="1">IFERROR(SUMIFS(FACTURA!$T:$T,FACTURA!$AA:$AA,RESUMEN!$C103,FACTURA!$G:$G,RESUMEN!V$91),0)</f>
        <v>0</v>
      </c>
      <c r="W103" s="8">
        <f ca="1">IFERROR(SUMIFS(FACTURA!$T:$T,FACTURA!$AA:$AA,RESUMEN!$C103,FACTURA!$G:$G,RESUMEN!W$91),0)</f>
        <v>0</v>
      </c>
      <c r="X103" s="8">
        <f ca="1">IFERROR(SUMIFS(FACTURA!$T:$T,FACTURA!$AA:$AA,RESUMEN!$C103,FACTURA!$G:$G,RESUMEN!X$91),0)</f>
        <v>0</v>
      </c>
      <c r="Y103" s="8">
        <f ca="1">IFERROR(SUMIFS(FACTURA!$T:$T,FACTURA!$AA:$AA,RESUMEN!$C103,FACTURA!$G:$G,RESUMEN!Y$91),0)</f>
        <v>0</v>
      </c>
      <c r="Z103" s="8">
        <f ca="1">IFERROR(SUMIFS(FACTURA!$T:$T,FACTURA!$AA:$AA,RESUMEN!$C103,FACTURA!$G:$G,RESUMEN!Z$91),0)</f>
        <v>0</v>
      </c>
      <c r="AA103" s="8">
        <f ca="1">IFERROR(SUMIFS(FACTURA!$T:$T,FACTURA!$AA:$AA,RESUMEN!$C103,FACTURA!$G:$G,RESUMEN!AA$91),0)</f>
        <v>0</v>
      </c>
      <c r="AB103" s="8">
        <f ca="1">IFERROR(SUMIFS(FACTURA!$T:$T,FACTURA!$AA:$AA,RESUMEN!$C103,FACTURA!$G:$G,RESUMEN!AB$91),0)</f>
        <v>0</v>
      </c>
      <c r="AC103" s="8">
        <f ca="1">IFERROR(SUMIFS(FACTURA!$T:$T,FACTURA!$AA:$AA,RESUMEN!$C103,FACTURA!$G:$G,RESUMEN!AC$91),0)</f>
        <v>0</v>
      </c>
      <c r="AD103" s="8">
        <f ca="1">IFERROR(SUMIFS(FACTURA!$T:$T,FACTURA!$AA:$AA,RESUMEN!$C103,FACTURA!$G:$G,RESUMEN!AD$91),0)</f>
        <v>0</v>
      </c>
      <c r="AE103" s="8">
        <f ca="1">IFERROR(SUMIFS(FACTURA!$T:$T,FACTURA!$AA:$AA,RESUMEN!$C103,FACTURA!$G:$G,RESUMEN!AE$91),0)</f>
        <v>0</v>
      </c>
      <c r="AF103" s="8">
        <f ca="1">IFERROR(SUMIFS(FACTURA!$T:$T,FACTURA!$AA:$AA,RESUMEN!$C103,FACTURA!$G:$G,RESUMEN!AF$91),0)</f>
        <v>0</v>
      </c>
      <c r="AG103" s="8">
        <f ca="1">IFERROR(SUMIFS(FACTURA!$T:$T,FACTURA!$AA:$AA,RESUMEN!$C103,FACTURA!$G:$G,RESUMEN!AG$91),0)</f>
        <v>0</v>
      </c>
      <c r="AH103" s="8">
        <f ca="1">IFERROR(SUMIFS(FACTURA!$T:$T,FACTURA!$AA:$AA,RESUMEN!$C103,FACTURA!$G:$G,RESUMEN!AH$91),0)</f>
        <v>0</v>
      </c>
      <c r="AI103" s="8">
        <f ca="1">IFERROR(SUMIFS(FACTURA!$T:$T,FACTURA!$AA:$AA,RESUMEN!$C103,FACTURA!$G:$G,RESUMEN!AI$91),0)</f>
        <v>0</v>
      </c>
      <c r="AJ103" s="8">
        <f ca="1">IFERROR(SUMIFS(FACTURA!$T:$T,FACTURA!$AA:$AA,RESUMEN!$C103,FACTURA!$G:$G,RESUMEN!AJ$91),0)</f>
        <v>0</v>
      </c>
      <c r="AK103" s="31"/>
      <c r="AL103" s="31"/>
      <c r="AM103" s="31"/>
      <c r="AN103" s="31"/>
      <c r="AO103" s="31"/>
      <c r="AP103" s="31"/>
      <c r="AQ103" s="31"/>
      <c r="AR103" s="31"/>
    </row>
    <row r="104" spans="2:44" x14ac:dyDescent="0.25">
      <c r="B104" s="238">
        <f t="shared" si="50"/>
        <v>13</v>
      </c>
      <c r="C104" s="17" t="str">
        <f t="shared" si="50"/>
        <v xml:space="preserve">- </v>
      </c>
      <c r="D104" s="58" t="str">
        <f t="shared" si="50"/>
        <v/>
      </c>
      <c r="E104" s="4"/>
      <c r="F104" s="8">
        <f ca="1">IFERROR(SUMIFS(FACTURA!$T:$T,FACTURA!$AA:$AA,RESUMEN!$C104,FACTURA!$G:$G,RESUMEN!F$91),0)</f>
        <v>0</v>
      </c>
      <c r="G104" s="8">
        <f ca="1">IFERROR(SUMIFS(FACTURA!$T:$T,FACTURA!$AA:$AA,RESUMEN!$C104,FACTURA!$G:$G,RESUMEN!G$91),0)</f>
        <v>0</v>
      </c>
      <c r="H104" s="8">
        <f ca="1">IFERROR(SUMIFS(FACTURA!$T:$T,FACTURA!$AA:$AA,RESUMEN!$C104,FACTURA!$G:$G,RESUMEN!H$91),0)</f>
        <v>0</v>
      </c>
      <c r="I104" s="8">
        <f ca="1">IFERROR(SUMIFS(FACTURA!$T:$T,FACTURA!$AA:$AA,RESUMEN!$C104,FACTURA!$G:$G,RESUMEN!I$91),0)</f>
        <v>0</v>
      </c>
      <c r="J104" s="8">
        <f ca="1">IFERROR(SUMIFS(FACTURA!$T:$T,FACTURA!$AA:$AA,RESUMEN!$C104,FACTURA!$G:$G,RESUMEN!J$91),0)</f>
        <v>0</v>
      </c>
      <c r="K104" s="8">
        <f ca="1">IFERROR(SUMIFS(FACTURA!$T:$T,FACTURA!$AA:$AA,RESUMEN!$C104,FACTURA!$G:$G,RESUMEN!K$91),0)</f>
        <v>0</v>
      </c>
      <c r="L104" s="8">
        <f ca="1">IFERROR(SUMIFS(FACTURA!$T:$T,FACTURA!$AA:$AA,RESUMEN!$C104,FACTURA!$G:$G,RESUMEN!L$91),0)</f>
        <v>0</v>
      </c>
      <c r="M104" s="8">
        <f ca="1">IFERROR(SUMIFS(FACTURA!$T:$T,FACTURA!$AA:$AA,RESUMEN!$C104,FACTURA!$G:$G,RESUMEN!M$91),0)</f>
        <v>0</v>
      </c>
      <c r="N104" s="8">
        <f ca="1">IFERROR(SUMIFS(FACTURA!$T:$T,FACTURA!$AA:$AA,RESUMEN!$C104,FACTURA!$G:$G,RESUMEN!N$91),0)</f>
        <v>0</v>
      </c>
      <c r="O104" s="8">
        <f ca="1">IFERROR(SUMIFS(FACTURA!$T:$T,FACTURA!$AA:$AA,RESUMEN!$C104,FACTURA!$G:$G,RESUMEN!O$91),0)</f>
        <v>0</v>
      </c>
      <c r="P104" s="8">
        <f ca="1">IFERROR(SUMIFS(FACTURA!$T:$T,FACTURA!$AA:$AA,RESUMEN!$C104,FACTURA!$G:$G,RESUMEN!P$91),0)</f>
        <v>0</v>
      </c>
      <c r="Q104" s="8">
        <f ca="1">IFERROR(SUMIFS(FACTURA!$T:$T,FACTURA!$AA:$AA,RESUMEN!$C104,FACTURA!$G:$G,RESUMEN!Q$91),0)</f>
        <v>0</v>
      </c>
      <c r="R104" s="8">
        <f ca="1">IFERROR(SUMIFS(FACTURA!$T:$T,FACTURA!$AA:$AA,RESUMEN!$C104,FACTURA!$G:$G,RESUMEN!R$91),0)</f>
        <v>0</v>
      </c>
      <c r="S104" s="8">
        <f ca="1">IFERROR(SUMIFS(FACTURA!$T:$T,FACTURA!$AA:$AA,RESUMEN!$C104,FACTURA!$G:$G,RESUMEN!S$91),0)</f>
        <v>0</v>
      </c>
      <c r="T104" s="8">
        <f ca="1">IFERROR(SUMIFS(FACTURA!$T:$T,FACTURA!$AA:$AA,RESUMEN!$C104,FACTURA!$G:$G,RESUMEN!T$91),0)</f>
        <v>0</v>
      </c>
      <c r="U104" s="8">
        <f ca="1">IFERROR(SUMIFS(FACTURA!$T:$T,FACTURA!$AA:$AA,RESUMEN!$C104,FACTURA!$G:$G,RESUMEN!U$91),0)</f>
        <v>0</v>
      </c>
      <c r="V104" s="8">
        <f ca="1">IFERROR(SUMIFS(FACTURA!$T:$T,FACTURA!$AA:$AA,RESUMEN!$C104,FACTURA!$G:$G,RESUMEN!V$91),0)</f>
        <v>0</v>
      </c>
      <c r="W104" s="8">
        <f ca="1">IFERROR(SUMIFS(FACTURA!$T:$T,FACTURA!$AA:$AA,RESUMEN!$C104,FACTURA!$G:$G,RESUMEN!W$91),0)</f>
        <v>0</v>
      </c>
      <c r="X104" s="8">
        <f ca="1">IFERROR(SUMIFS(FACTURA!$T:$T,FACTURA!$AA:$AA,RESUMEN!$C104,FACTURA!$G:$G,RESUMEN!X$91),0)</f>
        <v>0</v>
      </c>
      <c r="Y104" s="8">
        <f ca="1">IFERROR(SUMIFS(FACTURA!$T:$T,FACTURA!$AA:$AA,RESUMEN!$C104,FACTURA!$G:$G,RESUMEN!Y$91),0)</f>
        <v>0</v>
      </c>
      <c r="Z104" s="8">
        <f ca="1">IFERROR(SUMIFS(FACTURA!$T:$T,FACTURA!$AA:$AA,RESUMEN!$C104,FACTURA!$G:$G,RESUMEN!Z$91),0)</f>
        <v>0</v>
      </c>
      <c r="AA104" s="8">
        <f ca="1">IFERROR(SUMIFS(FACTURA!$T:$T,FACTURA!$AA:$AA,RESUMEN!$C104,FACTURA!$G:$G,RESUMEN!AA$91),0)</f>
        <v>0</v>
      </c>
      <c r="AB104" s="8">
        <f ca="1">IFERROR(SUMIFS(FACTURA!$T:$T,FACTURA!$AA:$AA,RESUMEN!$C104,FACTURA!$G:$G,RESUMEN!AB$91),0)</f>
        <v>0</v>
      </c>
      <c r="AC104" s="8">
        <f ca="1">IFERROR(SUMIFS(FACTURA!$T:$T,FACTURA!$AA:$AA,RESUMEN!$C104,FACTURA!$G:$G,RESUMEN!AC$91),0)</f>
        <v>0</v>
      </c>
      <c r="AD104" s="8">
        <f ca="1">IFERROR(SUMIFS(FACTURA!$T:$T,FACTURA!$AA:$AA,RESUMEN!$C104,FACTURA!$G:$G,RESUMEN!AD$91),0)</f>
        <v>0</v>
      </c>
      <c r="AE104" s="8">
        <f ca="1">IFERROR(SUMIFS(FACTURA!$T:$T,FACTURA!$AA:$AA,RESUMEN!$C104,FACTURA!$G:$G,RESUMEN!AE$91),0)</f>
        <v>0</v>
      </c>
      <c r="AF104" s="8">
        <f ca="1">IFERROR(SUMIFS(FACTURA!$T:$T,FACTURA!$AA:$AA,RESUMEN!$C104,FACTURA!$G:$G,RESUMEN!AF$91),0)</f>
        <v>0</v>
      </c>
      <c r="AG104" s="8">
        <f ca="1">IFERROR(SUMIFS(FACTURA!$T:$T,FACTURA!$AA:$AA,RESUMEN!$C104,FACTURA!$G:$G,RESUMEN!AG$91),0)</f>
        <v>0</v>
      </c>
      <c r="AH104" s="8">
        <f ca="1">IFERROR(SUMIFS(FACTURA!$T:$T,FACTURA!$AA:$AA,RESUMEN!$C104,FACTURA!$G:$G,RESUMEN!AH$91),0)</f>
        <v>0</v>
      </c>
      <c r="AI104" s="8">
        <f ca="1">IFERROR(SUMIFS(FACTURA!$T:$T,FACTURA!$AA:$AA,RESUMEN!$C104,FACTURA!$G:$G,RESUMEN!AI$91),0)</f>
        <v>0</v>
      </c>
      <c r="AJ104" s="8">
        <f ca="1">IFERROR(SUMIFS(FACTURA!$T:$T,FACTURA!$AA:$AA,RESUMEN!$C104,FACTURA!$G:$G,RESUMEN!AJ$91),0)</f>
        <v>0</v>
      </c>
      <c r="AK104" s="31"/>
      <c r="AL104" s="31"/>
      <c r="AM104" s="31"/>
      <c r="AN104" s="31"/>
      <c r="AO104" s="31"/>
      <c r="AP104" s="31"/>
      <c r="AQ104" s="31"/>
      <c r="AR104" s="31"/>
    </row>
    <row r="105" spans="2:44" x14ac:dyDescent="0.25">
      <c r="B105" s="143">
        <f t="shared" si="50"/>
        <v>14</v>
      </c>
      <c r="C105" s="202" t="str">
        <f t="shared" si="50"/>
        <v xml:space="preserve">- </v>
      </c>
      <c r="D105" s="144" t="str">
        <f t="shared" si="50"/>
        <v/>
      </c>
      <c r="E105" s="145"/>
      <c r="F105" s="146">
        <f ca="1">IFERROR(SUMIFS(FACTURA!$T:$T,FACTURA!$AA:$AA,RESUMEN!$C105,FACTURA!$G:$G,RESUMEN!F$91),0)</f>
        <v>0</v>
      </c>
      <c r="G105" s="146">
        <f ca="1">IFERROR(SUMIFS(FACTURA!$T:$T,FACTURA!$AA:$AA,RESUMEN!$C105,FACTURA!$G:$G,RESUMEN!G$91),0)</f>
        <v>0</v>
      </c>
      <c r="H105" s="146">
        <f ca="1">IFERROR(SUMIFS(FACTURA!$T:$T,FACTURA!$AA:$AA,RESUMEN!$C105,FACTURA!$G:$G,RESUMEN!H$91),0)</f>
        <v>0</v>
      </c>
      <c r="I105" s="146">
        <f ca="1">IFERROR(SUMIFS(FACTURA!$T:$T,FACTURA!$AA:$AA,RESUMEN!$C105,FACTURA!$G:$G,RESUMEN!I$91),0)</f>
        <v>0</v>
      </c>
      <c r="J105" s="146">
        <f ca="1">IFERROR(SUMIFS(FACTURA!$T:$T,FACTURA!$AA:$AA,RESUMEN!$C105,FACTURA!$G:$G,RESUMEN!J$91),0)</f>
        <v>0</v>
      </c>
      <c r="K105" s="146">
        <f ca="1">IFERROR(SUMIFS(FACTURA!$T:$T,FACTURA!$AA:$AA,RESUMEN!$C105,FACTURA!$G:$G,RESUMEN!K$91),0)</f>
        <v>0</v>
      </c>
      <c r="L105" s="146">
        <f ca="1">IFERROR(SUMIFS(FACTURA!$T:$T,FACTURA!$AA:$AA,RESUMEN!$C105,FACTURA!$G:$G,RESUMEN!L$91),0)</f>
        <v>0</v>
      </c>
      <c r="M105" s="146">
        <f ca="1">IFERROR(SUMIFS(FACTURA!$T:$T,FACTURA!$AA:$AA,RESUMEN!$C105,FACTURA!$G:$G,RESUMEN!M$91),0)</f>
        <v>0</v>
      </c>
      <c r="N105" s="146">
        <f ca="1">IFERROR(SUMIFS(FACTURA!$T:$T,FACTURA!$AA:$AA,RESUMEN!$C105,FACTURA!$G:$G,RESUMEN!N$91),0)</f>
        <v>0</v>
      </c>
      <c r="O105" s="146">
        <f ca="1">IFERROR(SUMIFS(FACTURA!$T:$T,FACTURA!$AA:$AA,RESUMEN!$C105,FACTURA!$G:$G,RESUMEN!O$91),0)</f>
        <v>0</v>
      </c>
      <c r="P105" s="146">
        <f ca="1">IFERROR(SUMIFS(FACTURA!$T:$T,FACTURA!$AA:$AA,RESUMEN!$C105,FACTURA!$G:$G,RESUMEN!P$91),0)</f>
        <v>0</v>
      </c>
      <c r="Q105" s="146">
        <f ca="1">IFERROR(SUMIFS(FACTURA!$T:$T,FACTURA!$AA:$AA,RESUMEN!$C105,FACTURA!$G:$G,RESUMEN!Q$91),0)</f>
        <v>0</v>
      </c>
      <c r="R105" s="146">
        <f ca="1">IFERROR(SUMIFS(FACTURA!$T:$T,FACTURA!$AA:$AA,RESUMEN!$C105,FACTURA!$G:$G,RESUMEN!R$91),0)</f>
        <v>0</v>
      </c>
      <c r="S105" s="146">
        <f ca="1">IFERROR(SUMIFS(FACTURA!$T:$T,FACTURA!$AA:$AA,RESUMEN!$C105,FACTURA!$G:$G,RESUMEN!S$91),0)</f>
        <v>0</v>
      </c>
      <c r="T105" s="146">
        <f ca="1">IFERROR(SUMIFS(FACTURA!$T:$T,FACTURA!$AA:$AA,RESUMEN!$C105,FACTURA!$G:$G,RESUMEN!T$91),0)</f>
        <v>0</v>
      </c>
      <c r="U105" s="146">
        <f ca="1">IFERROR(SUMIFS(FACTURA!$T:$T,FACTURA!$AA:$AA,RESUMEN!$C105,FACTURA!$G:$G,RESUMEN!U$91),0)</f>
        <v>0</v>
      </c>
      <c r="V105" s="146">
        <f ca="1">IFERROR(SUMIFS(FACTURA!$T:$T,FACTURA!$AA:$AA,RESUMEN!$C105,FACTURA!$G:$G,RESUMEN!V$91),0)</f>
        <v>0</v>
      </c>
      <c r="W105" s="146">
        <f ca="1">IFERROR(SUMIFS(FACTURA!$T:$T,FACTURA!$AA:$AA,RESUMEN!$C105,FACTURA!$G:$G,RESUMEN!W$91),0)</f>
        <v>0</v>
      </c>
      <c r="X105" s="146">
        <f ca="1">IFERROR(SUMIFS(FACTURA!$T:$T,FACTURA!$AA:$AA,RESUMEN!$C105,FACTURA!$G:$G,RESUMEN!X$91),0)</f>
        <v>0</v>
      </c>
      <c r="Y105" s="146">
        <f ca="1">IFERROR(SUMIFS(FACTURA!$T:$T,FACTURA!$AA:$AA,RESUMEN!$C105,FACTURA!$G:$G,RESUMEN!Y$91),0)</f>
        <v>0</v>
      </c>
      <c r="Z105" s="146">
        <f ca="1">IFERROR(SUMIFS(FACTURA!$T:$T,FACTURA!$AA:$AA,RESUMEN!$C105,FACTURA!$G:$G,RESUMEN!Z$91),0)</f>
        <v>0</v>
      </c>
      <c r="AA105" s="146">
        <f ca="1">IFERROR(SUMIFS(FACTURA!$T:$T,FACTURA!$AA:$AA,RESUMEN!$C105,FACTURA!$G:$G,RESUMEN!AA$91),0)</f>
        <v>0</v>
      </c>
      <c r="AB105" s="146">
        <f ca="1">IFERROR(SUMIFS(FACTURA!$T:$T,FACTURA!$AA:$AA,RESUMEN!$C105,FACTURA!$G:$G,RESUMEN!AB$91),0)</f>
        <v>0</v>
      </c>
      <c r="AC105" s="146">
        <f ca="1">IFERROR(SUMIFS(FACTURA!$T:$T,FACTURA!$AA:$AA,RESUMEN!$C105,FACTURA!$G:$G,RESUMEN!AC$91),0)</f>
        <v>0</v>
      </c>
      <c r="AD105" s="146">
        <f ca="1">IFERROR(SUMIFS(FACTURA!$T:$T,FACTURA!$AA:$AA,RESUMEN!$C105,FACTURA!$G:$G,RESUMEN!AD$91),0)</f>
        <v>0</v>
      </c>
      <c r="AE105" s="146">
        <f ca="1">IFERROR(SUMIFS(FACTURA!$T:$T,FACTURA!$AA:$AA,RESUMEN!$C105,FACTURA!$G:$G,RESUMEN!AE$91),0)</f>
        <v>0</v>
      </c>
      <c r="AF105" s="146">
        <f ca="1">IFERROR(SUMIFS(FACTURA!$T:$T,FACTURA!$AA:$AA,RESUMEN!$C105,FACTURA!$G:$G,RESUMEN!AF$91),0)</f>
        <v>0</v>
      </c>
      <c r="AG105" s="146">
        <f ca="1">IFERROR(SUMIFS(FACTURA!$T:$T,FACTURA!$AA:$AA,RESUMEN!$C105,FACTURA!$G:$G,RESUMEN!AG$91),0)</f>
        <v>0</v>
      </c>
      <c r="AH105" s="146">
        <f ca="1">IFERROR(SUMIFS(FACTURA!$T:$T,FACTURA!$AA:$AA,RESUMEN!$C105,FACTURA!$G:$G,RESUMEN!AH$91),0)</f>
        <v>0</v>
      </c>
      <c r="AI105" s="146">
        <f ca="1">IFERROR(SUMIFS(FACTURA!$T:$T,FACTURA!$AA:$AA,RESUMEN!$C105,FACTURA!$G:$G,RESUMEN!AI$91),0)</f>
        <v>0</v>
      </c>
      <c r="AJ105" s="146">
        <f ca="1">IFERROR(SUMIFS(FACTURA!$T:$T,FACTURA!$AA:$AA,RESUMEN!$C105,FACTURA!$G:$G,RESUMEN!AJ$91),0)</f>
        <v>0</v>
      </c>
      <c r="AK105" s="31"/>
      <c r="AL105" s="31"/>
      <c r="AM105" s="31"/>
      <c r="AN105" s="31"/>
      <c r="AO105" s="31"/>
      <c r="AP105" s="31"/>
      <c r="AQ105" s="31"/>
      <c r="AR105" s="31"/>
    </row>
    <row r="106" spans="2:44" x14ac:dyDescent="0.25">
      <c r="B106" s="143">
        <f t="shared" si="50"/>
        <v>15</v>
      </c>
      <c r="C106" s="202" t="str">
        <f t="shared" si="50"/>
        <v xml:space="preserve">- </v>
      </c>
      <c r="D106" s="144" t="str">
        <f t="shared" si="50"/>
        <v/>
      </c>
      <c r="E106" s="145"/>
      <c r="F106" s="146">
        <f ca="1">IFERROR(SUMIFS(FACTURA!$T:$T,FACTURA!$AA:$AA,RESUMEN!$C106,FACTURA!$G:$G,RESUMEN!F$91),0)</f>
        <v>0</v>
      </c>
      <c r="G106" s="146">
        <f ca="1">IFERROR(SUMIFS(FACTURA!$T:$T,FACTURA!$AA:$AA,RESUMEN!$C106,FACTURA!$G:$G,RESUMEN!G$91),0)</f>
        <v>0</v>
      </c>
      <c r="H106" s="146">
        <f ca="1">IFERROR(SUMIFS(FACTURA!$T:$T,FACTURA!$AA:$AA,RESUMEN!$C106,FACTURA!$G:$G,RESUMEN!H$91),0)</f>
        <v>0</v>
      </c>
      <c r="I106" s="146">
        <f ca="1">IFERROR(SUMIFS(FACTURA!$T:$T,FACTURA!$AA:$AA,RESUMEN!$C106,FACTURA!$G:$G,RESUMEN!I$91),0)</f>
        <v>0</v>
      </c>
      <c r="J106" s="146">
        <f ca="1">IFERROR(SUMIFS(FACTURA!$T:$T,FACTURA!$AA:$AA,RESUMEN!$C106,FACTURA!$G:$G,RESUMEN!J$91),0)</f>
        <v>0</v>
      </c>
      <c r="K106" s="146">
        <f ca="1">IFERROR(SUMIFS(FACTURA!$T:$T,FACTURA!$AA:$AA,RESUMEN!$C106,FACTURA!$G:$G,RESUMEN!K$91),0)</f>
        <v>0</v>
      </c>
      <c r="L106" s="146">
        <f ca="1">IFERROR(SUMIFS(FACTURA!$T:$T,FACTURA!$AA:$AA,RESUMEN!$C106,FACTURA!$G:$G,RESUMEN!L$91),0)</f>
        <v>0</v>
      </c>
      <c r="M106" s="146">
        <f ca="1">IFERROR(SUMIFS(FACTURA!$T:$T,FACTURA!$AA:$AA,RESUMEN!$C106,FACTURA!$G:$G,RESUMEN!M$91),0)</f>
        <v>0</v>
      </c>
      <c r="N106" s="146">
        <f ca="1">IFERROR(SUMIFS(FACTURA!$T:$T,FACTURA!$AA:$AA,RESUMEN!$C106,FACTURA!$G:$G,RESUMEN!N$91),0)</f>
        <v>0</v>
      </c>
      <c r="O106" s="146">
        <f ca="1">IFERROR(SUMIFS(FACTURA!$T:$T,FACTURA!$AA:$AA,RESUMEN!$C106,FACTURA!$G:$G,RESUMEN!O$91),0)</f>
        <v>0</v>
      </c>
      <c r="P106" s="146">
        <f ca="1">IFERROR(SUMIFS(FACTURA!$T:$T,FACTURA!$AA:$AA,RESUMEN!$C106,FACTURA!$G:$G,RESUMEN!P$91),0)</f>
        <v>0</v>
      </c>
      <c r="Q106" s="146">
        <f ca="1">IFERROR(SUMIFS(FACTURA!$T:$T,FACTURA!$AA:$AA,RESUMEN!$C106,FACTURA!$G:$G,RESUMEN!Q$91),0)</f>
        <v>0</v>
      </c>
      <c r="R106" s="146">
        <f ca="1">IFERROR(SUMIFS(FACTURA!$T:$T,FACTURA!$AA:$AA,RESUMEN!$C106,FACTURA!$G:$G,RESUMEN!R$91),0)</f>
        <v>0</v>
      </c>
      <c r="S106" s="146">
        <f ca="1">IFERROR(SUMIFS(FACTURA!$T:$T,FACTURA!$AA:$AA,RESUMEN!$C106,FACTURA!$G:$G,RESUMEN!S$91),0)</f>
        <v>0</v>
      </c>
      <c r="T106" s="146">
        <f ca="1">IFERROR(SUMIFS(FACTURA!$T:$T,FACTURA!$AA:$AA,RESUMEN!$C106,FACTURA!$G:$G,RESUMEN!T$91),0)</f>
        <v>0</v>
      </c>
      <c r="U106" s="146">
        <f ca="1">IFERROR(SUMIFS(FACTURA!$T:$T,FACTURA!$AA:$AA,RESUMEN!$C106,FACTURA!$G:$G,RESUMEN!U$91),0)</f>
        <v>0</v>
      </c>
      <c r="V106" s="146">
        <f ca="1">IFERROR(SUMIFS(FACTURA!$T:$T,FACTURA!$AA:$AA,RESUMEN!$C106,FACTURA!$G:$G,RESUMEN!V$91),0)</f>
        <v>0</v>
      </c>
      <c r="W106" s="146">
        <f ca="1">IFERROR(SUMIFS(FACTURA!$T:$T,FACTURA!$AA:$AA,RESUMEN!$C106,FACTURA!$G:$G,RESUMEN!W$91),0)</f>
        <v>0</v>
      </c>
      <c r="X106" s="146">
        <f ca="1">IFERROR(SUMIFS(FACTURA!$T:$T,FACTURA!$AA:$AA,RESUMEN!$C106,FACTURA!$G:$G,RESUMEN!X$91),0)</f>
        <v>0</v>
      </c>
      <c r="Y106" s="146">
        <f ca="1">IFERROR(SUMIFS(FACTURA!$T:$T,FACTURA!$AA:$AA,RESUMEN!$C106,FACTURA!$G:$G,RESUMEN!Y$91),0)</f>
        <v>0</v>
      </c>
      <c r="Z106" s="146">
        <f ca="1">IFERROR(SUMIFS(FACTURA!$T:$T,FACTURA!$AA:$AA,RESUMEN!$C106,FACTURA!$G:$G,RESUMEN!Z$91),0)</f>
        <v>0</v>
      </c>
      <c r="AA106" s="146">
        <f ca="1">IFERROR(SUMIFS(FACTURA!$T:$T,FACTURA!$AA:$AA,RESUMEN!$C106,FACTURA!$G:$G,RESUMEN!AA$91),0)</f>
        <v>0</v>
      </c>
      <c r="AB106" s="146">
        <f ca="1">IFERROR(SUMIFS(FACTURA!$T:$T,FACTURA!$AA:$AA,RESUMEN!$C106,FACTURA!$G:$G,RESUMEN!AB$91),0)</f>
        <v>0</v>
      </c>
      <c r="AC106" s="146">
        <f ca="1">IFERROR(SUMIFS(FACTURA!$T:$T,FACTURA!$AA:$AA,RESUMEN!$C106,FACTURA!$G:$G,RESUMEN!AC$91),0)</f>
        <v>0</v>
      </c>
      <c r="AD106" s="146">
        <f ca="1">IFERROR(SUMIFS(FACTURA!$T:$T,FACTURA!$AA:$AA,RESUMEN!$C106,FACTURA!$G:$G,RESUMEN!AD$91),0)</f>
        <v>0</v>
      </c>
      <c r="AE106" s="146">
        <f ca="1">IFERROR(SUMIFS(FACTURA!$T:$T,FACTURA!$AA:$AA,RESUMEN!$C106,FACTURA!$G:$G,RESUMEN!AE$91),0)</f>
        <v>0</v>
      </c>
      <c r="AF106" s="146">
        <f ca="1">IFERROR(SUMIFS(FACTURA!$T:$T,FACTURA!$AA:$AA,RESUMEN!$C106,FACTURA!$G:$G,RESUMEN!AF$91),0)</f>
        <v>0</v>
      </c>
      <c r="AG106" s="146">
        <f ca="1">IFERROR(SUMIFS(FACTURA!$T:$T,FACTURA!$AA:$AA,RESUMEN!$C106,FACTURA!$G:$G,RESUMEN!AG$91),0)</f>
        <v>0</v>
      </c>
      <c r="AH106" s="146">
        <f ca="1">IFERROR(SUMIFS(FACTURA!$T:$T,FACTURA!$AA:$AA,RESUMEN!$C106,FACTURA!$G:$G,RESUMEN!AH$91),0)</f>
        <v>0</v>
      </c>
      <c r="AI106" s="146">
        <f ca="1">IFERROR(SUMIFS(FACTURA!$T:$T,FACTURA!$AA:$AA,RESUMEN!$C106,FACTURA!$G:$G,RESUMEN!AI$91),0)</f>
        <v>0</v>
      </c>
      <c r="AJ106" s="146">
        <f ca="1">IFERROR(SUMIFS(FACTURA!$T:$T,FACTURA!$AA:$AA,RESUMEN!$C106,FACTURA!$G:$G,RESUMEN!AJ$91),0)</f>
        <v>0</v>
      </c>
      <c r="AK106" s="31"/>
      <c r="AL106" s="31"/>
      <c r="AM106" s="31"/>
      <c r="AN106" s="31"/>
      <c r="AO106" s="31"/>
      <c r="AP106" s="31"/>
      <c r="AQ106" s="31"/>
      <c r="AR106" s="31"/>
    </row>
    <row r="107" spans="2:44" x14ac:dyDescent="0.25">
      <c r="B107" s="143">
        <f t="shared" si="50"/>
        <v>16</v>
      </c>
      <c r="C107" s="202" t="str">
        <f t="shared" si="50"/>
        <v xml:space="preserve">- </v>
      </c>
      <c r="D107" s="144" t="str">
        <f t="shared" si="50"/>
        <v/>
      </c>
      <c r="E107" s="145"/>
      <c r="F107" s="146">
        <f ca="1">IFERROR(SUMIFS(FACTURA!$T:$T,FACTURA!$AA:$AA,RESUMEN!$C107,FACTURA!$G:$G,RESUMEN!F$91),0)</f>
        <v>0</v>
      </c>
      <c r="G107" s="146">
        <f ca="1">IFERROR(SUMIFS(FACTURA!$T:$T,FACTURA!$AA:$AA,RESUMEN!$C107,FACTURA!$G:$G,RESUMEN!G$91),0)</f>
        <v>0</v>
      </c>
      <c r="H107" s="146">
        <f ca="1">IFERROR(SUMIFS(FACTURA!$T:$T,FACTURA!$AA:$AA,RESUMEN!$C107,FACTURA!$G:$G,RESUMEN!H$91),0)</f>
        <v>0</v>
      </c>
      <c r="I107" s="146">
        <f ca="1">IFERROR(SUMIFS(FACTURA!$T:$T,FACTURA!$AA:$AA,RESUMEN!$C107,FACTURA!$G:$G,RESUMEN!I$91),0)</f>
        <v>0</v>
      </c>
      <c r="J107" s="146">
        <f ca="1">IFERROR(SUMIFS(FACTURA!$T:$T,FACTURA!$AA:$AA,RESUMEN!$C107,FACTURA!$G:$G,RESUMEN!J$91),0)</f>
        <v>0</v>
      </c>
      <c r="K107" s="146">
        <f ca="1">IFERROR(SUMIFS(FACTURA!$T:$T,FACTURA!$AA:$AA,RESUMEN!$C107,FACTURA!$G:$G,RESUMEN!K$91),0)</f>
        <v>0</v>
      </c>
      <c r="L107" s="146">
        <f ca="1">IFERROR(SUMIFS(FACTURA!$T:$T,FACTURA!$AA:$AA,RESUMEN!$C107,FACTURA!$G:$G,RESUMEN!L$91),0)</f>
        <v>0</v>
      </c>
      <c r="M107" s="146">
        <f ca="1">IFERROR(SUMIFS(FACTURA!$T:$T,FACTURA!$AA:$AA,RESUMEN!$C107,FACTURA!$G:$G,RESUMEN!M$91),0)</f>
        <v>0</v>
      </c>
      <c r="N107" s="146">
        <f ca="1">IFERROR(SUMIFS(FACTURA!$T:$T,FACTURA!$AA:$AA,RESUMEN!$C107,FACTURA!$G:$G,RESUMEN!N$91),0)</f>
        <v>0</v>
      </c>
      <c r="O107" s="146">
        <f ca="1">IFERROR(SUMIFS(FACTURA!$T:$T,FACTURA!$AA:$AA,RESUMEN!$C107,FACTURA!$G:$G,RESUMEN!O$91),0)</f>
        <v>0</v>
      </c>
      <c r="P107" s="146">
        <f ca="1">IFERROR(SUMIFS(FACTURA!$T:$T,FACTURA!$AA:$AA,RESUMEN!$C107,FACTURA!$G:$G,RESUMEN!P$91),0)</f>
        <v>0</v>
      </c>
      <c r="Q107" s="146">
        <f ca="1">IFERROR(SUMIFS(FACTURA!$T:$T,FACTURA!$AA:$AA,RESUMEN!$C107,FACTURA!$G:$G,RESUMEN!Q$91),0)</f>
        <v>0</v>
      </c>
      <c r="R107" s="146">
        <f ca="1">IFERROR(SUMIFS(FACTURA!$T:$T,FACTURA!$AA:$AA,RESUMEN!$C107,FACTURA!$G:$G,RESUMEN!R$91),0)</f>
        <v>0</v>
      </c>
      <c r="S107" s="146">
        <f ca="1">IFERROR(SUMIFS(FACTURA!$T:$T,FACTURA!$AA:$AA,RESUMEN!$C107,FACTURA!$G:$G,RESUMEN!S$91),0)</f>
        <v>0</v>
      </c>
      <c r="T107" s="146">
        <f ca="1">IFERROR(SUMIFS(FACTURA!$T:$T,FACTURA!$AA:$AA,RESUMEN!$C107,FACTURA!$G:$G,RESUMEN!T$91),0)</f>
        <v>0</v>
      </c>
      <c r="U107" s="146">
        <f ca="1">IFERROR(SUMIFS(FACTURA!$T:$T,FACTURA!$AA:$AA,RESUMEN!$C107,FACTURA!$G:$G,RESUMEN!U$91),0)</f>
        <v>0</v>
      </c>
      <c r="V107" s="146">
        <f ca="1">IFERROR(SUMIFS(FACTURA!$T:$T,FACTURA!$AA:$AA,RESUMEN!$C107,FACTURA!$G:$G,RESUMEN!V$91),0)</f>
        <v>0</v>
      </c>
      <c r="W107" s="146">
        <f ca="1">IFERROR(SUMIFS(FACTURA!$T:$T,FACTURA!$AA:$AA,RESUMEN!$C107,FACTURA!$G:$G,RESUMEN!W$91),0)</f>
        <v>0</v>
      </c>
      <c r="X107" s="146">
        <f ca="1">IFERROR(SUMIFS(FACTURA!$T:$T,FACTURA!$AA:$AA,RESUMEN!$C107,FACTURA!$G:$G,RESUMEN!X$91),0)</f>
        <v>0</v>
      </c>
      <c r="Y107" s="146">
        <f ca="1">IFERROR(SUMIFS(FACTURA!$T:$T,FACTURA!$AA:$AA,RESUMEN!$C107,FACTURA!$G:$G,RESUMEN!Y$91),0)</f>
        <v>0</v>
      </c>
      <c r="Z107" s="146">
        <f ca="1">IFERROR(SUMIFS(FACTURA!$T:$T,FACTURA!$AA:$AA,RESUMEN!$C107,FACTURA!$G:$G,RESUMEN!Z$91),0)</f>
        <v>0</v>
      </c>
      <c r="AA107" s="146">
        <f ca="1">IFERROR(SUMIFS(FACTURA!$T:$T,FACTURA!$AA:$AA,RESUMEN!$C107,FACTURA!$G:$G,RESUMEN!AA$91),0)</f>
        <v>0</v>
      </c>
      <c r="AB107" s="146">
        <f ca="1">IFERROR(SUMIFS(FACTURA!$T:$T,FACTURA!$AA:$AA,RESUMEN!$C107,FACTURA!$G:$G,RESUMEN!AB$91),0)</f>
        <v>0</v>
      </c>
      <c r="AC107" s="146">
        <f ca="1">IFERROR(SUMIFS(FACTURA!$T:$T,FACTURA!$AA:$AA,RESUMEN!$C107,FACTURA!$G:$G,RESUMEN!AC$91),0)</f>
        <v>0</v>
      </c>
      <c r="AD107" s="146">
        <f ca="1">IFERROR(SUMIFS(FACTURA!$T:$T,FACTURA!$AA:$AA,RESUMEN!$C107,FACTURA!$G:$G,RESUMEN!AD$91),0)</f>
        <v>0</v>
      </c>
      <c r="AE107" s="146">
        <f ca="1">IFERROR(SUMIFS(FACTURA!$T:$T,FACTURA!$AA:$AA,RESUMEN!$C107,FACTURA!$G:$G,RESUMEN!AE$91),0)</f>
        <v>0</v>
      </c>
      <c r="AF107" s="146">
        <f ca="1">IFERROR(SUMIFS(FACTURA!$T:$T,FACTURA!$AA:$AA,RESUMEN!$C107,FACTURA!$G:$G,RESUMEN!AF$91),0)</f>
        <v>0</v>
      </c>
      <c r="AG107" s="146">
        <f ca="1">IFERROR(SUMIFS(FACTURA!$T:$T,FACTURA!$AA:$AA,RESUMEN!$C107,FACTURA!$G:$G,RESUMEN!AG$91),0)</f>
        <v>0</v>
      </c>
      <c r="AH107" s="146">
        <f ca="1">IFERROR(SUMIFS(FACTURA!$T:$T,FACTURA!$AA:$AA,RESUMEN!$C107,FACTURA!$G:$G,RESUMEN!AH$91),0)</f>
        <v>0</v>
      </c>
      <c r="AI107" s="146">
        <f ca="1">IFERROR(SUMIFS(FACTURA!$T:$T,FACTURA!$AA:$AA,RESUMEN!$C107,FACTURA!$G:$G,RESUMEN!AI$91),0)</f>
        <v>0</v>
      </c>
      <c r="AJ107" s="146">
        <f ca="1">IFERROR(SUMIFS(FACTURA!$T:$T,FACTURA!$AA:$AA,RESUMEN!$C107,FACTURA!$G:$G,RESUMEN!AJ$91),0)</f>
        <v>0</v>
      </c>
      <c r="AK107" s="31"/>
      <c r="AL107" s="31"/>
      <c r="AM107" s="31"/>
      <c r="AN107" s="31"/>
      <c r="AO107" s="31"/>
      <c r="AP107" s="31"/>
      <c r="AQ107" s="31"/>
      <c r="AR107" s="31"/>
    </row>
    <row r="108" spans="2:44" x14ac:dyDescent="0.25">
      <c r="B108" s="143">
        <f t="shared" si="50"/>
        <v>17</v>
      </c>
      <c r="C108" s="202" t="str">
        <f t="shared" si="50"/>
        <v xml:space="preserve">- </v>
      </c>
      <c r="D108" s="144" t="str">
        <f t="shared" si="50"/>
        <v/>
      </c>
      <c r="E108" s="145"/>
      <c r="F108" s="146">
        <f ca="1">IFERROR(SUMIFS(FACTURA!$T:$T,FACTURA!$AA:$AA,RESUMEN!$C108,FACTURA!$G:$G,RESUMEN!F$91),0)</f>
        <v>0</v>
      </c>
      <c r="G108" s="146">
        <f ca="1">IFERROR(SUMIFS(FACTURA!$T:$T,FACTURA!$AA:$AA,RESUMEN!$C108,FACTURA!$G:$G,RESUMEN!G$91),0)</f>
        <v>0</v>
      </c>
      <c r="H108" s="146">
        <f ca="1">IFERROR(SUMIFS(FACTURA!$T:$T,FACTURA!$AA:$AA,RESUMEN!$C108,FACTURA!$G:$G,RESUMEN!H$91),0)</f>
        <v>0</v>
      </c>
      <c r="I108" s="146">
        <f ca="1">IFERROR(SUMIFS(FACTURA!$T:$T,FACTURA!$AA:$AA,RESUMEN!$C108,FACTURA!$G:$G,RESUMEN!I$91),0)</f>
        <v>0</v>
      </c>
      <c r="J108" s="146">
        <f ca="1">IFERROR(SUMIFS(FACTURA!$T:$T,FACTURA!$AA:$AA,RESUMEN!$C108,FACTURA!$G:$G,RESUMEN!J$91),0)</f>
        <v>0</v>
      </c>
      <c r="K108" s="146">
        <f ca="1">IFERROR(SUMIFS(FACTURA!$T:$T,FACTURA!$AA:$AA,RESUMEN!$C108,FACTURA!$G:$G,RESUMEN!K$91),0)</f>
        <v>0</v>
      </c>
      <c r="L108" s="146">
        <f ca="1">IFERROR(SUMIFS(FACTURA!$T:$T,FACTURA!$AA:$AA,RESUMEN!$C108,FACTURA!$G:$G,RESUMEN!L$91),0)</f>
        <v>0</v>
      </c>
      <c r="M108" s="146">
        <f ca="1">IFERROR(SUMIFS(FACTURA!$T:$T,FACTURA!$AA:$AA,RESUMEN!$C108,FACTURA!$G:$G,RESUMEN!M$91),0)</f>
        <v>0</v>
      </c>
      <c r="N108" s="146">
        <f ca="1">IFERROR(SUMIFS(FACTURA!$T:$T,FACTURA!$AA:$AA,RESUMEN!$C108,FACTURA!$G:$G,RESUMEN!N$91),0)</f>
        <v>0</v>
      </c>
      <c r="O108" s="146">
        <f ca="1">IFERROR(SUMIFS(FACTURA!$T:$T,FACTURA!$AA:$AA,RESUMEN!$C108,FACTURA!$G:$G,RESUMEN!O$91),0)</f>
        <v>0</v>
      </c>
      <c r="P108" s="146">
        <f ca="1">IFERROR(SUMIFS(FACTURA!$T:$T,FACTURA!$AA:$AA,RESUMEN!$C108,FACTURA!$G:$G,RESUMEN!P$91),0)</f>
        <v>0</v>
      </c>
      <c r="Q108" s="146">
        <f ca="1">IFERROR(SUMIFS(FACTURA!$T:$T,FACTURA!$AA:$AA,RESUMEN!$C108,FACTURA!$G:$G,RESUMEN!Q$91),0)</f>
        <v>0</v>
      </c>
      <c r="R108" s="146">
        <f ca="1">IFERROR(SUMIFS(FACTURA!$T:$T,FACTURA!$AA:$AA,RESUMEN!$C108,FACTURA!$G:$G,RESUMEN!R$91),0)</f>
        <v>0</v>
      </c>
      <c r="S108" s="146">
        <f ca="1">IFERROR(SUMIFS(FACTURA!$T:$T,FACTURA!$AA:$AA,RESUMEN!$C108,FACTURA!$G:$G,RESUMEN!S$91),0)</f>
        <v>0</v>
      </c>
      <c r="T108" s="146">
        <f ca="1">IFERROR(SUMIFS(FACTURA!$T:$T,FACTURA!$AA:$AA,RESUMEN!$C108,FACTURA!$G:$G,RESUMEN!T$91),0)</f>
        <v>0</v>
      </c>
      <c r="U108" s="146">
        <f ca="1">IFERROR(SUMIFS(FACTURA!$T:$T,FACTURA!$AA:$AA,RESUMEN!$C108,FACTURA!$G:$G,RESUMEN!U$91),0)</f>
        <v>0</v>
      </c>
      <c r="V108" s="146">
        <f ca="1">IFERROR(SUMIFS(FACTURA!$T:$T,FACTURA!$AA:$AA,RESUMEN!$C108,FACTURA!$G:$G,RESUMEN!V$91),0)</f>
        <v>0</v>
      </c>
      <c r="W108" s="146">
        <f ca="1">IFERROR(SUMIFS(FACTURA!$T:$T,FACTURA!$AA:$AA,RESUMEN!$C108,FACTURA!$G:$G,RESUMEN!W$91),0)</f>
        <v>0</v>
      </c>
      <c r="X108" s="146">
        <f ca="1">IFERROR(SUMIFS(FACTURA!$T:$T,FACTURA!$AA:$AA,RESUMEN!$C108,FACTURA!$G:$G,RESUMEN!X$91),0)</f>
        <v>0</v>
      </c>
      <c r="Y108" s="146">
        <f ca="1">IFERROR(SUMIFS(FACTURA!$T:$T,FACTURA!$AA:$AA,RESUMEN!$C108,FACTURA!$G:$G,RESUMEN!Y$91),0)</f>
        <v>0</v>
      </c>
      <c r="Z108" s="146">
        <f ca="1">IFERROR(SUMIFS(FACTURA!$T:$T,FACTURA!$AA:$AA,RESUMEN!$C108,FACTURA!$G:$G,RESUMEN!Z$91),0)</f>
        <v>0</v>
      </c>
      <c r="AA108" s="146">
        <f ca="1">IFERROR(SUMIFS(FACTURA!$T:$T,FACTURA!$AA:$AA,RESUMEN!$C108,FACTURA!$G:$G,RESUMEN!AA$91),0)</f>
        <v>0</v>
      </c>
      <c r="AB108" s="146">
        <f ca="1">IFERROR(SUMIFS(FACTURA!$T:$T,FACTURA!$AA:$AA,RESUMEN!$C108,FACTURA!$G:$G,RESUMEN!AB$91),0)</f>
        <v>0</v>
      </c>
      <c r="AC108" s="146">
        <f ca="1">IFERROR(SUMIFS(FACTURA!$T:$T,FACTURA!$AA:$AA,RESUMEN!$C108,FACTURA!$G:$G,RESUMEN!AC$91),0)</f>
        <v>0</v>
      </c>
      <c r="AD108" s="146">
        <f ca="1">IFERROR(SUMIFS(FACTURA!$T:$T,FACTURA!$AA:$AA,RESUMEN!$C108,FACTURA!$G:$G,RESUMEN!AD$91),0)</f>
        <v>0</v>
      </c>
      <c r="AE108" s="146">
        <f ca="1">IFERROR(SUMIFS(FACTURA!$T:$T,FACTURA!$AA:$AA,RESUMEN!$C108,FACTURA!$G:$G,RESUMEN!AE$91),0)</f>
        <v>0</v>
      </c>
      <c r="AF108" s="146">
        <f ca="1">IFERROR(SUMIFS(FACTURA!$T:$T,FACTURA!$AA:$AA,RESUMEN!$C108,FACTURA!$G:$G,RESUMEN!AF$91),0)</f>
        <v>0</v>
      </c>
      <c r="AG108" s="146">
        <f ca="1">IFERROR(SUMIFS(FACTURA!$T:$T,FACTURA!$AA:$AA,RESUMEN!$C108,FACTURA!$G:$G,RESUMEN!AG$91),0)</f>
        <v>0</v>
      </c>
      <c r="AH108" s="146">
        <f ca="1">IFERROR(SUMIFS(FACTURA!$T:$T,FACTURA!$AA:$AA,RESUMEN!$C108,FACTURA!$G:$G,RESUMEN!AH$91),0)</f>
        <v>0</v>
      </c>
      <c r="AI108" s="146">
        <f ca="1">IFERROR(SUMIFS(FACTURA!$T:$T,FACTURA!$AA:$AA,RESUMEN!$C108,FACTURA!$G:$G,RESUMEN!AI$91),0)</f>
        <v>0</v>
      </c>
      <c r="AJ108" s="146">
        <f ca="1">IFERROR(SUMIFS(FACTURA!$T:$T,FACTURA!$AA:$AA,RESUMEN!$C108,FACTURA!$G:$G,RESUMEN!AJ$91),0)</f>
        <v>0</v>
      </c>
      <c r="AK108" s="31"/>
      <c r="AL108" s="31"/>
      <c r="AM108" s="31"/>
      <c r="AN108" s="31"/>
      <c r="AO108" s="31"/>
      <c r="AP108" s="31"/>
      <c r="AQ108" s="31"/>
      <c r="AR108" s="31"/>
    </row>
    <row r="109" spans="2:44" x14ac:dyDescent="0.25">
      <c r="B109" s="143">
        <f t="shared" si="50"/>
        <v>18</v>
      </c>
      <c r="C109" s="202" t="str">
        <f t="shared" si="50"/>
        <v xml:space="preserve">- </v>
      </c>
      <c r="D109" s="144" t="str">
        <f t="shared" si="50"/>
        <v/>
      </c>
      <c r="E109" s="145"/>
      <c r="F109" s="146">
        <f ca="1">IFERROR(SUMIFS(FACTURA!$T:$T,FACTURA!$AA:$AA,RESUMEN!$C109,FACTURA!$G:$G,RESUMEN!F$91),0)</f>
        <v>0</v>
      </c>
      <c r="G109" s="146">
        <f ca="1">IFERROR(SUMIFS(FACTURA!$T:$T,FACTURA!$AA:$AA,RESUMEN!$C109,FACTURA!$G:$G,RESUMEN!G$91),0)</f>
        <v>0</v>
      </c>
      <c r="H109" s="146">
        <f ca="1">IFERROR(SUMIFS(FACTURA!$T:$T,FACTURA!$AA:$AA,RESUMEN!$C109,FACTURA!$G:$G,RESUMEN!H$91),0)</f>
        <v>0</v>
      </c>
      <c r="I109" s="146">
        <f ca="1">IFERROR(SUMIFS(FACTURA!$T:$T,FACTURA!$AA:$AA,RESUMEN!$C109,FACTURA!$G:$G,RESUMEN!I$91),0)</f>
        <v>0</v>
      </c>
      <c r="J109" s="146">
        <f ca="1">IFERROR(SUMIFS(FACTURA!$T:$T,FACTURA!$AA:$AA,RESUMEN!$C109,FACTURA!$G:$G,RESUMEN!J$91),0)</f>
        <v>0</v>
      </c>
      <c r="K109" s="146">
        <f ca="1">IFERROR(SUMIFS(FACTURA!$T:$T,FACTURA!$AA:$AA,RESUMEN!$C109,FACTURA!$G:$G,RESUMEN!K$91),0)</f>
        <v>0</v>
      </c>
      <c r="L109" s="146">
        <f ca="1">IFERROR(SUMIFS(FACTURA!$T:$T,FACTURA!$AA:$AA,RESUMEN!$C109,FACTURA!$G:$G,RESUMEN!L$91),0)</f>
        <v>0</v>
      </c>
      <c r="M109" s="146">
        <f ca="1">IFERROR(SUMIFS(FACTURA!$T:$T,FACTURA!$AA:$AA,RESUMEN!$C109,FACTURA!$G:$G,RESUMEN!M$91),0)</f>
        <v>0</v>
      </c>
      <c r="N109" s="146">
        <f ca="1">IFERROR(SUMIFS(FACTURA!$T:$T,FACTURA!$AA:$AA,RESUMEN!$C109,FACTURA!$G:$G,RESUMEN!N$91),0)</f>
        <v>0</v>
      </c>
      <c r="O109" s="146">
        <f ca="1">IFERROR(SUMIFS(FACTURA!$T:$T,FACTURA!$AA:$AA,RESUMEN!$C109,FACTURA!$G:$G,RESUMEN!O$91),0)</f>
        <v>0</v>
      </c>
      <c r="P109" s="146">
        <f ca="1">IFERROR(SUMIFS(FACTURA!$T:$T,FACTURA!$AA:$AA,RESUMEN!$C109,FACTURA!$G:$G,RESUMEN!P$91),0)</f>
        <v>0</v>
      </c>
      <c r="Q109" s="146">
        <f ca="1">IFERROR(SUMIFS(FACTURA!$T:$T,FACTURA!$AA:$AA,RESUMEN!$C109,FACTURA!$G:$G,RESUMEN!Q$91),0)</f>
        <v>0</v>
      </c>
      <c r="R109" s="146">
        <f ca="1">IFERROR(SUMIFS(FACTURA!$T:$T,FACTURA!$AA:$AA,RESUMEN!$C109,FACTURA!$G:$G,RESUMEN!R$91),0)</f>
        <v>0</v>
      </c>
      <c r="S109" s="146">
        <f ca="1">IFERROR(SUMIFS(FACTURA!$T:$T,FACTURA!$AA:$AA,RESUMEN!$C109,FACTURA!$G:$G,RESUMEN!S$91),0)</f>
        <v>0</v>
      </c>
      <c r="T109" s="146">
        <f ca="1">IFERROR(SUMIFS(FACTURA!$T:$T,FACTURA!$AA:$AA,RESUMEN!$C109,FACTURA!$G:$G,RESUMEN!T$91),0)</f>
        <v>0</v>
      </c>
      <c r="U109" s="146">
        <f ca="1">IFERROR(SUMIFS(FACTURA!$T:$T,FACTURA!$AA:$AA,RESUMEN!$C109,FACTURA!$G:$G,RESUMEN!U$91),0)</f>
        <v>0</v>
      </c>
      <c r="V109" s="146">
        <f ca="1">IFERROR(SUMIFS(FACTURA!$T:$T,FACTURA!$AA:$AA,RESUMEN!$C109,FACTURA!$G:$G,RESUMEN!V$91),0)</f>
        <v>0</v>
      </c>
      <c r="W109" s="146">
        <f ca="1">IFERROR(SUMIFS(FACTURA!$T:$T,FACTURA!$AA:$AA,RESUMEN!$C109,FACTURA!$G:$G,RESUMEN!W$91),0)</f>
        <v>0</v>
      </c>
      <c r="X109" s="146">
        <f ca="1">IFERROR(SUMIFS(FACTURA!$T:$T,FACTURA!$AA:$AA,RESUMEN!$C109,FACTURA!$G:$G,RESUMEN!X$91),0)</f>
        <v>0</v>
      </c>
      <c r="Y109" s="146">
        <f ca="1">IFERROR(SUMIFS(FACTURA!$T:$T,FACTURA!$AA:$AA,RESUMEN!$C109,FACTURA!$G:$G,RESUMEN!Y$91),0)</f>
        <v>0</v>
      </c>
      <c r="Z109" s="146">
        <f ca="1">IFERROR(SUMIFS(FACTURA!$T:$T,FACTURA!$AA:$AA,RESUMEN!$C109,FACTURA!$G:$G,RESUMEN!Z$91),0)</f>
        <v>0</v>
      </c>
      <c r="AA109" s="146">
        <f ca="1">IFERROR(SUMIFS(FACTURA!$T:$T,FACTURA!$AA:$AA,RESUMEN!$C109,FACTURA!$G:$G,RESUMEN!AA$91),0)</f>
        <v>0</v>
      </c>
      <c r="AB109" s="146">
        <f ca="1">IFERROR(SUMIFS(FACTURA!$T:$T,FACTURA!$AA:$AA,RESUMEN!$C109,FACTURA!$G:$G,RESUMEN!AB$91),0)</f>
        <v>0</v>
      </c>
      <c r="AC109" s="146">
        <f ca="1">IFERROR(SUMIFS(FACTURA!$T:$T,FACTURA!$AA:$AA,RESUMEN!$C109,FACTURA!$G:$G,RESUMEN!AC$91),0)</f>
        <v>0</v>
      </c>
      <c r="AD109" s="146">
        <f ca="1">IFERROR(SUMIFS(FACTURA!$T:$T,FACTURA!$AA:$AA,RESUMEN!$C109,FACTURA!$G:$G,RESUMEN!AD$91),0)</f>
        <v>0</v>
      </c>
      <c r="AE109" s="146">
        <f ca="1">IFERROR(SUMIFS(FACTURA!$T:$T,FACTURA!$AA:$AA,RESUMEN!$C109,FACTURA!$G:$G,RESUMEN!AE$91),0)</f>
        <v>0</v>
      </c>
      <c r="AF109" s="146">
        <f ca="1">IFERROR(SUMIFS(FACTURA!$T:$T,FACTURA!$AA:$AA,RESUMEN!$C109,FACTURA!$G:$G,RESUMEN!AF$91),0)</f>
        <v>0</v>
      </c>
      <c r="AG109" s="146">
        <f ca="1">IFERROR(SUMIFS(FACTURA!$T:$T,FACTURA!$AA:$AA,RESUMEN!$C109,FACTURA!$G:$G,RESUMEN!AG$91),0)</f>
        <v>0</v>
      </c>
      <c r="AH109" s="146">
        <f ca="1">IFERROR(SUMIFS(FACTURA!$T:$T,FACTURA!$AA:$AA,RESUMEN!$C109,FACTURA!$G:$G,RESUMEN!AH$91),0)</f>
        <v>0</v>
      </c>
      <c r="AI109" s="146">
        <f ca="1">IFERROR(SUMIFS(FACTURA!$T:$T,FACTURA!$AA:$AA,RESUMEN!$C109,FACTURA!$G:$G,RESUMEN!AI$91),0)</f>
        <v>0</v>
      </c>
      <c r="AJ109" s="146">
        <f ca="1">IFERROR(SUMIFS(FACTURA!$T:$T,FACTURA!$AA:$AA,RESUMEN!$C109,FACTURA!$G:$G,RESUMEN!AJ$91),0)</f>
        <v>0</v>
      </c>
      <c r="AK109" s="31"/>
      <c r="AL109" s="31"/>
      <c r="AM109" s="31"/>
      <c r="AN109" s="31"/>
      <c r="AO109" s="31"/>
      <c r="AP109" s="31"/>
      <c r="AQ109" s="31"/>
      <c r="AR109" s="31"/>
    </row>
    <row r="110" spans="2:44" x14ac:dyDescent="0.25">
      <c r="B110" s="143">
        <f t="shared" si="50"/>
        <v>19</v>
      </c>
      <c r="C110" s="202" t="str">
        <f t="shared" si="50"/>
        <v xml:space="preserve">- </v>
      </c>
      <c r="D110" s="144" t="str">
        <f t="shared" si="50"/>
        <v/>
      </c>
      <c r="E110" s="145"/>
      <c r="F110" s="146">
        <f ca="1">IFERROR(SUMIFS(FACTURA!$T:$T,FACTURA!$AA:$AA,RESUMEN!$C110,FACTURA!$G:$G,RESUMEN!F$91),0)</f>
        <v>0</v>
      </c>
      <c r="G110" s="146">
        <f ca="1">IFERROR(SUMIFS(FACTURA!$T:$T,FACTURA!$AA:$AA,RESUMEN!$C110,FACTURA!$G:$G,RESUMEN!G$91),0)</f>
        <v>0</v>
      </c>
      <c r="H110" s="146">
        <f ca="1">IFERROR(SUMIFS(FACTURA!$T:$T,FACTURA!$AA:$AA,RESUMEN!$C110,FACTURA!$G:$G,RESUMEN!H$91),0)</f>
        <v>0</v>
      </c>
      <c r="I110" s="146">
        <f ca="1">IFERROR(SUMIFS(FACTURA!$T:$T,FACTURA!$AA:$AA,RESUMEN!$C110,FACTURA!$G:$G,RESUMEN!I$91),0)</f>
        <v>0</v>
      </c>
      <c r="J110" s="146">
        <f ca="1">IFERROR(SUMIFS(FACTURA!$T:$T,FACTURA!$AA:$AA,RESUMEN!$C110,FACTURA!$G:$G,RESUMEN!J$91),0)</f>
        <v>0</v>
      </c>
      <c r="K110" s="146">
        <f ca="1">IFERROR(SUMIFS(FACTURA!$T:$T,FACTURA!$AA:$AA,RESUMEN!$C110,FACTURA!$G:$G,RESUMEN!K$91),0)</f>
        <v>0</v>
      </c>
      <c r="L110" s="146">
        <f ca="1">IFERROR(SUMIFS(FACTURA!$T:$T,FACTURA!$AA:$AA,RESUMEN!$C110,FACTURA!$G:$G,RESUMEN!L$91),0)</f>
        <v>0</v>
      </c>
      <c r="M110" s="146">
        <f ca="1">IFERROR(SUMIFS(FACTURA!$T:$T,FACTURA!$AA:$AA,RESUMEN!$C110,FACTURA!$G:$G,RESUMEN!M$91),0)</f>
        <v>0</v>
      </c>
      <c r="N110" s="146">
        <f ca="1">IFERROR(SUMIFS(FACTURA!$T:$T,FACTURA!$AA:$AA,RESUMEN!$C110,FACTURA!$G:$G,RESUMEN!N$91),0)</f>
        <v>0</v>
      </c>
      <c r="O110" s="146">
        <f ca="1">IFERROR(SUMIFS(FACTURA!$T:$T,FACTURA!$AA:$AA,RESUMEN!$C110,FACTURA!$G:$G,RESUMEN!O$91),0)</f>
        <v>0</v>
      </c>
      <c r="P110" s="146">
        <f ca="1">IFERROR(SUMIFS(FACTURA!$T:$T,FACTURA!$AA:$AA,RESUMEN!$C110,FACTURA!$G:$G,RESUMEN!P$91),0)</f>
        <v>0</v>
      </c>
      <c r="Q110" s="146">
        <f ca="1">IFERROR(SUMIFS(FACTURA!$T:$T,FACTURA!$AA:$AA,RESUMEN!$C110,FACTURA!$G:$G,RESUMEN!Q$91),0)</f>
        <v>0</v>
      </c>
      <c r="R110" s="146">
        <f ca="1">IFERROR(SUMIFS(FACTURA!$T:$T,FACTURA!$AA:$AA,RESUMEN!$C110,FACTURA!$G:$G,RESUMEN!R$91),0)</f>
        <v>0</v>
      </c>
      <c r="S110" s="146">
        <f ca="1">IFERROR(SUMIFS(FACTURA!$T:$T,FACTURA!$AA:$AA,RESUMEN!$C110,FACTURA!$G:$G,RESUMEN!S$91),0)</f>
        <v>0</v>
      </c>
      <c r="T110" s="146">
        <f ca="1">IFERROR(SUMIFS(FACTURA!$T:$T,FACTURA!$AA:$AA,RESUMEN!$C110,FACTURA!$G:$G,RESUMEN!T$91),0)</f>
        <v>0</v>
      </c>
      <c r="U110" s="146">
        <f ca="1">IFERROR(SUMIFS(FACTURA!$T:$T,FACTURA!$AA:$AA,RESUMEN!$C110,FACTURA!$G:$G,RESUMEN!U$91),0)</f>
        <v>0</v>
      </c>
      <c r="V110" s="146">
        <f ca="1">IFERROR(SUMIFS(FACTURA!$T:$T,FACTURA!$AA:$AA,RESUMEN!$C110,FACTURA!$G:$G,RESUMEN!V$91),0)</f>
        <v>0</v>
      </c>
      <c r="W110" s="146">
        <f ca="1">IFERROR(SUMIFS(FACTURA!$T:$T,FACTURA!$AA:$AA,RESUMEN!$C110,FACTURA!$G:$G,RESUMEN!W$91),0)</f>
        <v>0</v>
      </c>
      <c r="X110" s="146">
        <f ca="1">IFERROR(SUMIFS(FACTURA!$T:$T,FACTURA!$AA:$AA,RESUMEN!$C110,FACTURA!$G:$G,RESUMEN!X$91),0)</f>
        <v>0</v>
      </c>
      <c r="Y110" s="146">
        <f ca="1">IFERROR(SUMIFS(FACTURA!$T:$T,FACTURA!$AA:$AA,RESUMEN!$C110,FACTURA!$G:$G,RESUMEN!Y$91),0)</f>
        <v>0</v>
      </c>
      <c r="Z110" s="146">
        <f ca="1">IFERROR(SUMIFS(FACTURA!$T:$T,FACTURA!$AA:$AA,RESUMEN!$C110,FACTURA!$G:$G,RESUMEN!Z$91),0)</f>
        <v>0</v>
      </c>
      <c r="AA110" s="146">
        <f ca="1">IFERROR(SUMIFS(FACTURA!$T:$T,FACTURA!$AA:$AA,RESUMEN!$C110,FACTURA!$G:$G,RESUMEN!AA$91),0)</f>
        <v>0</v>
      </c>
      <c r="AB110" s="146">
        <f ca="1">IFERROR(SUMIFS(FACTURA!$T:$T,FACTURA!$AA:$AA,RESUMEN!$C110,FACTURA!$G:$G,RESUMEN!AB$91),0)</f>
        <v>0</v>
      </c>
      <c r="AC110" s="146">
        <f ca="1">IFERROR(SUMIFS(FACTURA!$T:$T,FACTURA!$AA:$AA,RESUMEN!$C110,FACTURA!$G:$G,RESUMEN!AC$91),0)</f>
        <v>0</v>
      </c>
      <c r="AD110" s="146">
        <f ca="1">IFERROR(SUMIFS(FACTURA!$T:$T,FACTURA!$AA:$AA,RESUMEN!$C110,FACTURA!$G:$G,RESUMEN!AD$91),0)</f>
        <v>0</v>
      </c>
      <c r="AE110" s="146">
        <f ca="1">IFERROR(SUMIFS(FACTURA!$T:$T,FACTURA!$AA:$AA,RESUMEN!$C110,FACTURA!$G:$G,RESUMEN!AE$91),0)</f>
        <v>0</v>
      </c>
      <c r="AF110" s="146">
        <f ca="1">IFERROR(SUMIFS(FACTURA!$T:$T,FACTURA!$AA:$AA,RESUMEN!$C110,FACTURA!$G:$G,RESUMEN!AF$91),0)</f>
        <v>0</v>
      </c>
      <c r="AG110" s="146">
        <f ca="1">IFERROR(SUMIFS(FACTURA!$T:$T,FACTURA!$AA:$AA,RESUMEN!$C110,FACTURA!$G:$G,RESUMEN!AG$91),0)</f>
        <v>0</v>
      </c>
      <c r="AH110" s="146">
        <f ca="1">IFERROR(SUMIFS(FACTURA!$T:$T,FACTURA!$AA:$AA,RESUMEN!$C110,FACTURA!$G:$G,RESUMEN!AH$91),0)</f>
        <v>0</v>
      </c>
      <c r="AI110" s="146">
        <f ca="1">IFERROR(SUMIFS(FACTURA!$T:$T,FACTURA!$AA:$AA,RESUMEN!$C110,FACTURA!$G:$G,RESUMEN!AI$91),0)</f>
        <v>0</v>
      </c>
      <c r="AJ110" s="146">
        <f ca="1">IFERROR(SUMIFS(FACTURA!$T:$T,FACTURA!$AA:$AA,RESUMEN!$C110,FACTURA!$G:$G,RESUMEN!AJ$91),0)</f>
        <v>0</v>
      </c>
      <c r="AK110" s="31"/>
      <c r="AL110" s="31"/>
      <c r="AM110" s="31"/>
      <c r="AN110" s="31"/>
      <c r="AO110" s="31"/>
      <c r="AP110" s="31"/>
      <c r="AQ110" s="31"/>
      <c r="AR110" s="31"/>
    </row>
    <row r="111" spans="2:44" x14ac:dyDescent="0.25">
      <c r="B111" s="400" t="s">
        <v>3</v>
      </c>
      <c r="C111" s="401"/>
      <c r="D111" s="402"/>
      <c r="E111" s="4"/>
      <c r="F111" s="8">
        <f t="shared" ref="F111:AJ111" ca="1" si="51">SUM(F92:F110)</f>
        <v>0</v>
      </c>
      <c r="G111" s="8">
        <f t="shared" ca="1" si="51"/>
        <v>0</v>
      </c>
      <c r="H111" s="8">
        <f t="shared" ca="1" si="51"/>
        <v>0</v>
      </c>
      <c r="I111" s="8">
        <f t="shared" ca="1" si="51"/>
        <v>0</v>
      </c>
      <c r="J111" s="225">
        <f t="shared" ca="1" si="51"/>
        <v>0</v>
      </c>
      <c r="K111" s="8">
        <f t="shared" ca="1" si="51"/>
        <v>0</v>
      </c>
      <c r="L111" s="8">
        <f t="shared" ca="1" si="51"/>
        <v>0</v>
      </c>
      <c r="M111" s="8">
        <f t="shared" ca="1" si="51"/>
        <v>0</v>
      </c>
      <c r="N111" s="8">
        <f t="shared" ca="1" si="51"/>
        <v>0</v>
      </c>
      <c r="O111" s="8">
        <f t="shared" ca="1" si="51"/>
        <v>0</v>
      </c>
      <c r="P111" s="8">
        <f t="shared" ca="1" si="51"/>
        <v>0</v>
      </c>
      <c r="Q111" s="8">
        <f t="shared" ca="1" si="51"/>
        <v>0</v>
      </c>
      <c r="R111" s="8">
        <f t="shared" ca="1" si="51"/>
        <v>0</v>
      </c>
      <c r="S111" s="8">
        <f t="shared" ca="1" si="51"/>
        <v>0</v>
      </c>
      <c r="T111" s="8">
        <f t="shared" ca="1" si="51"/>
        <v>0</v>
      </c>
      <c r="U111" s="8">
        <f t="shared" ca="1" si="51"/>
        <v>0</v>
      </c>
      <c r="V111" s="8">
        <f t="shared" ca="1" si="51"/>
        <v>0</v>
      </c>
      <c r="W111" s="8">
        <f t="shared" ca="1" si="51"/>
        <v>0</v>
      </c>
      <c r="X111" s="8">
        <f t="shared" ca="1" si="51"/>
        <v>0</v>
      </c>
      <c r="Y111" s="8">
        <f t="shared" ca="1" si="51"/>
        <v>0</v>
      </c>
      <c r="Z111" s="8">
        <f t="shared" ca="1" si="51"/>
        <v>0</v>
      </c>
      <c r="AA111" s="8">
        <f t="shared" ca="1" si="51"/>
        <v>0</v>
      </c>
      <c r="AB111" s="8">
        <f t="shared" ca="1" si="51"/>
        <v>0</v>
      </c>
      <c r="AC111" s="8">
        <f t="shared" ca="1" si="51"/>
        <v>0</v>
      </c>
      <c r="AD111" s="8">
        <f t="shared" ca="1" si="51"/>
        <v>0</v>
      </c>
      <c r="AE111" s="8">
        <f t="shared" ca="1" si="51"/>
        <v>0</v>
      </c>
      <c r="AF111" s="8">
        <f t="shared" ca="1" si="51"/>
        <v>0</v>
      </c>
      <c r="AG111" s="8">
        <f t="shared" ca="1" si="51"/>
        <v>0</v>
      </c>
      <c r="AH111" s="8">
        <f t="shared" ca="1" si="51"/>
        <v>0</v>
      </c>
      <c r="AI111" s="8">
        <f t="shared" ca="1" si="51"/>
        <v>0</v>
      </c>
      <c r="AJ111" s="8">
        <f t="shared" ca="1" si="51"/>
        <v>0</v>
      </c>
      <c r="AK111" s="31"/>
      <c r="AL111" s="31"/>
      <c r="AM111" s="31"/>
      <c r="AN111" s="31"/>
      <c r="AO111" s="31"/>
      <c r="AP111" s="31"/>
      <c r="AQ111" s="31"/>
      <c r="AR111" s="31"/>
    </row>
    <row r="112" spans="2:44" x14ac:dyDescent="0.25">
      <c r="B112" s="167"/>
      <c r="C112" s="167"/>
      <c r="D112" s="167"/>
      <c r="E112" s="5"/>
      <c r="F112" s="31"/>
      <c r="G112" s="31"/>
      <c r="H112" s="31"/>
      <c r="I112" s="31"/>
      <c r="J112" s="230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</row>
    <row r="113" spans="2:32" ht="15.75" x14ac:dyDescent="0.25">
      <c r="B113" s="12" t="s">
        <v>90</v>
      </c>
      <c r="C113" s="198"/>
    </row>
    <row r="115" spans="2:32" x14ac:dyDescent="0.25">
      <c r="B115" s="6" t="s">
        <v>91</v>
      </c>
      <c r="C115" s="200"/>
    </row>
    <row r="116" spans="2:32" x14ac:dyDescent="0.25">
      <c r="B116" s="6"/>
      <c r="C116" s="200"/>
    </row>
    <row r="117" spans="2:32" x14ac:dyDescent="0.25">
      <c r="B117" s="6" t="s">
        <v>139</v>
      </c>
      <c r="C117" s="200"/>
    </row>
    <row r="118" spans="2:32" ht="14.45" customHeight="1" x14ac:dyDescent="0.25">
      <c r="B118" s="6"/>
      <c r="C118" s="200"/>
      <c r="E118" s="394" t="s">
        <v>165</v>
      </c>
      <c r="F118" s="395"/>
      <c r="G118" s="395"/>
      <c r="H118" s="395"/>
      <c r="I118" s="395"/>
      <c r="J118" s="395"/>
      <c r="K118" s="395"/>
      <c r="L118" s="395"/>
      <c r="M118" s="396"/>
      <c r="N118" s="394" t="s">
        <v>5</v>
      </c>
      <c r="O118" s="395"/>
      <c r="P118" s="395"/>
      <c r="Q118" s="395"/>
      <c r="R118" s="395"/>
      <c r="S118" s="395"/>
      <c r="T118" s="395"/>
      <c r="U118" s="396"/>
      <c r="V118" s="253"/>
      <c r="W118" s="394" t="s">
        <v>6</v>
      </c>
      <c r="X118" s="395"/>
      <c r="Y118" s="395"/>
      <c r="Z118" s="395"/>
      <c r="AA118" s="395"/>
      <c r="AB118" s="395"/>
      <c r="AC118" s="395"/>
      <c r="AD118" s="395"/>
      <c r="AE118" s="396"/>
      <c r="AF118" s="254"/>
    </row>
    <row r="119" spans="2:32" ht="14.45" customHeight="1" x14ac:dyDescent="0.25">
      <c r="B119" s="6"/>
      <c r="C119" s="200"/>
      <c r="E119" s="403" t="s">
        <v>15</v>
      </c>
      <c r="F119" s="403" t="s">
        <v>69</v>
      </c>
      <c r="G119" s="404" t="s">
        <v>72</v>
      </c>
      <c r="H119" s="403" t="s">
        <v>76</v>
      </c>
      <c r="I119" s="404" t="s">
        <v>75</v>
      </c>
      <c r="J119" s="405" t="s">
        <v>73</v>
      </c>
      <c r="K119" s="404" t="s">
        <v>80</v>
      </c>
      <c r="L119" s="403" t="s">
        <v>82</v>
      </c>
      <c r="M119" s="388" t="s">
        <v>166</v>
      </c>
      <c r="N119" s="379" t="s">
        <v>15</v>
      </c>
      <c r="O119" s="379" t="s">
        <v>69</v>
      </c>
      <c r="P119" s="386" t="s">
        <v>72</v>
      </c>
      <c r="Q119" s="379" t="s">
        <v>76</v>
      </c>
      <c r="R119" s="386" t="s">
        <v>75</v>
      </c>
      <c r="S119" s="379" t="s">
        <v>73</v>
      </c>
      <c r="T119" s="386" t="s">
        <v>80</v>
      </c>
      <c r="U119" s="379" t="s">
        <v>82</v>
      </c>
      <c r="V119" s="410" t="s">
        <v>138</v>
      </c>
      <c r="W119" s="379" t="s">
        <v>15</v>
      </c>
      <c r="X119" s="379" t="s">
        <v>69</v>
      </c>
      <c r="Y119" s="386" t="s">
        <v>72</v>
      </c>
      <c r="Z119" s="379" t="s">
        <v>76</v>
      </c>
      <c r="AA119" s="386" t="s">
        <v>75</v>
      </c>
      <c r="AB119" s="379" t="s">
        <v>73</v>
      </c>
      <c r="AC119" s="386" t="s">
        <v>80</v>
      </c>
      <c r="AD119" s="379" t="s">
        <v>82</v>
      </c>
      <c r="AE119" s="410" t="s">
        <v>138</v>
      </c>
      <c r="AF119" s="409"/>
    </row>
    <row r="120" spans="2:32" x14ac:dyDescent="0.25">
      <c r="B120" s="79" t="s">
        <v>143</v>
      </c>
      <c r="C120" s="266" t="s">
        <v>216</v>
      </c>
      <c r="D120" s="53" t="s">
        <v>0</v>
      </c>
      <c r="E120" s="379"/>
      <c r="F120" s="379"/>
      <c r="G120" s="386"/>
      <c r="H120" s="379"/>
      <c r="I120" s="386"/>
      <c r="J120" s="391"/>
      <c r="K120" s="386"/>
      <c r="L120" s="379"/>
      <c r="M120" s="389"/>
      <c r="N120" s="380"/>
      <c r="O120" s="380"/>
      <c r="P120" s="387"/>
      <c r="Q120" s="380"/>
      <c r="R120" s="387"/>
      <c r="S120" s="380"/>
      <c r="T120" s="387"/>
      <c r="U120" s="380"/>
      <c r="V120" s="411"/>
      <c r="W120" s="380"/>
      <c r="X120" s="380"/>
      <c r="Y120" s="387"/>
      <c r="Z120" s="380"/>
      <c r="AA120" s="387"/>
      <c r="AB120" s="380"/>
      <c r="AC120" s="387"/>
      <c r="AD120" s="380"/>
      <c r="AE120" s="411"/>
      <c r="AF120" s="409"/>
    </row>
    <row r="121" spans="2:32" x14ac:dyDescent="0.25">
      <c r="B121" s="61">
        <f t="shared" ref="B121:D140" si="52">B19</f>
        <v>1</v>
      </c>
      <c r="C121" s="203" t="str">
        <f t="shared" si="52"/>
        <v xml:space="preserve">- </v>
      </c>
      <c r="D121" s="65" t="str">
        <f t="shared" si="52"/>
        <v/>
      </c>
      <c r="E121" s="161">
        <f>IFERROR(COUNTIFS(CLIENTE!$BD:$BD,RESUMEN!$C121,CLIENTE!$AM:$AM,RESUMEN!E$119),0)</f>
        <v>0</v>
      </c>
      <c r="F121" s="162">
        <f>IFERROR(COUNTIFS(CLIENTE!$BD:$BD,RESUMEN!$C121,CLIENTE!$AM:$AM,RESUMEN!F$119),0)</f>
        <v>0</v>
      </c>
      <c r="G121" s="162">
        <f>IFERROR(COUNTIFS(CLIENTE!$BD:$BD,RESUMEN!$C121,CLIENTE!$AM:$AM,RESUMEN!G$119),0)</f>
        <v>0</v>
      </c>
      <c r="H121" s="162">
        <f>IFERROR(COUNTIFS(CLIENTE!$BD:$BD,RESUMEN!$C121,CLIENTE!$AM:$AM,RESUMEN!H$119),0)</f>
        <v>0</v>
      </c>
      <c r="I121" s="162">
        <f>IFERROR(COUNTIFS(CLIENTE!$BD:$BD,RESUMEN!$C121,CLIENTE!$AM:$AM,RESUMEN!I$119),0)</f>
        <v>0</v>
      </c>
      <c r="J121" s="162">
        <f>IFERROR(COUNTIFS(CLIENTE!$BD:$BD,RESUMEN!$C121,CLIENTE!$AM:$AM,RESUMEN!J$119),0)</f>
        <v>0</v>
      </c>
      <c r="K121" s="162">
        <f>IFERROR(COUNTIFS(CLIENTE!$BD:$BD,RESUMEN!$C121,CLIENTE!$AM:$AM,RESUMEN!K$119),0)</f>
        <v>0</v>
      </c>
      <c r="L121" s="162">
        <f>IFERROR(COUNTIFS(CLIENTE!$BD:$BD,RESUMEN!$C121,CLIENTE!$AM:$AM,RESUMEN!L$119),0)</f>
        <v>0</v>
      </c>
      <c r="M121" s="248">
        <f t="shared" ref="M121:M140" si="53">SUM(E121:L121)</f>
        <v>0</v>
      </c>
      <c r="N121" s="169">
        <f>IFERROR(COUNTIFS(FACTURA!$V:$V,RESUMEN!N$119,FACTURA!$AA:$AA,RESUMEN!$C121,FACTURA!$AK:$AK,1),0)</f>
        <v>0</v>
      </c>
      <c r="O121" s="170">
        <f>IFERROR(COUNTIFS(FACTURA!$V:$V,RESUMEN!O$119,FACTURA!$AA:$AA,RESUMEN!$C121,FACTURA!$AK:$AK,1),0)</f>
        <v>0</v>
      </c>
      <c r="P121" s="170">
        <f>IFERROR(COUNTIFS(FACTURA!$V:$V,RESUMEN!P$119,FACTURA!$AA:$AA,RESUMEN!$C121,FACTURA!$AK:$AK,1),0)</f>
        <v>0</v>
      </c>
      <c r="Q121" s="170">
        <f>IFERROR(COUNTIFS(FACTURA!$V:$V,RESUMEN!Q$119,FACTURA!$AA:$AA,RESUMEN!$C121,FACTURA!$AK:$AK,1),0)</f>
        <v>0</v>
      </c>
      <c r="R121" s="170">
        <f>IFERROR(COUNTIFS(FACTURA!$V:$V,RESUMEN!R$119,FACTURA!$AA:$AA,RESUMEN!$C121,FACTURA!$AK:$AK,1),0)</f>
        <v>0</v>
      </c>
      <c r="S121" s="170">
        <f>IFERROR(COUNTIFS(FACTURA!$V:$V,RESUMEN!S$119,FACTURA!$AA:$AA,RESUMEN!$C121,FACTURA!$AK:$AK,1),0)</f>
        <v>0</v>
      </c>
      <c r="T121" s="170">
        <f>IFERROR(COUNTIFS(FACTURA!$V:$V,RESUMEN!T$119,FACTURA!$AA:$AA,RESUMEN!$C121,FACTURA!$AK:$AK,1),0)</f>
        <v>0</v>
      </c>
      <c r="U121" s="171">
        <f>IFERROR(COUNTIFS(FACTURA!$V:$V,RESUMEN!U$119,FACTURA!$AA:$AA,RESUMEN!$C121,FACTURA!$AK:$AK,1),0)</f>
        <v>0</v>
      </c>
      <c r="V121" s="84">
        <f>SUM(N121:U121)</f>
        <v>0</v>
      </c>
      <c r="W121" s="169">
        <f>IFERROR(COUNTIFS(PEDIDO!$V:$V,RESUMEN!W$119,PEDIDO!$AA:$AA,RESUMEN!$C121,PEDIDO!$AK:$AK,1),0)</f>
        <v>0</v>
      </c>
      <c r="X121" s="170">
        <f>IFERROR(COUNTIFS(PEDIDO!$V:$V,RESUMEN!X$119,PEDIDO!$AA:$AA,RESUMEN!$C121,PEDIDO!$AK:$AK,1),0)</f>
        <v>0</v>
      </c>
      <c r="Y121" s="170">
        <f>IFERROR(COUNTIFS(PEDIDO!$V:$V,RESUMEN!Y$119,PEDIDO!$AA:$AA,RESUMEN!$C121,PEDIDO!$AK:$AK,1),0)</f>
        <v>0</v>
      </c>
      <c r="Z121" s="170">
        <f>IFERROR(COUNTIFS(PEDIDO!$V:$V,RESUMEN!Z$119,PEDIDO!$AA:$AA,RESUMEN!$C121,PEDIDO!$AK:$AK,1),0)</f>
        <v>0</v>
      </c>
      <c r="AA121" s="170">
        <f>IFERROR(COUNTIFS(PEDIDO!$V:$V,RESUMEN!AA$119,PEDIDO!$AA:$AA,RESUMEN!$C121,PEDIDO!$AK:$AK,1),0)</f>
        <v>0</v>
      </c>
      <c r="AB121" s="170">
        <f>IFERROR(COUNTIFS(PEDIDO!$V:$V,RESUMEN!AB$119,PEDIDO!$AA:$AA,RESUMEN!$C121,PEDIDO!$AK:$AK,1),0)</f>
        <v>0</v>
      </c>
      <c r="AC121" s="170">
        <f>IFERROR(COUNTIFS(PEDIDO!$V:$V,RESUMEN!AC$119,PEDIDO!$AA:$AA,RESUMEN!$C121,PEDIDO!$AK:$AK,1),0)</f>
        <v>0</v>
      </c>
      <c r="AD121" s="171">
        <f>IFERROR(COUNTIFS(PEDIDO!$V:$V,RESUMEN!AD$119,PEDIDO!$AA:$AA,RESUMEN!$C121,PEDIDO!$AK:$AK,1),0)</f>
        <v>0</v>
      </c>
      <c r="AE121" s="256">
        <f>SUM(W121:AD121)</f>
        <v>0</v>
      </c>
      <c r="AF121" s="255"/>
    </row>
    <row r="122" spans="2:32" x14ac:dyDescent="0.25">
      <c r="B122" s="62">
        <f t="shared" si="52"/>
        <v>2</v>
      </c>
      <c r="C122" s="204" t="str">
        <f t="shared" si="52"/>
        <v xml:space="preserve">- </v>
      </c>
      <c r="D122" s="18" t="str">
        <f t="shared" si="52"/>
        <v/>
      </c>
      <c r="E122" s="163">
        <f>IFERROR(COUNTIFS(CLIENTE!$BD:$BD,RESUMEN!$C122,CLIENTE!$AM:$AM,RESUMEN!E$119),0)</f>
        <v>0</v>
      </c>
      <c r="F122" s="164">
        <f>IFERROR(COUNTIFS(CLIENTE!$BD:$BD,RESUMEN!$C122,CLIENTE!$AM:$AM,RESUMEN!F$119),0)</f>
        <v>0</v>
      </c>
      <c r="G122" s="164">
        <f>IFERROR(COUNTIFS(CLIENTE!$BD:$BD,RESUMEN!$C122,CLIENTE!$AM:$AM,RESUMEN!G$119),0)</f>
        <v>0</v>
      </c>
      <c r="H122" s="164">
        <f>IFERROR(COUNTIFS(CLIENTE!$BD:$BD,RESUMEN!$C122,CLIENTE!$AM:$AM,RESUMEN!H$119),0)</f>
        <v>0</v>
      </c>
      <c r="I122" s="164">
        <f>IFERROR(COUNTIFS(CLIENTE!$BD:$BD,RESUMEN!$C122,CLIENTE!$AM:$AM,RESUMEN!I$119),0)</f>
        <v>0</v>
      </c>
      <c r="J122" s="164">
        <f>IFERROR(COUNTIFS(CLIENTE!$BD:$BD,RESUMEN!$C122,CLIENTE!$AM:$AM,RESUMEN!J$119),0)</f>
        <v>0</v>
      </c>
      <c r="K122" s="164">
        <f>IFERROR(COUNTIFS(CLIENTE!$BD:$BD,RESUMEN!$C122,CLIENTE!$AM:$AM,RESUMEN!K$119),0)</f>
        <v>0</v>
      </c>
      <c r="L122" s="164">
        <f>IFERROR(COUNTIFS(CLIENTE!$BD:$BD,RESUMEN!$C122,CLIENTE!$AM:$AM,RESUMEN!L$119),0)</f>
        <v>0</v>
      </c>
      <c r="M122" s="249">
        <f t="shared" si="53"/>
        <v>0</v>
      </c>
      <c r="N122" s="20">
        <f>IFERROR(COUNTIFS(FACTURA!$V:$V,RESUMEN!N$119,FACTURA!$AA:$AA,RESUMEN!$C122,FACTURA!$AK:$AK,1),0)</f>
        <v>0</v>
      </c>
      <c r="O122" s="167">
        <f>IFERROR(COUNTIFS(FACTURA!$V:$V,RESUMEN!O$119,FACTURA!$AA:$AA,RESUMEN!$C122,FACTURA!$AK:$AK,1),0)</f>
        <v>0</v>
      </c>
      <c r="P122" s="167">
        <f>IFERROR(COUNTIFS(FACTURA!$V:$V,RESUMEN!P$119,FACTURA!$AA:$AA,RESUMEN!$C122,FACTURA!$AK:$AK,1),0)</f>
        <v>0</v>
      </c>
      <c r="Q122" s="167">
        <f>IFERROR(COUNTIFS(FACTURA!$V:$V,RESUMEN!Q$119,FACTURA!$AA:$AA,RESUMEN!$C122,FACTURA!$AK:$AK,1),0)</f>
        <v>0</v>
      </c>
      <c r="R122" s="167">
        <f>IFERROR(COUNTIFS(FACTURA!$V:$V,RESUMEN!R$119,FACTURA!$AA:$AA,RESUMEN!$C122,FACTURA!$AK:$AK,1),0)</f>
        <v>0</v>
      </c>
      <c r="S122" s="167">
        <f>IFERROR(COUNTIFS(FACTURA!$V:$V,RESUMEN!S$119,FACTURA!$AA:$AA,RESUMEN!$C122,FACTURA!$AK:$AK,1),0)</f>
        <v>0</v>
      </c>
      <c r="T122" s="167">
        <f>IFERROR(COUNTIFS(FACTURA!$V:$V,RESUMEN!T$119,FACTURA!$AA:$AA,RESUMEN!$C122,FACTURA!$AK:$AK,1),0)</f>
        <v>0</v>
      </c>
      <c r="U122" s="168">
        <f>IFERROR(COUNTIFS(FACTURA!$V:$V,RESUMEN!U$119,FACTURA!$AA:$AA,RESUMEN!$C122,FACTURA!$AK:$AK,1),0)</f>
        <v>0</v>
      </c>
      <c r="V122" s="84">
        <f t="shared" ref="V122:V140" si="54">SUM(N122:U122)</f>
        <v>0</v>
      </c>
      <c r="W122" s="20">
        <f>IFERROR(COUNTIFS(PEDIDO!$V:$V,RESUMEN!W$119,PEDIDO!$AA:$AA,RESUMEN!$C122,PEDIDO!$AK:$AK,1),0)</f>
        <v>0</v>
      </c>
      <c r="X122" s="167">
        <f>IFERROR(COUNTIFS(PEDIDO!$V:$V,RESUMEN!X$119,PEDIDO!$AA:$AA,RESUMEN!$C122,PEDIDO!$AK:$AK,1),0)</f>
        <v>0</v>
      </c>
      <c r="Y122" s="167">
        <f>IFERROR(COUNTIFS(PEDIDO!$V:$V,RESUMEN!Y$119,PEDIDO!$AA:$AA,RESUMEN!$C122,PEDIDO!$AK:$AK,1),0)</f>
        <v>0</v>
      </c>
      <c r="Z122" s="167">
        <f>IFERROR(COUNTIFS(PEDIDO!$V:$V,RESUMEN!Z$119,PEDIDO!$AA:$AA,RESUMEN!$C122,PEDIDO!$AK:$AK,1),0)</f>
        <v>0</v>
      </c>
      <c r="AA122" s="167">
        <f>IFERROR(COUNTIFS(PEDIDO!$V:$V,RESUMEN!AA$119,PEDIDO!$AA:$AA,RESUMEN!$C122,PEDIDO!$AK:$AK,1),0)</f>
        <v>0</v>
      </c>
      <c r="AB122" s="167">
        <f>IFERROR(COUNTIFS(PEDIDO!$V:$V,RESUMEN!AB$119,PEDIDO!$AA:$AA,RESUMEN!$C122,PEDIDO!$AK:$AK,1),0)</f>
        <v>0</v>
      </c>
      <c r="AC122" s="167">
        <f>IFERROR(COUNTIFS(PEDIDO!$V:$V,RESUMEN!AC$119,PEDIDO!$AA:$AA,RESUMEN!$C122,PEDIDO!$AK:$AK,1),0)</f>
        <v>0</v>
      </c>
      <c r="AD122" s="168">
        <f>IFERROR(COUNTIFS(PEDIDO!$V:$V,RESUMEN!AD$119,PEDIDO!$AA:$AA,RESUMEN!$C122,PEDIDO!$AK:$AK,1),0)</f>
        <v>0</v>
      </c>
      <c r="AE122" s="257">
        <f t="shared" ref="AE122:AE140" si="55">SUM(W122:AD122)</f>
        <v>0</v>
      </c>
      <c r="AF122" s="255"/>
    </row>
    <row r="123" spans="2:32" x14ac:dyDescent="0.25">
      <c r="B123" s="62">
        <f t="shared" si="52"/>
        <v>3</v>
      </c>
      <c r="C123" s="204" t="str">
        <f t="shared" si="52"/>
        <v xml:space="preserve">- </v>
      </c>
      <c r="D123" s="18" t="str">
        <f t="shared" si="52"/>
        <v/>
      </c>
      <c r="E123" s="163">
        <f>IFERROR(COUNTIFS(CLIENTE!$BD:$BD,RESUMEN!$C123,CLIENTE!$AM:$AM,RESUMEN!E$119),0)</f>
        <v>0</v>
      </c>
      <c r="F123" s="164">
        <f>IFERROR(COUNTIFS(CLIENTE!$BD:$BD,RESUMEN!$C123,CLIENTE!$AM:$AM,RESUMEN!F$119),0)</f>
        <v>0</v>
      </c>
      <c r="G123" s="164">
        <f>IFERROR(COUNTIFS(CLIENTE!$BD:$BD,RESUMEN!$C123,CLIENTE!$AM:$AM,RESUMEN!G$119),0)</f>
        <v>0</v>
      </c>
      <c r="H123" s="164">
        <f>IFERROR(COUNTIFS(CLIENTE!$BD:$BD,RESUMEN!$C123,CLIENTE!$AM:$AM,RESUMEN!H$119),0)</f>
        <v>0</v>
      </c>
      <c r="I123" s="164">
        <f>IFERROR(COUNTIFS(CLIENTE!$BD:$BD,RESUMEN!$C123,CLIENTE!$AM:$AM,RESUMEN!I$119),0)</f>
        <v>0</v>
      </c>
      <c r="J123" s="164">
        <f>IFERROR(COUNTIFS(CLIENTE!$BD:$BD,RESUMEN!$C123,CLIENTE!$AM:$AM,RESUMEN!J$119),0)</f>
        <v>0</v>
      </c>
      <c r="K123" s="164">
        <f>IFERROR(COUNTIFS(CLIENTE!$BD:$BD,RESUMEN!$C123,CLIENTE!$AM:$AM,RESUMEN!K$119),0)</f>
        <v>0</v>
      </c>
      <c r="L123" s="164">
        <f>IFERROR(COUNTIFS(CLIENTE!$BD:$BD,RESUMEN!$C123,CLIENTE!$AM:$AM,RESUMEN!L$119),0)</f>
        <v>0</v>
      </c>
      <c r="M123" s="249">
        <f t="shared" si="53"/>
        <v>0</v>
      </c>
      <c r="N123" s="20">
        <f>IFERROR(COUNTIFS(FACTURA!$V:$V,RESUMEN!N$119,FACTURA!$AA:$AA,RESUMEN!$C123,FACTURA!$AK:$AK,1),0)</f>
        <v>0</v>
      </c>
      <c r="O123" s="167">
        <f>IFERROR(COUNTIFS(FACTURA!$V:$V,RESUMEN!O$119,FACTURA!$AA:$AA,RESUMEN!$C123,FACTURA!$AK:$AK,1),0)</f>
        <v>0</v>
      </c>
      <c r="P123" s="167">
        <f>IFERROR(COUNTIFS(FACTURA!$V:$V,RESUMEN!P$119,FACTURA!$AA:$AA,RESUMEN!$C123,FACTURA!$AK:$AK,1),0)</f>
        <v>0</v>
      </c>
      <c r="Q123" s="167">
        <f>IFERROR(COUNTIFS(FACTURA!$V:$V,RESUMEN!Q$119,FACTURA!$AA:$AA,RESUMEN!$C123,FACTURA!$AK:$AK,1),0)</f>
        <v>0</v>
      </c>
      <c r="R123" s="167">
        <f>IFERROR(COUNTIFS(FACTURA!$V:$V,RESUMEN!R$119,FACTURA!$AA:$AA,RESUMEN!$C123,FACTURA!$AK:$AK,1),0)</f>
        <v>0</v>
      </c>
      <c r="S123" s="167">
        <f>IFERROR(COUNTIFS(FACTURA!$V:$V,RESUMEN!S$119,FACTURA!$AA:$AA,RESUMEN!$C123,FACTURA!$AK:$AK,1),0)</f>
        <v>0</v>
      </c>
      <c r="T123" s="167">
        <f>IFERROR(COUNTIFS(FACTURA!$V:$V,RESUMEN!T$119,FACTURA!$AA:$AA,RESUMEN!$C123,FACTURA!$AK:$AK,1),0)</f>
        <v>0</v>
      </c>
      <c r="U123" s="168">
        <f>IFERROR(COUNTIFS(FACTURA!$V:$V,RESUMEN!U$119,FACTURA!$AA:$AA,RESUMEN!$C123,FACTURA!$AK:$AK,1),0)</f>
        <v>0</v>
      </c>
      <c r="V123" s="84">
        <f t="shared" si="54"/>
        <v>0</v>
      </c>
      <c r="W123" s="20">
        <f>IFERROR(COUNTIFS(PEDIDO!$V:$V,RESUMEN!W$119,PEDIDO!$AA:$AA,RESUMEN!$C123,PEDIDO!$AK:$AK,1),0)</f>
        <v>0</v>
      </c>
      <c r="X123" s="167">
        <f>IFERROR(COUNTIFS(PEDIDO!$V:$V,RESUMEN!X$119,PEDIDO!$AA:$AA,RESUMEN!$C123,PEDIDO!$AK:$AK,1),0)</f>
        <v>0</v>
      </c>
      <c r="Y123" s="167">
        <f>IFERROR(COUNTIFS(PEDIDO!$V:$V,RESUMEN!Y$119,PEDIDO!$AA:$AA,RESUMEN!$C123,PEDIDO!$AK:$AK,1),0)</f>
        <v>0</v>
      </c>
      <c r="Z123" s="167">
        <f>IFERROR(COUNTIFS(PEDIDO!$V:$V,RESUMEN!Z$119,PEDIDO!$AA:$AA,RESUMEN!$C123,PEDIDO!$AK:$AK,1),0)</f>
        <v>0</v>
      </c>
      <c r="AA123" s="167">
        <f>IFERROR(COUNTIFS(PEDIDO!$V:$V,RESUMEN!AA$119,PEDIDO!$AA:$AA,RESUMEN!$C123,PEDIDO!$AK:$AK,1),0)</f>
        <v>0</v>
      </c>
      <c r="AB123" s="167">
        <f>IFERROR(COUNTIFS(PEDIDO!$V:$V,RESUMEN!AB$119,PEDIDO!$AA:$AA,RESUMEN!$C123,PEDIDO!$AK:$AK,1),0)</f>
        <v>0</v>
      </c>
      <c r="AC123" s="167">
        <f>IFERROR(COUNTIFS(PEDIDO!$V:$V,RESUMEN!AC$119,PEDIDO!$AA:$AA,RESUMEN!$C123,PEDIDO!$AK:$AK,1),0)</f>
        <v>0</v>
      </c>
      <c r="AD123" s="168">
        <f>IFERROR(COUNTIFS(PEDIDO!$V:$V,RESUMEN!AD$119,PEDIDO!$AA:$AA,RESUMEN!$C123,PEDIDO!$AK:$AK,1),0)</f>
        <v>0</v>
      </c>
      <c r="AE123" s="257">
        <f t="shared" si="55"/>
        <v>0</v>
      </c>
      <c r="AF123" s="20"/>
    </row>
    <row r="124" spans="2:32" x14ac:dyDescent="0.25">
      <c r="B124" s="62">
        <f t="shared" si="52"/>
        <v>4</v>
      </c>
      <c r="C124" s="204" t="str">
        <f t="shared" si="52"/>
        <v xml:space="preserve">- </v>
      </c>
      <c r="D124" s="18" t="str">
        <f t="shared" si="52"/>
        <v/>
      </c>
      <c r="E124" s="163">
        <f>IFERROR(COUNTIFS(CLIENTE!$BD:$BD,RESUMEN!$C124,CLIENTE!$AM:$AM,RESUMEN!E$119),0)</f>
        <v>0</v>
      </c>
      <c r="F124" s="164">
        <f>IFERROR(COUNTIFS(CLIENTE!$BD:$BD,RESUMEN!$C124,CLIENTE!$AM:$AM,RESUMEN!F$119),0)</f>
        <v>0</v>
      </c>
      <c r="G124" s="164">
        <f>IFERROR(COUNTIFS(CLIENTE!$BD:$BD,RESUMEN!$C124,CLIENTE!$AM:$AM,RESUMEN!G$119),0)</f>
        <v>0</v>
      </c>
      <c r="H124" s="164">
        <f>IFERROR(COUNTIFS(CLIENTE!$BD:$BD,RESUMEN!$C124,CLIENTE!$AM:$AM,RESUMEN!H$119),0)</f>
        <v>0</v>
      </c>
      <c r="I124" s="164">
        <f>IFERROR(COUNTIFS(CLIENTE!$BD:$BD,RESUMEN!$C124,CLIENTE!$AM:$AM,RESUMEN!I$119),0)</f>
        <v>0</v>
      </c>
      <c r="J124" s="164">
        <f>IFERROR(COUNTIFS(CLIENTE!$BD:$BD,RESUMEN!$C124,CLIENTE!$AM:$AM,RESUMEN!J$119),0)</f>
        <v>0</v>
      </c>
      <c r="K124" s="164">
        <f>IFERROR(COUNTIFS(CLIENTE!$BD:$BD,RESUMEN!$C124,CLIENTE!$AM:$AM,RESUMEN!K$119),0)</f>
        <v>0</v>
      </c>
      <c r="L124" s="164">
        <f>IFERROR(COUNTIFS(CLIENTE!$BD:$BD,RESUMEN!$C124,CLIENTE!$AM:$AM,RESUMEN!L$119),0)</f>
        <v>0</v>
      </c>
      <c r="M124" s="249">
        <f t="shared" si="53"/>
        <v>0</v>
      </c>
      <c r="N124" s="20">
        <f>IFERROR(COUNTIFS(FACTURA!$V:$V,RESUMEN!N$119,FACTURA!$AA:$AA,RESUMEN!$C124,FACTURA!$AK:$AK,1),0)</f>
        <v>0</v>
      </c>
      <c r="O124" s="167">
        <f>IFERROR(COUNTIFS(FACTURA!$V:$V,RESUMEN!O$119,FACTURA!$AA:$AA,RESUMEN!$C124,FACTURA!$AK:$AK,1),0)</f>
        <v>0</v>
      </c>
      <c r="P124" s="167">
        <f>IFERROR(COUNTIFS(FACTURA!$V:$V,RESUMEN!P$119,FACTURA!$AA:$AA,RESUMEN!$C124,FACTURA!$AK:$AK,1),0)</f>
        <v>0</v>
      </c>
      <c r="Q124" s="167">
        <f>IFERROR(COUNTIFS(FACTURA!$V:$V,RESUMEN!Q$119,FACTURA!$AA:$AA,RESUMEN!$C124,FACTURA!$AK:$AK,1),0)</f>
        <v>0</v>
      </c>
      <c r="R124" s="167">
        <f>IFERROR(COUNTIFS(FACTURA!$V:$V,RESUMEN!R$119,FACTURA!$AA:$AA,RESUMEN!$C124,FACTURA!$AK:$AK,1),0)</f>
        <v>0</v>
      </c>
      <c r="S124" s="167">
        <f>IFERROR(COUNTIFS(FACTURA!$V:$V,RESUMEN!S$119,FACTURA!$AA:$AA,RESUMEN!$C124,FACTURA!$AK:$AK,1),0)</f>
        <v>0</v>
      </c>
      <c r="T124" s="167">
        <f>IFERROR(COUNTIFS(FACTURA!$V:$V,RESUMEN!T$119,FACTURA!$AA:$AA,RESUMEN!$C124,FACTURA!$AK:$AK,1),0)</f>
        <v>0</v>
      </c>
      <c r="U124" s="168">
        <f>IFERROR(COUNTIFS(FACTURA!$V:$V,RESUMEN!U$119,FACTURA!$AA:$AA,RESUMEN!$C124,FACTURA!$AK:$AK,1),0)</f>
        <v>0</v>
      </c>
      <c r="V124" s="84">
        <f t="shared" si="54"/>
        <v>0</v>
      </c>
      <c r="W124" s="20">
        <f>IFERROR(COUNTIFS(PEDIDO!$V:$V,RESUMEN!W$119,PEDIDO!$AA:$AA,RESUMEN!$C124,PEDIDO!$AK:$AK,1),0)</f>
        <v>0</v>
      </c>
      <c r="X124" s="167">
        <f>IFERROR(COUNTIFS(PEDIDO!$V:$V,RESUMEN!X$119,PEDIDO!$AA:$AA,RESUMEN!$C124,PEDIDO!$AK:$AK,1),0)</f>
        <v>0</v>
      </c>
      <c r="Y124" s="167">
        <f>IFERROR(COUNTIFS(PEDIDO!$V:$V,RESUMEN!Y$119,PEDIDO!$AA:$AA,RESUMEN!$C124,PEDIDO!$AK:$AK,1),0)</f>
        <v>0</v>
      </c>
      <c r="Z124" s="167">
        <f>IFERROR(COUNTIFS(PEDIDO!$V:$V,RESUMEN!Z$119,PEDIDO!$AA:$AA,RESUMEN!$C124,PEDIDO!$AK:$AK,1),0)</f>
        <v>0</v>
      </c>
      <c r="AA124" s="167">
        <f>IFERROR(COUNTIFS(PEDIDO!$V:$V,RESUMEN!AA$119,PEDIDO!$AA:$AA,RESUMEN!$C124,PEDIDO!$AK:$AK,1),0)</f>
        <v>0</v>
      </c>
      <c r="AB124" s="167">
        <f>IFERROR(COUNTIFS(PEDIDO!$V:$V,RESUMEN!AB$119,PEDIDO!$AA:$AA,RESUMEN!$C124,PEDIDO!$AK:$AK,1),0)</f>
        <v>0</v>
      </c>
      <c r="AC124" s="167">
        <f>IFERROR(COUNTIFS(PEDIDO!$V:$V,RESUMEN!AC$119,PEDIDO!$AA:$AA,RESUMEN!$C124,PEDIDO!$AK:$AK,1),0)</f>
        <v>0</v>
      </c>
      <c r="AD124" s="168">
        <f>IFERROR(COUNTIFS(PEDIDO!$V:$V,RESUMEN!AD$119,PEDIDO!$AA:$AA,RESUMEN!$C124,PEDIDO!$AK:$AK,1),0)</f>
        <v>0</v>
      </c>
      <c r="AE124" s="257">
        <f t="shared" si="55"/>
        <v>0</v>
      </c>
      <c r="AF124" s="20"/>
    </row>
    <row r="125" spans="2:32" x14ac:dyDescent="0.25">
      <c r="B125" s="62">
        <f t="shared" si="52"/>
        <v>5</v>
      </c>
      <c r="C125" s="204" t="str">
        <f t="shared" si="52"/>
        <v xml:space="preserve">- </v>
      </c>
      <c r="D125" s="18" t="str">
        <f t="shared" si="52"/>
        <v/>
      </c>
      <c r="E125" s="163">
        <f>IFERROR(COUNTIFS(CLIENTE!$BD:$BD,RESUMEN!$C125,CLIENTE!$AM:$AM,RESUMEN!E$119),0)</f>
        <v>0</v>
      </c>
      <c r="F125" s="164">
        <f>IFERROR(COUNTIFS(CLIENTE!$BD:$BD,RESUMEN!$C125,CLIENTE!$AM:$AM,RESUMEN!F$119),0)</f>
        <v>0</v>
      </c>
      <c r="G125" s="164">
        <f>IFERROR(COUNTIFS(CLIENTE!$BD:$BD,RESUMEN!$C125,CLIENTE!$AM:$AM,RESUMEN!G$119),0)</f>
        <v>0</v>
      </c>
      <c r="H125" s="164">
        <f>IFERROR(COUNTIFS(CLIENTE!$BD:$BD,RESUMEN!$C125,CLIENTE!$AM:$AM,RESUMEN!H$119),0)</f>
        <v>0</v>
      </c>
      <c r="I125" s="164">
        <f>IFERROR(COUNTIFS(CLIENTE!$BD:$BD,RESUMEN!$C125,CLIENTE!$AM:$AM,RESUMEN!I$119),0)</f>
        <v>0</v>
      </c>
      <c r="J125" s="164">
        <f>IFERROR(COUNTIFS(CLIENTE!$BD:$BD,RESUMEN!$C125,CLIENTE!$AM:$AM,RESUMEN!J$119),0)</f>
        <v>0</v>
      </c>
      <c r="K125" s="164">
        <f>IFERROR(COUNTIFS(CLIENTE!$BD:$BD,RESUMEN!$C125,CLIENTE!$AM:$AM,RESUMEN!K$119),0)</f>
        <v>0</v>
      </c>
      <c r="L125" s="164">
        <f>IFERROR(COUNTIFS(CLIENTE!$BD:$BD,RESUMEN!$C125,CLIENTE!$AM:$AM,RESUMEN!L$119),0)</f>
        <v>0</v>
      </c>
      <c r="M125" s="249">
        <f t="shared" si="53"/>
        <v>0</v>
      </c>
      <c r="N125" s="20">
        <f>IFERROR(COUNTIFS(FACTURA!$V:$V,RESUMEN!N$119,FACTURA!$AA:$AA,RESUMEN!$C125,FACTURA!$AK:$AK,1),0)</f>
        <v>0</v>
      </c>
      <c r="O125" s="167">
        <f>IFERROR(COUNTIFS(FACTURA!$V:$V,RESUMEN!O$119,FACTURA!$AA:$AA,RESUMEN!$C125,FACTURA!$AK:$AK,1),0)</f>
        <v>0</v>
      </c>
      <c r="P125" s="167">
        <f>IFERROR(COUNTIFS(FACTURA!$V:$V,RESUMEN!P$119,FACTURA!$AA:$AA,RESUMEN!$C125,FACTURA!$AK:$AK,1),0)</f>
        <v>0</v>
      </c>
      <c r="Q125" s="167">
        <f>IFERROR(COUNTIFS(FACTURA!$V:$V,RESUMEN!Q$119,FACTURA!$AA:$AA,RESUMEN!$C125,FACTURA!$AK:$AK,1),0)</f>
        <v>0</v>
      </c>
      <c r="R125" s="167">
        <f>IFERROR(COUNTIFS(FACTURA!$V:$V,RESUMEN!R$119,FACTURA!$AA:$AA,RESUMEN!$C125,FACTURA!$AK:$AK,1),0)</f>
        <v>0</v>
      </c>
      <c r="S125" s="167">
        <f>IFERROR(COUNTIFS(FACTURA!$V:$V,RESUMEN!S$119,FACTURA!$AA:$AA,RESUMEN!$C125,FACTURA!$AK:$AK,1),0)</f>
        <v>0</v>
      </c>
      <c r="T125" s="167">
        <f>IFERROR(COUNTIFS(FACTURA!$V:$V,RESUMEN!T$119,FACTURA!$AA:$AA,RESUMEN!$C125,FACTURA!$AK:$AK,1),0)</f>
        <v>0</v>
      </c>
      <c r="U125" s="168">
        <f>IFERROR(COUNTIFS(FACTURA!$V:$V,RESUMEN!U$119,FACTURA!$AA:$AA,RESUMEN!$C125,FACTURA!$AK:$AK,1),0)</f>
        <v>0</v>
      </c>
      <c r="V125" s="84">
        <f t="shared" si="54"/>
        <v>0</v>
      </c>
      <c r="W125" s="20">
        <f>IFERROR(COUNTIFS(PEDIDO!$V:$V,RESUMEN!W$119,PEDIDO!$AA:$AA,RESUMEN!$C125,PEDIDO!$AK:$AK,1),0)</f>
        <v>0</v>
      </c>
      <c r="X125" s="167">
        <f>IFERROR(COUNTIFS(PEDIDO!$V:$V,RESUMEN!X$119,PEDIDO!$AA:$AA,RESUMEN!$C125,PEDIDO!$AK:$AK,1),0)</f>
        <v>0</v>
      </c>
      <c r="Y125" s="167">
        <f>IFERROR(COUNTIFS(PEDIDO!$V:$V,RESUMEN!Y$119,PEDIDO!$AA:$AA,RESUMEN!$C125,PEDIDO!$AK:$AK,1),0)</f>
        <v>0</v>
      </c>
      <c r="Z125" s="167">
        <f>IFERROR(COUNTIFS(PEDIDO!$V:$V,RESUMEN!Z$119,PEDIDO!$AA:$AA,RESUMEN!$C125,PEDIDO!$AK:$AK,1),0)</f>
        <v>0</v>
      </c>
      <c r="AA125" s="167">
        <f>IFERROR(COUNTIFS(PEDIDO!$V:$V,RESUMEN!AA$119,PEDIDO!$AA:$AA,RESUMEN!$C125,PEDIDO!$AK:$AK,1),0)</f>
        <v>0</v>
      </c>
      <c r="AB125" s="167">
        <f>IFERROR(COUNTIFS(PEDIDO!$V:$V,RESUMEN!AB$119,PEDIDO!$AA:$AA,RESUMEN!$C125,PEDIDO!$AK:$AK,1),0)</f>
        <v>0</v>
      </c>
      <c r="AC125" s="167">
        <f>IFERROR(COUNTIFS(PEDIDO!$V:$V,RESUMEN!AC$119,PEDIDO!$AA:$AA,RESUMEN!$C125,PEDIDO!$AK:$AK,1),0)</f>
        <v>0</v>
      </c>
      <c r="AD125" s="168">
        <f>IFERROR(COUNTIFS(PEDIDO!$V:$V,RESUMEN!AD$119,PEDIDO!$AA:$AA,RESUMEN!$C125,PEDIDO!$AK:$AK,1),0)</f>
        <v>0</v>
      </c>
      <c r="AE125" s="257">
        <f t="shared" si="55"/>
        <v>0</v>
      </c>
      <c r="AF125" s="20"/>
    </row>
    <row r="126" spans="2:32" x14ac:dyDescent="0.25">
      <c r="B126" s="62">
        <f t="shared" si="52"/>
        <v>6</v>
      </c>
      <c r="C126" s="204" t="str">
        <f t="shared" si="52"/>
        <v xml:space="preserve">- </v>
      </c>
      <c r="D126" s="18" t="str">
        <f t="shared" si="52"/>
        <v/>
      </c>
      <c r="E126" s="163">
        <f>IFERROR(COUNTIFS(CLIENTE!$BD:$BD,RESUMEN!$C126,CLIENTE!$AM:$AM,RESUMEN!E$119),0)</f>
        <v>0</v>
      </c>
      <c r="F126" s="164">
        <f>IFERROR(COUNTIFS(CLIENTE!$BD:$BD,RESUMEN!$C126,CLIENTE!$AM:$AM,RESUMEN!F$119),0)</f>
        <v>0</v>
      </c>
      <c r="G126" s="164">
        <f>IFERROR(COUNTIFS(CLIENTE!$BD:$BD,RESUMEN!$C126,CLIENTE!$AM:$AM,RESUMEN!G$119),0)</f>
        <v>0</v>
      </c>
      <c r="H126" s="164">
        <f>IFERROR(COUNTIFS(CLIENTE!$BD:$BD,RESUMEN!$C126,CLIENTE!$AM:$AM,RESUMEN!H$119),0)</f>
        <v>0</v>
      </c>
      <c r="I126" s="164">
        <f>IFERROR(COUNTIFS(CLIENTE!$BD:$BD,RESUMEN!$C126,CLIENTE!$AM:$AM,RESUMEN!I$119),0)</f>
        <v>0</v>
      </c>
      <c r="J126" s="164">
        <f>IFERROR(COUNTIFS(CLIENTE!$BD:$BD,RESUMEN!$C126,CLIENTE!$AM:$AM,RESUMEN!J$119),0)</f>
        <v>0</v>
      </c>
      <c r="K126" s="164">
        <f>IFERROR(COUNTIFS(CLIENTE!$BD:$BD,RESUMEN!$C126,CLIENTE!$AM:$AM,RESUMEN!K$119),0)</f>
        <v>0</v>
      </c>
      <c r="L126" s="164">
        <f>IFERROR(COUNTIFS(CLIENTE!$BD:$BD,RESUMEN!$C126,CLIENTE!$AM:$AM,RESUMEN!L$119),0)</f>
        <v>0</v>
      </c>
      <c r="M126" s="249">
        <f t="shared" si="53"/>
        <v>0</v>
      </c>
      <c r="N126" s="20">
        <f>IFERROR(COUNTIFS(FACTURA!$V:$V,RESUMEN!N$119,FACTURA!$AA:$AA,RESUMEN!$C126,FACTURA!$AK:$AK,1),0)</f>
        <v>0</v>
      </c>
      <c r="O126" s="167">
        <f>IFERROR(COUNTIFS(FACTURA!$V:$V,RESUMEN!O$119,FACTURA!$AA:$AA,RESUMEN!$C126,FACTURA!$AK:$AK,1),0)</f>
        <v>0</v>
      </c>
      <c r="P126" s="167">
        <f>IFERROR(COUNTIFS(FACTURA!$V:$V,RESUMEN!P$119,FACTURA!$AA:$AA,RESUMEN!$C126,FACTURA!$AK:$AK,1),0)</f>
        <v>0</v>
      </c>
      <c r="Q126" s="167">
        <f>IFERROR(COUNTIFS(FACTURA!$V:$V,RESUMEN!Q$119,FACTURA!$AA:$AA,RESUMEN!$C126,FACTURA!$AK:$AK,1),0)</f>
        <v>0</v>
      </c>
      <c r="R126" s="167">
        <f>IFERROR(COUNTIFS(FACTURA!$V:$V,RESUMEN!R$119,FACTURA!$AA:$AA,RESUMEN!$C126,FACTURA!$AK:$AK,1),0)</f>
        <v>0</v>
      </c>
      <c r="S126" s="167">
        <f>IFERROR(COUNTIFS(FACTURA!$V:$V,RESUMEN!S$119,FACTURA!$AA:$AA,RESUMEN!$C126,FACTURA!$AK:$AK,1),0)</f>
        <v>0</v>
      </c>
      <c r="T126" s="167">
        <f>IFERROR(COUNTIFS(FACTURA!$V:$V,RESUMEN!T$119,FACTURA!$AA:$AA,RESUMEN!$C126,FACTURA!$AK:$AK,1),0)</f>
        <v>0</v>
      </c>
      <c r="U126" s="168">
        <f>IFERROR(COUNTIFS(FACTURA!$V:$V,RESUMEN!U$119,FACTURA!$AA:$AA,RESUMEN!$C126,FACTURA!$AK:$AK,1),0)</f>
        <v>0</v>
      </c>
      <c r="V126" s="84">
        <f t="shared" si="54"/>
        <v>0</v>
      </c>
      <c r="W126" s="20">
        <f>IFERROR(COUNTIFS(PEDIDO!$V:$V,RESUMEN!W$119,PEDIDO!$AA:$AA,RESUMEN!$C126,PEDIDO!$AK:$AK,1),0)</f>
        <v>0</v>
      </c>
      <c r="X126" s="167">
        <f>IFERROR(COUNTIFS(PEDIDO!$V:$V,RESUMEN!X$119,PEDIDO!$AA:$AA,RESUMEN!$C126,PEDIDO!$AK:$AK,1),0)</f>
        <v>0</v>
      </c>
      <c r="Y126" s="167">
        <f>IFERROR(COUNTIFS(PEDIDO!$V:$V,RESUMEN!Y$119,PEDIDO!$AA:$AA,RESUMEN!$C126,PEDIDO!$AK:$AK,1),0)</f>
        <v>0</v>
      </c>
      <c r="Z126" s="167">
        <f>IFERROR(COUNTIFS(PEDIDO!$V:$V,RESUMEN!Z$119,PEDIDO!$AA:$AA,RESUMEN!$C126,PEDIDO!$AK:$AK,1),0)</f>
        <v>0</v>
      </c>
      <c r="AA126" s="167">
        <f>IFERROR(COUNTIFS(PEDIDO!$V:$V,RESUMEN!AA$119,PEDIDO!$AA:$AA,RESUMEN!$C126,PEDIDO!$AK:$AK,1),0)</f>
        <v>0</v>
      </c>
      <c r="AB126" s="167">
        <f>IFERROR(COUNTIFS(PEDIDO!$V:$V,RESUMEN!AB$119,PEDIDO!$AA:$AA,RESUMEN!$C126,PEDIDO!$AK:$AK,1),0)</f>
        <v>0</v>
      </c>
      <c r="AC126" s="167">
        <f>IFERROR(COUNTIFS(PEDIDO!$V:$V,RESUMEN!AC$119,PEDIDO!$AA:$AA,RESUMEN!$C126,PEDIDO!$AK:$AK,1),0)</f>
        <v>0</v>
      </c>
      <c r="AD126" s="168">
        <f>IFERROR(COUNTIFS(PEDIDO!$V:$V,RESUMEN!AD$119,PEDIDO!$AA:$AA,RESUMEN!$C126,PEDIDO!$AK:$AK,1),0)</f>
        <v>0</v>
      </c>
      <c r="AE126" s="257">
        <f t="shared" si="55"/>
        <v>0</v>
      </c>
      <c r="AF126" s="20"/>
    </row>
    <row r="127" spans="2:32" x14ac:dyDescent="0.25">
      <c r="B127" s="62">
        <f t="shared" si="52"/>
        <v>7</v>
      </c>
      <c r="C127" s="204" t="str">
        <f t="shared" si="52"/>
        <v xml:space="preserve">- </v>
      </c>
      <c r="D127" s="18" t="str">
        <f t="shared" si="52"/>
        <v/>
      </c>
      <c r="E127" s="163">
        <f>IFERROR(COUNTIFS(CLIENTE!$BD:$BD,RESUMEN!$C127,CLIENTE!$AM:$AM,RESUMEN!E$119),0)</f>
        <v>0</v>
      </c>
      <c r="F127" s="164">
        <f>IFERROR(COUNTIFS(CLIENTE!$BD:$BD,RESUMEN!$C127,CLIENTE!$AM:$AM,RESUMEN!F$119),0)</f>
        <v>0</v>
      </c>
      <c r="G127" s="164">
        <f>IFERROR(COUNTIFS(CLIENTE!$BD:$BD,RESUMEN!$C127,CLIENTE!$AM:$AM,RESUMEN!G$119),0)</f>
        <v>0</v>
      </c>
      <c r="H127" s="164">
        <f>IFERROR(COUNTIFS(CLIENTE!$BD:$BD,RESUMEN!$C127,CLIENTE!$AM:$AM,RESUMEN!H$119),0)</f>
        <v>0</v>
      </c>
      <c r="I127" s="164">
        <f>IFERROR(COUNTIFS(CLIENTE!$BD:$BD,RESUMEN!$C127,CLIENTE!$AM:$AM,RESUMEN!I$119),0)</f>
        <v>0</v>
      </c>
      <c r="J127" s="164">
        <f>IFERROR(COUNTIFS(CLIENTE!$BD:$BD,RESUMEN!$C127,CLIENTE!$AM:$AM,RESUMEN!J$119),0)</f>
        <v>0</v>
      </c>
      <c r="K127" s="164">
        <f>IFERROR(COUNTIFS(CLIENTE!$BD:$BD,RESUMEN!$C127,CLIENTE!$AM:$AM,RESUMEN!K$119),0)</f>
        <v>0</v>
      </c>
      <c r="L127" s="164">
        <f>IFERROR(COUNTIFS(CLIENTE!$BD:$BD,RESUMEN!$C127,CLIENTE!$AM:$AM,RESUMEN!L$119),0)</f>
        <v>0</v>
      </c>
      <c r="M127" s="249">
        <f t="shared" si="53"/>
        <v>0</v>
      </c>
      <c r="N127" s="20">
        <f>IFERROR(COUNTIFS(FACTURA!$V:$V,RESUMEN!N$119,FACTURA!$AA:$AA,RESUMEN!$C127,FACTURA!$AK:$AK,1),0)</f>
        <v>0</v>
      </c>
      <c r="O127" s="167">
        <f>IFERROR(COUNTIFS(FACTURA!$V:$V,RESUMEN!O$119,FACTURA!$AA:$AA,RESUMEN!$C127,FACTURA!$AK:$AK,1),0)</f>
        <v>0</v>
      </c>
      <c r="P127" s="167">
        <f>IFERROR(COUNTIFS(FACTURA!$V:$V,RESUMEN!P$119,FACTURA!$AA:$AA,RESUMEN!$C127,FACTURA!$AK:$AK,1),0)</f>
        <v>0</v>
      </c>
      <c r="Q127" s="167">
        <f>IFERROR(COUNTIFS(FACTURA!$V:$V,RESUMEN!Q$119,FACTURA!$AA:$AA,RESUMEN!$C127,FACTURA!$AK:$AK,1),0)</f>
        <v>0</v>
      </c>
      <c r="R127" s="167">
        <f>IFERROR(COUNTIFS(FACTURA!$V:$V,RESUMEN!R$119,FACTURA!$AA:$AA,RESUMEN!$C127,FACTURA!$AK:$AK,1),0)</f>
        <v>0</v>
      </c>
      <c r="S127" s="167">
        <f>IFERROR(COUNTIFS(FACTURA!$V:$V,RESUMEN!S$119,FACTURA!$AA:$AA,RESUMEN!$C127,FACTURA!$AK:$AK,1),0)</f>
        <v>0</v>
      </c>
      <c r="T127" s="167">
        <f>IFERROR(COUNTIFS(FACTURA!$V:$V,RESUMEN!T$119,FACTURA!$AA:$AA,RESUMEN!$C127,FACTURA!$AK:$AK,1),0)</f>
        <v>0</v>
      </c>
      <c r="U127" s="168">
        <f>IFERROR(COUNTIFS(FACTURA!$V:$V,RESUMEN!U$119,FACTURA!$AA:$AA,RESUMEN!$C127,FACTURA!$AK:$AK,1),0)</f>
        <v>0</v>
      </c>
      <c r="V127" s="84">
        <f t="shared" si="54"/>
        <v>0</v>
      </c>
      <c r="W127" s="20">
        <f>IFERROR(COUNTIFS(PEDIDO!$V:$V,RESUMEN!W$119,PEDIDO!$AA:$AA,RESUMEN!$C127,PEDIDO!$AK:$AK,1),0)</f>
        <v>0</v>
      </c>
      <c r="X127" s="167">
        <f>IFERROR(COUNTIFS(PEDIDO!$V:$V,RESUMEN!X$119,PEDIDO!$AA:$AA,RESUMEN!$C127,PEDIDO!$AK:$AK,1),0)</f>
        <v>0</v>
      </c>
      <c r="Y127" s="167">
        <f>IFERROR(COUNTIFS(PEDIDO!$V:$V,RESUMEN!Y$119,PEDIDO!$AA:$AA,RESUMEN!$C127,PEDIDO!$AK:$AK,1),0)</f>
        <v>0</v>
      </c>
      <c r="Z127" s="167">
        <f>IFERROR(COUNTIFS(PEDIDO!$V:$V,RESUMEN!Z$119,PEDIDO!$AA:$AA,RESUMEN!$C127,PEDIDO!$AK:$AK,1),0)</f>
        <v>0</v>
      </c>
      <c r="AA127" s="167">
        <f>IFERROR(COUNTIFS(PEDIDO!$V:$V,RESUMEN!AA$119,PEDIDO!$AA:$AA,RESUMEN!$C127,PEDIDO!$AK:$AK,1),0)</f>
        <v>0</v>
      </c>
      <c r="AB127" s="167">
        <f>IFERROR(COUNTIFS(PEDIDO!$V:$V,RESUMEN!AB$119,PEDIDO!$AA:$AA,RESUMEN!$C127,PEDIDO!$AK:$AK,1),0)</f>
        <v>0</v>
      </c>
      <c r="AC127" s="167">
        <f>IFERROR(COUNTIFS(PEDIDO!$V:$V,RESUMEN!AC$119,PEDIDO!$AA:$AA,RESUMEN!$C127,PEDIDO!$AK:$AK,1),0)</f>
        <v>0</v>
      </c>
      <c r="AD127" s="168">
        <f>IFERROR(COUNTIFS(PEDIDO!$V:$V,RESUMEN!AD$119,PEDIDO!$AA:$AA,RESUMEN!$C127,PEDIDO!$AK:$AK,1),0)</f>
        <v>0</v>
      </c>
      <c r="AE127" s="257">
        <f t="shared" si="55"/>
        <v>0</v>
      </c>
      <c r="AF127" s="20"/>
    </row>
    <row r="128" spans="2:32" x14ac:dyDescent="0.25">
      <c r="B128" s="62">
        <f t="shared" si="52"/>
        <v>8</v>
      </c>
      <c r="C128" s="204" t="str">
        <f t="shared" si="52"/>
        <v xml:space="preserve">- </v>
      </c>
      <c r="D128" s="18" t="str">
        <f t="shared" si="52"/>
        <v/>
      </c>
      <c r="E128" s="163">
        <f>IFERROR(COUNTIFS(CLIENTE!$BD:$BD,RESUMEN!$C128,CLIENTE!$AM:$AM,RESUMEN!E$119),0)</f>
        <v>0</v>
      </c>
      <c r="F128" s="164">
        <f>IFERROR(COUNTIFS(CLIENTE!$BD:$BD,RESUMEN!$C128,CLIENTE!$AM:$AM,RESUMEN!F$119),0)</f>
        <v>0</v>
      </c>
      <c r="G128" s="164">
        <f>IFERROR(COUNTIFS(CLIENTE!$BD:$BD,RESUMEN!$C128,CLIENTE!$AM:$AM,RESUMEN!G$119),0)</f>
        <v>0</v>
      </c>
      <c r="H128" s="164">
        <f>IFERROR(COUNTIFS(CLIENTE!$BD:$BD,RESUMEN!$C128,CLIENTE!$AM:$AM,RESUMEN!H$119),0)</f>
        <v>0</v>
      </c>
      <c r="I128" s="164">
        <f>IFERROR(COUNTIFS(CLIENTE!$BD:$BD,RESUMEN!$C128,CLIENTE!$AM:$AM,RESUMEN!I$119),0)</f>
        <v>0</v>
      </c>
      <c r="J128" s="164">
        <f>IFERROR(COUNTIFS(CLIENTE!$BD:$BD,RESUMEN!$C128,CLIENTE!$AM:$AM,RESUMEN!J$119),0)</f>
        <v>0</v>
      </c>
      <c r="K128" s="164">
        <f>IFERROR(COUNTIFS(CLIENTE!$BD:$BD,RESUMEN!$C128,CLIENTE!$AM:$AM,RESUMEN!K$119),0)</f>
        <v>0</v>
      </c>
      <c r="L128" s="164">
        <f>IFERROR(COUNTIFS(CLIENTE!$BD:$BD,RESUMEN!$C128,CLIENTE!$AM:$AM,RESUMEN!L$119),0)</f>
        <v>0</v>
      </c>
      <c r="M128" s="249">
        <f t="shared" si="53"/>
        <v>0</v>
      </c>
      <c r="N128" s="20">
        <f>IFERROR(COUNTIFS(FACTURA!$V:$V,RESUMEN!N$119,FACTURA!$AA:$AA,RESUMEN!$C128,FACTURA!$AK:$AK,1),0)</f>
        <v>0</v>
      </c>
      <c r="O128" s="167">
        <f>IFERROR(COUNTIFS(FACTURA!$V:$V,RESUMEN!O$119,FACTURA!$AA:$AA,RESUMEN!$C128,FACTURA!$AK:$AK,1),0)</f>
        <v>0</v>
      </c>
      <c r="P128" s="167">
        <f>IFERROR(COUNTIFS(FACTURA!$V:$V,RESUMEN!P$119,FACTURA!$AA:$AA,RESUMEN!$C128,FACTURA!$AK:$AK,1),0)</f>
        <v>0</v>
      </c>
      <c r="Q128" s="167">
        <f>IFERROR(COUNTIFS(FACTURA!$V:$V,RESUMEN!Q$119,FACTURA!$AA:$AA,RESUMEN!$C128,FACTURA!$AK:$AK,1),0)</f>
        <v>0</v>
      </c>
      <c r="R128" s="167">
        <f>IFERROR(COUNTIFS(FACTURA!$V:$V,RESUMEN!R$119,FACTURA!$AA:$AA,RESUMEN!$C128,FACTURA!$AK:$AK,1),0)</f>
        <v>0</v>
      </c>
      <c r="S128" s="167">
        <f>IFERROR(COUNTIFS(FACTURA!$V:$V,RESUMEN!S$119,FACTURA!$AA:$AA,RESUMEN!$C128,FACTURA!$AK:$AK,1),0)</f>
        <v>0</v>
      </c>
      <c r="T128" s="167">
        <f>IFERROR(COUNTIFS(FACTURA!$V:$V,RESUMEN!T$119,FACTURA!$AA:$AA,RESUMEN!$C128,FACTURA!$AK:$AK,1),0)</f>
        <v>0</v>
      </c>
      <c r="U128" s="168">
        <f>IFERROR(COUNTIFS(FACTURA!$V:$V,RESUMEN!U$119,FACTURA!$AA:$AA,RESUMEN!$C128,FACTURA!$AK:$AK,1),0)</f>
        <v>0</v>
      </c>
      <c r="V128" s="84">
        <f t="shared" si="54"/>
        <v>0</v>
      </c>
      <c r="W128" s="20">
        <f>IFERROR(COUNTIFS(PEDIDO!$V:$V,RESUMEN!W$119,PEDIDO!$AA:$AA,RESUMEN!$C128,PEDIDO!$AK:$AK,1),0)</f>
        <v>0</v>
      </c>
      <c r="X128" s="167">
        <f>IFERROR(COUNTIFS(PEDIDO!$V:$V,RESUMEN!X$119,PEDIDO!$AA:$AA,RESUMEN!$C128,PEDIDO!$AK:$AK,1),0)</f>
        <v>0</v>
      </c>
      <c r="Y128" s="167">
        <f>IFERROR(COUNTIFS(PEDIDO!$V:$V,RESUMEN!Y$119,PEDIDO!$AA:$AA,RESUMEN!$C128,PEDIDO!$AK:$AK,1),0)</f>
        <v>0</v>
      </c>
      <c r="Z128" s="167">
        <f>IFERROR(COUNTIFS(PEDIDO!$V:$V,RESUMEN!Z$119,PEDIDO!$AA:$AA,RESUMEN!$C128,PEDIDO!$AK:$AK,1),0)</f>
        <v>0</v>
      </c>
      <c r="AA128" s="167">
        <f>IFERROR(COUNTIFS(PEDIDO!$V:$V,RESUMEN!AA$119,PEDIDO!$AA:$AA,RESUMEN!$C128,PEDIDO!$AK:$AK,1),0)</f>
        <v>0</v>
      </c>
      <c r="AB128" s="167">
        <f>IFERROR(COUNTIFS(PEDIDO!$V:$V,RESUMEN!AB$119,PEDIDO!$AA:$AA,RESUMEN!$C128,PEDIDO!$AK:$AK,1),0)</f>
        <v>0</v>
      </c>
      <c r="AC128" s="167">
        <f>IFERROR(COUNTIFS(PEDIDO!$V:$V,RESUMEN!AC$119,PEDIDO!$AA:$AA,RESUMEN!$C128,PEDIDO!$AK:$AK,1),0)</f>
        <v>0</v>
      </c>
      <c r="AD128" s="168">
        <f>IFERROR(COUNTIFS(PEDIDO!$V:$V,RESUMEN!AD$119,PEDIDO!$AA:$AA,RESUMEN!$C128,PEDIDO!$AK:$AK,1),0)</f>
        <v>0</v>
      </c>
      <c r="AE128" s="257">
        <f t="shared" si="55"/>
        <v>0</v>
      </c>
      <c r="AF128" s="20"/>
    </row>
    <row r="129" spans="2:32" x14ac:dyDescent="0.25">
      <c r="B129" s="62">
        <f t="shared" si="52"/>
        <v>9</v>
      </c>
      <c r="C129" s="204" t="str">
        <f t="shared" si="52"/>
        <v xml:space="preserve">- </v>
      </c>
      <c r="D129" s="18" t="str">
        <f t="shared" si="52"/>
        <v/>
      </c>
      <c r="E129" s="163">
        <f>IFERROR(COUNTIFS(CLIENTE!$BD:$BD,RESUMEN!$C129,CLIENTE!$AM:$AM,RESUMEN!E$119),0)</f>
        <v>0</v>
      </c>
      <c r="F129" s="164">
        <f>IFERROR(COUNTIFS(CLIENTE!$BD:$BD,RESUMEN!$C129,CLIENTE!$AM:$AM,RESUMEN!F$119),0)</f>
        <v>0</v>
      </c>
      <c r="G129" s="164">
        <f>IFERROR(COUNTIFS(CLIENTE!$BD:$BD,RESUMEN!$C129,CLIENTE!$AM:$AM,RESUMEN!G$119),0)</f>
        <v>0</v>
      </c>
      <c r="H129" s="164">
        <f>IFERROR(COUNTIFS(CLIENTE!$BD:$BD,RESUMEN!$C129,CLIENTE!$AM:$AM,RESUMEN!H$119),0)</f>
        <v>0</v>
      </c>
      <c r="I129" s="164">
        <f>IFERROR(COUNTIFS(CLIENTE!$BD:$BD,RESUMEN!$C129,CLIENTE!$AM:$AM,RESUMEN!I$119),0)</f>
        <v>0</v>
      </c>
      <c r="J129" s="164">
        <f>IFERROR(COUNTIFS(CLIENTE!$BD:$BD,RESUMEN!$C129,CLIENTE!$AM:$AM,RESUMEN!J$119),0)</f>
        <v>0</v>
      </c>
      <c r="K129" s="164">
        <f>IFERROR(COUNTIFS(CLIENTE!$BD:$BD,RESUMEN!$C129,CLIENTE!$AM:$AM,RESUMEN!K$119),0)</f>
        <v>0</v>
      </c>
      <c r="L129" s="164">
        <f>IFERROR(COUNTIFS(CLIENTE!$BD:$BD,RESUMEN!$C129,CLIENTE!$AM:$AM,RESUMEN!L$119),0)</f>
        <v>0</v>
      </c>
      <c r="M129" s="249">
        <f t="shared" si="53"/>
        <v>0</v>
      </c>
      <c r="N129" s="20">
        <f>IFERROR(COUNTIFS(FACTURA!$V:$V,RESUMEN!N$119,FACTURA!$AA:$AA,RESUMEN!$C129,FACTURA!$AK:$AK,1),0)</f>
        <v>0</v>
      </c>
      <c r="O129" s="167">
        <f>IFERROR(COUNTIFS(FACTURA!$V:$V,RESUMEN!O$119,FACTURA!$AA:$AA,RESUMEN!$C129,FACTURA!$AK:$AK,1),0)</f>
        <v>0</v>
      </c>
      <c r="P129" s="167">
        <f>IFERROR(COUNTIFS(FACTURA!$V:$V,RESUMEN!P$119,FACTURA!$AA:$AA,RESUMEN!$C129,FACTURA!$AK:$AK,1),0)</f>
        <v>0</v>
      </c>
      <c r="Q129" s="167">
        <f>IFERROR(COUNTIFS(FACTURA!$V:$V,RESUMEN!Q$119,FACTURA!$AA:$AA,RESUMEN!$C129,FACTURA!$AK:$AK,1),0)</f>
        <v>0</v>
      </c>
      <c r="R129" s="167">
        <f>IFERROR(COUNTIFS(FACTURA!$V:$V,RESUMEN!R$119,FACTURA!$AA:$AA,RESUMEN!$C129,FACTURA!$AK:$AK,1),0)</f>
        <v>0</v>
      </c>
      <c r="S129" s="167">
        <f>IFERROR(COUNTIFS(FACTURA!$V:$V,RESUMEN!S$119,FACTURA!$AA:$AA,RESUMEN!$C129,FACTURA!$AK:$AK,1),0)</f>
        <v>0</v>
      </c>
      <c r="T129" s="167">
        <f>IFERROR(COUNTIFS(FACTURA!$V:$V,RESUMEN!T$119,FACTURA!$AA:$AA,RESUMEN!$C129,FACTURA!$AK:$AK,1),0)</f>
        <v>0</v>
      </c>
      <c r="U129" s="168">
        <f>IFERROR(COUNTIFS(FACTURA!$V:$V,RESUMEN!U$119,FACTURA!$AA:$AA,RESUMEN!$C129,FACTURA!$AK:$AK,1),0)</f>
        <v>0</v>
      </c>
      <c r="V129" s="84">
        <f t="shared" si="54"/>
        <v>0</v>
      </c>
      <c r="W129" s="20">
        <f>IFERROR(COUNTIFS(PEDIDO!$V:$V,RESUMEN!W$119,PEDIDO!$AA:$AA,RESUMEN!$C129,PEDIDO!$AK:$AK,1),0)</f>
        <v>0</v>
      </c>
      <c r="X129" s="167">
        <f>IFERROR(COUNTIFS(PEDIDO!$V:$V,RESUMEN!X$119,PEDIDO!$AA:$AA,RESUMEN!$C129,PEDIDO!$AK:$AK,1),0)</f>
        <v>0</v>
      </c>
      <c r="Y129" s="167">
        <f>IFERROR(COUNTIFS(PEDIDO!$V:$V,RESUMEN!Y$119,PEDIDO!$AA:$AA,RESUMEN!$C129,PEDIDO!$AK:$AK,1),0)</f>
        <v>0</v>
      </c>
      <c r="Z129" s="167">
        <f>IFERROR(COUNTIFS(PEDIDO!$V:$V,RESUMEN!Z$119,PEDIDO!$AA:$AA,RESUMEN!$C129,PEDIDO!$AK:$AK,1),0)</f>
        <v>0</v>
      </c>
      <c r="AA129" s="167">
        <f>IFERROR(COUNTIFS(PEDIDO!$V:$V,RESUMEN!AA$119,PEDIDO!$AA:$AA,RESUMEN!$C129,PEDIDO!$AK:$AK,1),0)</f>
        <v>0</v>
      </c>
      <c r="AB129" s="167">
        <f>IFERROR(COUNTIFS(PEDIDO!$V:$V,RESUMEN!AB$119,PEDIDO!$AA:$AA,RESUMEN!$C129,PEDIDO!$AK:$AK,1),0)</f>
        <v>0</v>
      </c>
      <c r="AC129" s="167">
        <f>IFERROR(COUNTIFS(PEDIDO!$V:$V,RESUMEN!AC$119,PEDIDO!$AA:$AA,RESUMEN!$C129,PEDIDO!$AK:$AK,1),0)</f>
        <v>0</v>
      </c>
      <c r="AD129" s="168">
        <f>IFERROR(COUNTIFS(PEDIDO!$V:$V,RESUMEN!AD$119,PEDIDO!$AA:$AA,RESUMEN!$C129,PEDIDO!$AK:$AK,1),0)</f>
        <v>0</v>
      </c>
      <c r="AE129" s="257">
        <f t="shared" si="55"/>
        <v>0</v>
      </c>
      <c r="AF129" s="20"/>
    </row>
    <row r="130" spans="2:32" x14ac:dyDescent="0.25">
      <c r="B130" s="62">
        <f t="shared" si="52"/>
        <v>10</v>
      </c>
      <c r="C130" s="204" t="str">
        <f t="shared" si="52"/>
        <v xml:space="preserve">- </v>
      </c>
      <c r="D130" s="18" t="str">
        <f t="shared" si="52"/>
        <v/>
      </c>
      <c r="E130" s="163">
        <f>IFERROR(COUNTIFS(CLIENTE!$BD:$BD,RESUMEN!$C130,CLIENTE!$AM:$AM,RESUMEN!E$119),0)</f>
        <v>0</v>
      </c>
      <c r="F130" s="164">
        <f>IFERROR(COUNTIFS(CLIENTE!$BD:$BD,RESUMEN!$C130,CLIENTE!$AM:$AM,RESUMEN!F$119),0)</f>
        <v>0</v>
      </c>
      <c r="G130" s="164">
        <f>IFERROR(COUNTIFS(CLIENTE!$BD:$BD,RESUMEN!$C130,CLIENTE!$AM:$AM,RESUMEN!G$119),0)</f>
        <v>0</v>
      </c>
      <c r="H130" s="164">
        <f>IFERROR(COUNTIFS(CLIENTE!$BD:$BD,RESUMEN!$C130,CLIENTE!$AM:$AM,RESUMEN!H$119),0)</f>
        <v>0</v>
      </c>
      <c r="I130" s="164">
        <f>IFERROR(COUNTIFS(CLIENTE!$BD:$BD,RESUMEN!$C130,CLIENTE!$AM:$AM,RESUMEN!I$119),0)</f>
        <v>0</v>
      </c>
      <c r="J130" s="164">
        <f>IFERROR(COUNTIFS(CLIENTE!$BD:$BD,RESUMEN!$C130,CLIENTE!$AM:$AM,RESUMEN!J$119),0)</f>
        <v>0</v>
      </c>
      <c r="K130" s="164">
        <f>IFERROR(COUNTIFS(CLIENTE!$BD:$BD,RESUMEN!$C130,CLIENTE!$AM:$AM,RESUMEN!K$119),0)</f>
        <v>0</v>
      </c>
      <c r="L130" s="164">
        <f>IFERROR(COUNTIFS(CLIENTE!$BD:$BD,RESUMEN!$C130,CLIENTE!$AM:$AM,RESUMEN!L$119),0)</f>
        <v>0</v>
      </c>
      <c r="M130" s="249">
        <f t="shared" si="53"/>
        <v>0</v>
      </c>
      <c r="N130" s="20">
        <f>IFERROR(COUNTIFS(FACTURA!$V:$V,RESUMEN!N$119,FACTURA!$AA:$AA,RESUMEN!$C130,FACTURA!$AK:$AK,1),0)</f>
        <v>0</v>
      </c>
      <c r="O130" s="167">
        <f>IFERROR(COUNTIFS(FACTURA!$V:$V,RESUMEN!O$119,FACTURA!$AA:$AA,RESUMEN!$C130,FACTURA!$AK:$AK,1),0)</f>
        <v>0</v>
      </c>
      <c r="P130" s="167">
        <f>IFERROR(COUNTIFS(FACTURA!$V:$V,RESUMEN!P$119,FACTURA!$AA:$AA,RESUMEN!$C130,FACTURA!$AK:$AK,1),0)</f>
        <v>0</v>
      </c>
      <c r="Q130" s="167">
        <f>IFERROR(COUNTIFS(FACTURA!$V:$V,RESUMEN!Q$119,FACTURA!$AA:$AA,RESUMEN!$C130,FACTURA!$AK:$AK,1),0)</f>
        <v>0</v>
      </c>
      <c r="R130" s="167">
        <f>IFERROR(COUNTIFS(FACTURA!$V:$V,RESUMEN!R$119,FACTURA!$AA:$AA,RESUMEN!$C130,FACTURA!$AK:$AK,1),0)</f>
        <v>0</v>
      </c>
      <c r="S130" s="167">
        <f>IFERROR(COUNTIFS(FACTURA!$V:$V,RESUMEN!S$119,FACTURA!$AA:$AA,RESUMEN!$C130,FACTURA!$AK:$AK,1),0)</f>
        <v>0</v>
      </c>
      <c r="T130" s="167">
        <f>IFERROR(COUNTIFS(FACTURA!$V:$V,RESUMEN!T$119,FACTURA!$AA:$AA,RESUMEN!$C130,FACTURA!$AK:$AK,1),0)</f>
        <v>0</v>
      </c>
      <c r="U130" s="168">
        <f>IFERROR(COUNTIFS(FACTURA!$V:$V,RESUMEN!U$119,FACTURA!$AA:$AA,RESUMEN!$C130,FACTURA!$AK:$AK,1),0)</f>
        <v>0</v>
      </c>
      <c r="V130" s="84">
        <f t="shared" si="54"/>
        <v>0</v>
      </c>
      <c r="W130" s="20">
        <f>IFERROR(COUNTIFS(PEDIDO!$V:$V,RESUMEN!W$119,PEDIDO!$AA:$AA,RESUMEN!$C130,PEDIDO!$AK:$AK,1),0)</f>
        <v>0</v>
      </c>
      <c r="X130" s="167">
        <f>IFERROR(COUNTIFS(PEDIDO!$V:$V,RESUMEN!X$119,PEDIDO!$AA:$AA,RESUMEN!$C130,PEDIDO!$AK:$AK,1),0)</f>
        <v>0</v>
      </c>
      <c r="Y130" s="167">
        <f>IFERROR(COUNTIFS(PEDIDO!$V:$V,RESUMEN!Y$119,PEDIDO!$AA:$AA,RESUMEN!$C130,PEDIDO!$AK:$AK,1),0)</f>
        <v>0</v>
      </c>
      <c r="Z130" s="167">
        <f>IFERROR(COUNTIFS(PEDIDO!$V:$V,RESUMEN!Z$119,PEDIDO!$AA:$AA,RESUMEN!$C130,PEDIDO!$AK:$AK,1),0)</f>
        <v>0</v>
      </c>
      <c r="AA130" s="167">
        <f>IFERROR(COUNTIFS(PEDIDO!$V:$V,RESUMEN!AA$119,PEDIDO!$AA:$AA,RESUMEN!$C130,PEDIDO!$AK:$AK,1),0)</f>
        <v>0</v>
      </c>
      <c r="AB130" s="167">
        <f>IFERROR(COUNTIFS(PEDIDO!$V:$V,RESUMEN!AB$119,PEDIDO!$AA:$AA,RESUMEN!$C130,PEDIDO!$AK:$AK,1),0)</f>
        <v>0</v>
      </c>
      <c r="AC130" s="167">
        <f>IFERROR(COUNTIFS(PEDIDO!$V:$V,RESUMEN!AC$119,PEDIDO!$AA:$AA,RESUMEN!$C130,PEDIDO!$AK:$AK,1),0)</f>
        <v>0</v>
      </c>
      <c r="AD130" s="168">
        <f>IFERROR(COUNTIFS(PEDIDO!$V:$V,RESUMEN!AD$119,PEDIDO!$AA:$AA,RESUMEN!$C130,PEDIDO!$AK:$AK,1),0)</f>
        <v>0</v>
      </c>
      <c r="AE130" s="257">
        <f t="shared" si="55"/>
        <v>0</v>
      </c>
      <c r="AF130" s="20"/>
    </row>
    <row r="131" spans="2:32" x14ac:dyDescent="0.25">
      <c r="B131" s="62">
        <f t="shared" si="52"/>
        <v>11</v>
      </c>
      <c r="C131" s="204" t="str">
        <f t="shared" si="52"/>
        <v xml:space="preserve">- </v>
      </c>
      <c r="D131" s="18" t="str">
        <f t="shared" si="52"/>
        <v/>
      </c>
      <c r="E131" s="163">
        <f>IFERROR(COUNTIFS(CLIENTE!$BD:$BD,RESUMEN!$C131,CLIENTE!$AM:$AM,RESUMEN!E$119),0)</f>
        <v>0</v>
      </c>
      <c r="F131" s="164">
        <f>IFERROR(COUNTIFS(CLIENTE!$BD:$BD,RESUMEN!$C131,CLIENTE!$AM:$AM,RESUMEN!F$119),0)</f>
        <v>0</v>
      </c>
      <c r="G131" s="164">
        <f>IFERROR(COUNTIFS(CLIENTE!$BD:$BD,RESUMEN!$C131,CLIENTE!$AM:$AM,RESUMEN!G$119),0)</f>
        <v>0</v>
      </c>
      <c r="H131" s="164">
        <f>IFERROR(COUNTIFS(CLIENTE!$BD:$BD,RESUMEN!$C131,CLIENTE!$AM:$AM,RESUMEN!H$119),0)</f>
        <v>0</v>
      </c>
      <c r="I131" s="164">
        <f>IFERROR(COUNTIFS(CLIENTE!$BD:$BD,RESUMEN!$C131,CLIENTE!$AM:$AM,RESUMEN!I$119),0)</f>
        <v>0</v>
      </c>
      <c r="J131" s="164">
        <f>IFERROR(COUNTIFS(CLIENTE!$BD:$BD,RESUMEN!$C131,CLIENTE!$AM:$AM,RESUMEN!J$119),0)</f>
        <v>0</v>
      </c>
      <c r="K131" s="164">
        <f>IFERROR(COUNTIFS(CLIENTE!$BD:$BD,RESUMEN!$C131,CLIENTE!$AM:$AM,RESUMEN!K$119),0)</f>
        <v>0</v>
      </c>
      <c r="L131" s="164">
        <f>IFERROR(COUNTIFS(CLIENTE!$BD:$BD,RESUMEN!$C131,CLIENTE!$AM:$AM,RESUMEN!L$119),0)</f>
        <v>0</v>
      </c>
      <c r="M131" s="249">
        <f t="shared" si="53"/>
        <v>0</v>
      </c>
      <c r="N131" s="20">
        <f>IFERROR(COUNTIFS(FACTURA!$V:$V,RESUMEN!N$119,FACTURA!$AA:$AA,RESUMEN!$C131,FACTURA!$AK:$AK,1),0)</f>
        <v>0</v>
      </c>
      <c r="O131" s="167">
        <f>IFERROR(COUNTIFS(FACTURA!$V:$V,RESUMEN!O$119,FACTURA!$AA:$AA,RESUMEN!$C131,FACTURA!$AK:$AK,1),0)</f>
        <v>0</v>
      </c>
      <c r="P131" s="167">
        <f>IFERROR(COUNTIFS(FACTURA!$V:$V,RESUMEN!P$119,FACTURA!$AA:$AA,RESUMEN!$C131,FACTURA!$AK:$AK,1),0)</f>
        <v>0</v>
      </c>
      <c r="Q131" s="167">
        <f>IFERROR(COUNTIFS(FACTURA!$V:$V,RESUMEN!Q$119,FACTURA!$AA:$AA,RESUMEN!$C131,FACTURA!$AK:$AK,1),0)</f>
        <v>0</v>
      </c>
      <c r="R131" s="167">
        <f>IFERROR(COUNTIFS(FACTURA!$V:$V,RESUMEN!R$119,FACTURA!$AA:$AA,RESUMEN!$C131,FACTURA!$AK:$AK,1),0)</f>
        <v>0</v>
      </c>
      <c r="S131" s="167">
        <f>IFERROR(COUNTIFS(FACTURA!$V:$V,RESUMEN!S$119,FACTURA!$AA:$AA,RESUMEN!$C131,FACTURA!$AK:$AK,1),0)</f>
        <v>0</v>
      </c>
      <c r="T131" s="167">
        <f>IFERROR(COUNTIFS(FACTURA!$V:$V,RESUMEN!T$119,FACTURA!$AA:$AA,RESUMEN!$C131,FACTURA!$AK:$AK,1),0)</f>
        <v>0</v>
      </c>
      <c r="U131" s="168">
        <f>IFERROR(COUNTIFS(FACTURA!$V:$V,RESUMEN!U$119,FACTURA!$AA:$AA,RESUMEN!$C131,FACTURA!$AK:$AK,1),0)</f>
        <v>0</v>
      </c>
      <c r="V131" s="84">
        <f t="shared" si="54"/>
        <v>0</v>
      </c>
      <c r="W131" s="20">
        <f>IFERROR(COUNTIFS(PEDIDO!$V:$V,RESUMEN!W$119,PEDIDO!$AA:$AA,RESUMEN!$C131,PEDIDO!$AK:$AK,1),0)</f>
        <v>0</v>
      </c>
      <c r="X131" s="167">
        <f>IFERROR(COUNTIFS(PEDIDO!$V:$V,RESUMEN!X$119,PEDIDO!$AA:$AA,RESUMEN!$C131,PEDIDO!$AK:$AK,1),0)</f>
        <v>0</v>
      </c>
      <c r="Y131" s="167">
        <f>IFERROR(COUNTIFS(PEDIDO!$V:$V,RESUMEN!Y$119,PEDIDO!$AA:$AA,RESUMEN!$C131,PEDIDO!$AK:$AK,1),0)</f>
        <v>0</v>
      </c>
      <c r="Z131" s="167">
        <f>IFERROR(COUNTIFS(PEDIDO!$V:$V,RESUMEN!Z$119,PEDIDO!$AA:$AA,RESUMEN!$C131,PEDIDO!$AK:$AK,1),0)</f>
        <v>0</v>
      </c>
      <c r="AA131" s="167">
        <f>IFERROR(COUNTIFS(PEDIDO!$V:$V,RESUMEN!AA$119,PEDIDO!$AA:$AA,RESUMEN!$C131,PEDIDO!$AK:$AK,1),0)</f>
        <v>0</v>
      </c>
      <c r="AB131" s="167">
        <f>IFERROR(COUNTIFS(PEDIDO!$V:$V,RESUMEN!AB$119,PEDIDO!$AA:$AA,RESUMEN!$C131,PEDIDO!$AK:$AK,1),0)</f>
        <v>0</v>
      </c>
      <c r="AC131" s="167">
        <f>IFERROR(COUNTIFS(PEDIDO!$V:$V,RESUMEN!AC$119,PEDIDO!$AA:$AA,RESUMEN!$C131,PEDIDO!$AK:$AK,1),0)</f>
        <v>0</v>
      </c>
      <c r="AD131" s="168">
        <f>IFERROR(COUNTIFS(PEDIDO!$V:$V,RESUMEN!AD$119,PEDIDO!$AA:$AA,RESUMEN!$C131,PEDIDO!$AK:$AK,1),0)</f>
        <v>0</v>
      </c>
      <c r="AE131" s="257">
        <f t="shared" si="55"/>
        <v>0</v>
      </c>
      <c r="AF131" s="20"/>
    </row>
    <row r="132" spans="2:32" x14ac:dyDescent="0.25">
      <c r="B132" s="62">
        <f t="shared" si="52"/>
        <v>12</v>
      </c>
      <c r="C132" s="204" t="str">
        <f t="shared" si="52"/>
        <v xml:space="preserve">- </v>
      </c>
      <c r="D132" s="18" t="str">
        <f t="shared" si="52"/>
        <v/>
      </c>
      <c r="E132" s="163">
        <f>IFERROR(COUNTIFS(CLIENTE!$BD:$BD,RESUMEN!$C132,CLIENTE!$AM:$AM,RESUMEN!E$119),0)</f>
        <v>0</v>
      </c>
      <c r="F132" s="164">
        <f>IFERROR(COUNTIFS(CLIENTE!$BD:$BD,RESUMEN!$C132,CLIENTE!$AM:$AM,RESUMEN!F$119),0)</f>
        <v>0</v>
      </c>
      <c r="G132" s="164">
        <f>IFERROR(COUNTIFS(CLIENTE!$BD:$BD,RESUMEN!$C132,CLIENTE!$AM:$AM,RESUMEN!G$119),0)</f>
        <v>0</v>
      </c>
      <c r="H132" s="164">
        <f>IFERROR(COUNTIFS(CLIENTE!$BD:$BD,RESUMEN!$C132,CLIENTE!$AM:$AM,RESUMEN!H$119),0)</f>
        <v>0</v>
      </c>
      <c r="I132" s="164">
        <f>IFERROR(COUNTIFS(CLIENTE!$BD:$BD,RESUMEN!$C132,CLIENTE!$AM:$AM,RESUMEN!I$119),0)</f>
        <v>0</v>
      </c>
      <c r="J132" s="164">
        <f>IFERROR(COUNTIFS(CLIENTE!$BD:$BD,RESUMEN!$C132,CLIENTE!$AM:$AM,RESUMEN!J$119),0)</f>
        <v>0</v>
      </c>
      <c r="K132" s="164">
        <f>IFERROR(COUNTIFS(CLIENTE!$BD:$BD,RESUMEN!$C132,CLIENTE!$AM:$AM,RESUMEN!K$119),0)</f>
        <v>0</v>
      </c>
      <c r="L132" s="164">
        <f>IFERROR(COUNTIFS(CLIENTE!$BD:$BD,RESUMEN!$C132,CLIENTE!$AM:$AM,RESUMEN!L$119),0)</f>
        <v>0</v>
      </c>
      <c r="M132" s="249">
        <f t="shared" si="53"/>
        <v>0</v>
      </c>
      <c r="N132" s="20">
        <f>IFERROR(COUNTIFS(FACTURA!$V:$V,RESUMEN!N$119,FACTURA!$AA:$AA,RESUMEN!$C132,FACTURA!$AK:$AK,1),0)</f>
        <v>0</v>
      </c>
      <c r="O132" s="167">
        <f>IFERROR(COUNTIFS(FACTURA!$V:$V,RESUMEN!O$119,FACTURA!$AA:$AA,RESUMEN!$C132,FACTURA!$AK:$AK,1),0)</f>
        <v>0</v>
      </c>
      <c r="P132" s="167">
        <f>IFERROR(COUNTIFS(FACTURA!$V:$V,RESUMEN!P$119,FACTURA!$AA:$AA,RESUMEN!$C132,FACTURA!$AK:$AK,1),0)</f>
        <v>0</v>
      </c>
      <c r="Q132" s="167">
        <f>IFERROR(COUNTIFS(FACTURA!$V:$V,RESUMEN!Q$119,FACTURA!$AA:$AA,RESUMEN!$C132,FACTURA!$AK:$AK,1),0)</f>
        <v>0</v>
      </c>
      <c r="R132" s="167">
        <f>IFERROR(COUNTIFS(FACTURA!$V:$V,RESUMEN!R$119,FACTURA!$AA:$AA,RESUMEN!$C132,FACTURA!$AK:$AK,1),0)</f>
        <v>0</v>
      </c>
      <c r="S132" s="167">
        <f>IFERROR(COUNTIFS(FACTURA!$V:$V,RESUMEN!S$119,FACTURA!$AA:$AA,RESUMEN!$C132,FACTURA!$AK:$AK,1),0)</f>
        <v>0</v>
      </c>
      <c r="T132" s="167">
        <f>IFERROR(COUNTIFS(FACTURA!$V:$V,RESUMEN!T$119,FACTURA!$AA:$AA,RESUMEN!$C132,FACTURA!$AK:$AK,1),0)</f>
        <v>0</v>
      </c>
      <c r="U132" s="168">
        <f>IFERROR(COUNTIFS(FACTURA!$V:$V,RESUMEN!U$119,FACTURA!$AA:$AA,RESUMEN!$C132,FACTURA!$AK:$AK,1),0)</f>
        <v>0</v>
      </c>
      <c r="V132" s="84">
        <f t="shared" si="54"/>
        <v>0</v>
      </c>
      <c r="W132" s="20">
        <f>IFERROR(COUNTIFS(PEDIDO!$V:$V,RESUMEN!W$119,PEDIDO!$AA:$AA,RESUMEN!$C132,PEDIDO!$AK:$AK,1),0)</f>
        <v>0</v>
      </c>
      <c r="X132" s="167">
        <f>IFERROR(COUNTIFS(PEDIDO!$V:$V,RESUMEN!X$119,PEDIDO!$AA:$AA,RESUMEN!$C132,PEDIDO!$AK:$AK,1),0)</f>
        <v>0</v>
      </c>
      <c r="Y132" s="167">
        <f>IFERROR(COUNTIFS(PEDIDO!$V:$V,RESUMEN!Y$119,PEDIDO!$AA:$AA,RESUMEN!$C132,PEDIDO!$AK:$AK,1),0)</f>
        <v>0</v>
      </c>
      <c r="Z132" s="167">
        <f>IFERROR(COUNTIFS(PEDIDO!$V:$V,RESUMEN!Z$119,PEDIDO!$AA:$AA,RESUMEN!$C132,PEDIDO!$AK:$AK,1),0)</f>
        <v>0</v>
      </c>
      <c r="AA132" s="167">
        <f>IFERROR(COUNTIFS(PEDIDO!$V:$V,RESUMEN!AA$119,PEDIDO!$AA:$AA,RESUMEN!$C132,PEDIDO!$AK:$AK,1),0)</f>
        <v>0</v>
      </c>
      <c r="AB132" s="167">
        <f>IFERROR(COUNTIFS(PEDIDO!$V:$V,RESUMEN!AB$119,PEDIDO!$AA:$AA,RESUMEN!$C132,PEDIDO!$AK:$AK,1),0)</f>
        <v>0</v>
      </c>
      <c r="AC132" s="167">
        <f>IFERROR(COUNTIFS(PEDIDO!$V:$V,RESUMEN!AC$119,PEDIDO!$AA:$AA,RESUMEN!$C132,PEDIDO!$AK:$AK,1),0)</f>
        <v>0</v>
      </c>
      <c r="AD132" s="168">
        <f>IFERROR(COUNTIFS(PEDIDO!$V:$V,RESUMEN!AD$119,PEDIDO!$AA:$AA,RESUMEN!$C132,PEDIDO!$AK:$AK,1),0)</f>
        <v>0</v>
      </c>
      <c r="AE132" s="257">
        <f t="shared" si="55"/>
        <v>0</v>
      </c>
      <c r="AF132" s="20"/>
    </row>
    <row r="133" spans="2:32" x14ac:dyDescent="0.25">
      <c r="B133" s="62">
        <f t="shared" si="52"/>
        <v>13</v>
      </c>
      <c r="C133" s="204" t="str">
        <f t="shared" si="52"/>
        <v xml:space="preserve">- </v>
      </c>
      <c r="D133" s="18" t="str">
        <f t="shared" si="52"/>
        <v/>
      </c>
      <c r="E133" s="163">
        <f>IFERROR(COUNTIFS(CLIENTE!$BD:$BD,RESUMEN!$C133,CLIENTE!$AM:$AM,RESUMEN!E$119),0)</f>
        <v>0</v>
      </c>
      <c r="F133" s="164">
        <f>IFERROR(COUNTIFS(CLIENTE!$BD:$BD,RESUMEN!$C133,CLIENTE!$AM:$AM,RESUMEN!F$119),0)</f>
        <v>0</v>
      </c>
      <c r="G133" s="164">
        <f>IFERROR(COUNTIFS(CLIENTE!$BD:$BD,RESUMEN!$C133,CLIENTE!$AM:$AM,RESUMEN!G$119),0)</f>
        <v>0</v>
      </c>
      <c r="H133" s="164">
        <f>IFERROR(COUNTIFS(CLIENTE!$BD:$BD,RESUMEN!$C133,CLIENTE!$AM:$AM,RESUMEN!H$119),0)</f>
        <v>0</v>
      </c>
      <c r="I133" s="164">
        <f>IFERROR(COUNTIFS(CLIENTE!$BD:$BD,RESUMEN!$C133,CLIENTE!$AM:$AM,RESUMEN!I$119),0)</f>
        <v>0</v>
      </c>
      <c r="J133" s="164">
        <f>IFERROR(COUNTIFS(CLIENTE!$BD:$BD,RESUMEN!$C133,CLIENTE!$AM:$AM,RESUMEN!J$119),0)</f>
        <v>0</v>
      </c>
      <c r="K133" s="164">
        <f>IFERROR(COUNTIFS(CLIENTE!$BD:$BD,RESUMEN!$C133,CLIENTE!$AM:$AM,RESUMEN!K$119),0)</f>
        <v>0</v>
      </c>
      <c r="L133" s="164">
        <f>IFERROR(COUNTIFS(CLIENTE!$BD:$BD,RESUMEN!$C133,CLIENTE!$AM:$AM,RESUMEN!L$119),0)</f>
        <v>0</v>
      </c>
      <c r="M133" s="249">
        <f t="shared" si="53"/>
        <v>0</v>
      </c>
      <c r="N133" s="20">
        <f>IFERROR(COUNTIFS(FACTURA!$V:$V,RESUMEN!N$119,FACTURA!$AA:$AA,RESUMEN!$C133,FACTURA!$AK:$AK,1),0)</f>
        <v>0</v>
      </c>
      <c r="O133" s="167">
        <f>IFERROR(COUNTIFS(FACTURA!$V:$V,RESUMEN!O$119,FACTURA!$AA:$AA,RESUMEN!$C133,FACTURA!$AK:$AK,1),0)</f>
        <v>0</v>
      </c>
      <c r="P133" s="167">
        <f>IFERROR(COUNTIFS(FACTURA!$V:$V,RESUMEN!P$119,FACTURA!$AA:$AA,RESUMEN!$C133,FACTURA!$AK:$AK,1),0)</f>
        <v>0</v>
      </c>
      <c r="Q133" s="167">
        <f>IFERROR(COUNTIFS(FACTURA!$V:$V,RESUMEN!Q$119,FACTURA!$AA:$AA,RESUMEN!$C133,FACTURA!$AK:$AK,1),0)</f>
        <v>0</v>
      </c>
      <c r="R133" s="167">
        <f>IFERROR(COUNTIFS(FACTURA!$V:$V,RESUMEN!R$119,FACTURA!$AA:$AA,RESUMEN!$C133,FACTURA!$AK:$AK,1),0)</f>
        <v>0</v>
      </c>
      <c r="S133" s="167">
        <f>IFERROR(COUNTIFS(FACTURA!$V:$V,RESUMEN!S$119,FACTURA!$AA:$AA,RESUMEN!$C133,FACTURA!$AK:$AK,1),0)</f>
        <v>0</v>
      </c>
      <c r="T133" s="167">
        <f>IFERROR(COUNTIFS(FACTURA!$V:$V,RESUMEN!T$119,FACTURA!$AA:$AA,RESUMEN!$C133,FACTURA!$AK:$AK,1),0)</f>
        <v>0</v>
      </c>
      <c r="U133" s="168">
        <f>IFERROR(COUNTIFS(FACTURA!$V:$V,RESUMEN!U$119,FACTURA!$AA:$AA,RESUMEN!$C133,FACTURA!$AK:$AK,1),0)</f>
        <v>0</v>
      </c>
      <c r="V133" s="84">
        <f t="shared" si="54"/>
        <v>0</v>
      </c>
      <c r="W133" s="20">
        <f>IFERROR(COUNTIFS(PEDIDO!$V:$V,RESUMEN!W$119,PEDIDO!$AA:$AA,RESUMEN!$C133,PEDIDO!$AK:$AK,1),0)</f>
        <v>0</v>
      </c>
      <c r="X133" s="167">
        <f>IFERROR(COUNTIFS(PEDIDO!$V:$V,RESUMEN!X$119,PEDIDO!$AA:$AA,RESUMEN!$C133,PEDIDO!$AK:$AK,1),0)</f>
        <v>0</v>
      </c>
      <c r="Y133" s="167">
        <f>IFERROR(COUNTIFS(PEDIDO!$V:$V,RESUMEN!Y$119,PEDIDO!$AA:$AA,RESUMEN!$C133,PEDIDO!$AK:$AK,1),0)</f>
        <v>0</v>
      </c>
      <c r="Z133" s="167">
        <f>IFERROR(COUNTIFS(PEDIDO!$V:$V,RESUMEN!Z$119,PEDIDO!$AA:$AA,RESUMEN!$C133,PEDIDO!$AK:$AK,1),0)</f>
        <v>0</v>
      </c>
      <c r="AA133" s="167">
        <f>IFERROR(COUNTIFS(PEDIDO!$V:$V,RESUMEN!AA$119,PEDIDO!$AA:$AA,RESUMEN!$C133,PEDIDO!$AK:$AK,1),0)</f>
        <v>0</v>
      </c>
      <c r="AB133" s="167">
        <f>IFERROR(COUNTIFS(PEDIDO!$V:$V,RESUMEN!AB$119,PEDIDO!$AA:$AA,RESUMEN!$C133,PEDIDO!$AK:$AK,1),0)</f>
        <v>0</v>
      </c>
      <c r="AC133" s="167">
        <f>IFERROR(COUNTIFS(PEDIDO!$V:$V,RESUMEN!AC$119,PEDIDO!$AA:$AA,RESUMEN!$C133,PEDIDO!$AK:$AK,1),0)</f>
        <v>0</v>
      </c>
      <c r="AD133" s="168">
        <f>IFERROR(COUNTIFS(PEDIDO!$V:$V,RESUMEN!AD$119,PEDIDO!$AA:$AA,RESUMEN!$C133,PEDIDO!$AK:$AK,1),0)</f>
        <v>0</v>
      </c>
      <c r="AE133" s="257">
        <f t="shared" si="55"/>
        <v>0</v>
      </c>
      <c r="AF133" s="20"/>
    </row>
    <row r="134" spans="2:32" x14ac:dyDescent="0.25">
      <c r="B134" s="62">
        <f t="shared" si="52"/>
        <v>14</v>
      </c>
      <c r="C134" s="204" t="str">
        <f t="shared" si="52"/>
        <v xml:space="preserve">- </v>
      </c>
      <c r="D134" s="18" t="str">
        <f t="shared" si="52"/>
        <v/>
      </c>
      <c r="E134" s="163">
        <f>IFERROR(COUNTIFS(CLIENTE!$BD:$BD,RESUMEN!$C134,CLIENTE!$AM:$AM,RESUMEN!E$119),0)</f>
        <v>0</v>
      </c>
      <c r="F134" s="164">
        <f>IFERROR(COUNTIFS(CLIENTE!$BD:$BD,RESUMEN!$C134,CLIENTE!$AM:$AM,RESUMEN!F$119),0)</f>
        <v>0</v>
      </c>
      <c r="G134" s="164">
        <f>IFERROR(COUNTIFS(CLIENTE!$BD:$BD,RESUMEN!$C134,CLIENTE!$AM:$AM,RESUMEN!G$119),0)</f>
        <v>0</v>
      </c>
      <c r="H134" s="164">
        <f>IFERROR(COUNTIFS(CLIENTE!$BD:$BD,RESUMEN!$C134,CLIENTE!$AM:$AM,RESUMEN!H$119),0)</f>
        <v>0</v>
      </c>
      <c r="I134" s="164">
        <f>IFERROR(COUNTIFS(CLIENTE!$BD:$BD,RESUMEN!$C134,CLIENTE!$AM:$AM,RESUMEN!I$119),0)</f>
        <v>0</v>
      </c>
      <c r="J134" s="164">
        <f>IFERROR(COUNTIFS(CLIENTE!$BD:$BD,RESUMEN!$C134,CLIENTE!$AM:$AM,RESUMEN!J$119),0)</f>
        <v>0</v>
      </c>
      <c r="K134" s="164">
        <f>IFERROR(COUNTIFS(CLIENTE!$BD:$BD,RESUMEN!$C134,CLIENTE!$AM:$AM,RESUMEN!K$119),0)</f>
        <v>0</v>
      </c>
      <c r="L134" s="164">
        <f>IFERROR(COUNTIFS(CLIENTE!$BD:$BD,RESUMEN!$C134,CLIENTE!$AM:$AM,RESUMEN!L$119),0)</f>
        <v>0</v>
      </c>
      <c r="M134" s="249">
        <f t="shared" si="53"/>
        <v>0</v>
      </c>
      <c r="N134" s="20">
        <f>IFERROR(COUNTIFS(FACTURA!$V:$V,RESUMEN!N$119,FACTURA!$AA:$AA,RESUMEN!$C134,FACTURA!$AK:$AK,1),0)</f>
        <v>0</v>
      </c>
      <c r="O134" s="167">
        <f>IFERROR(COUNTIFS(FACTURA!$V:$V,RESUMEN!O$119,FACTURA!$AA:$AA,RESUMEN!$C134,FACTURA!$AK:$AK,1),0)</f>
        <v>0</v>
      </c>
      <c r="P134" s="167">
        <f>IFERROR(COUNTIFS(FACTURA!$V:$V,RESUMEN!P$119,FACTURA!$AA:$AA,RESUMEN!$C134,FACTURA!$AK:$AK,1),0)</f>
        <v>0</v>
      </c>
      <c r="Q134" s="167">
        <f>IFERROR(COUNTIFS(FACTURA!$V:$V,RESUMEN!Q$119,FACTURA!$AA:$AA,RESUMEN!$C134,FACTURA!$AK:$AK,1),0)</f>
        <v>0</v>
      </c>
      <c r="R134" s="167">
        <f>IFERROR(COUNTIFS(FACTURA!$V:$V,RESUMEN!R$119,FACTURA!$AA:$AA,RESUMEN!$C134,FACTURA!$AK:$AK,1),0)</f>
        <v>0</v>
      </c>
      <c r="S134" s="167">
        <f>IFERROR(COUNTIFS(FACTURA!$V:$V,RESUMEN!S$119,FACTURA!$AA:$AA,RESUMEN!$C134,FACTURA!$AK:$AK,1),0)</f>
        <v>0</v>
      </c>
      <c r="T134" s="167">
        <f>IFERROR(COUNTIFS(FACTURA!$V:$V,RESUMEN!T$119,FACTURA!$AA:$AA,RESUMEN!$C134,FACTURA!$AK:$AK,1),0)</f>
        <v>0</v>
      </c>
      <c r="U134" s="168">
        <f>IFERROR(COUNTIFS(FACTURA!$V:$V,RESUMEN!U$119,FACTURA!$AA:$AA,RESUMEN!$C134,FACTURA!$AK:$AK,1),0)</f>
        <v>0</v>
      </c>
      <c r="V134" s="84">
        <f t="shared" si="54"/>
        <v>0</v>
      </c>
      <c r="W134" s="20">
        <f>IFERROR(COUNTIFS(PEDIDO!$V:$V,RESUMEN!W$119,PEDIDO!$AA:$AA,RESUMEN!$C134,PEDIDO!$AK:$AK,1),0)</f>
        <v>0</v>
      </c>
      <c r="X134" s="167">
        <f>IFERROR(COUNTIFS(PEDIDO!$V:$V,RESUMEN!X$119,PEDIDO!$AA:$AA,RESUMEN!$C134,PEDIDO!$AK:$AK,1),0)</f>
        <v>0</v>
      </c>
      <c r="Y134" s="167">
        <f>IFERROR(COUNTIFS(PEDIDO!$V:$V,RESUMEN!Y$119,PEDIDO!$AA:$AA,RESUMEN!$C134,PEDIDO!$AK:$AK,1),0)</f>
        <v>0</v>
      </c>
      <c r="Z134" s="167">
        <f>IFERROR(COUNTIFS(PEDIDO!$V:$V,RESUMEN!Z$119,PEDIDO!$AA:$AA,RESUMEN!$C134,PEDIDO!$AK:$AK,1),0)</f>
        <v>0</v>
      </c>
      <c r="AA134" s="167">
        <f>IFERROR(COUNTIFS(PEDIDO!$V:$V,RESUMEN!AA$119,PEDIDO!$AA:$AA,RESUMEN!$C134,PEDIDO!$AK:$AK,1),0)</f>
        <v>0</v>
      </c>
      <c r="AB134" s="167">
        <f>IFERROR(COUNTIFS(PEDIDO!$V:$V,RESUMEN!AB$119,PEDIDO!$AA:$AA,RESUMEN!$C134,PEDIDO!$AK:$AK,1),0)</f>
        <v>0</v>
      </c>
      <c r="AC134" s="167">
        <f>IFERROR(COUNTIFS(PEDIDO!$V:$V,RESUMEN!AC$119,PEDIDO!$AA:$AA,RESUMEN!$C134,PEDIDO!$AK:$AK,1),0)</f>
        <v>0</v>
      </c>
      <c r="AD134" s="168">
        <f>IFERROR(COUNTIFS(PEDIDO!$V:$V,RESUMEN!AD$119,PEDIDO!$AA:$AA,RESUMEN!$C134,PEDIDO!$AK:$AK,1),0)</f>
        <v>0</v>
      </c>
      <c r="AE134" s="257">
        <f t="shared" si="55"/>
        <v>0</v>
      </c>
      <c r="AF134" s="20"/>
    </row>
    <row r="135" spans="2:32" x14ac:dyDescent="0.25">
      <c r="B135" s="62">
        <f t="shared" si="52"/>
        <v>15</v>
      </c>
      <c r="C135" s="204" t="str">
        <f t="shared" si="52"/>
        <v xml:space="preserve">- </v>
      </c>
      <c r="D135" s="18" t="str">
        <f t="shared" si="52"/>
        <v/>
      </c>
      <c r="E135" s="163">
        <f>IFERROR(COUNTIFS(CLIENTE!$BD:$BD,RESUMEN!$C135,CLIENTE!$AM:$AM,RESUMEN!E$119),0)</f>
        <v>0</v>
      </c>
      <c r="F135" s="164">
        <f>IFERROR(COUNTIFS(CLIENTE!$BD:$BD,RESUMEN!$C135,CLIENTE!$AM:$AM,RESUMEN!F$119),0)</f>
        <v>0</v>
      </c>
      <c r="G135" s="164">
        <f>IFERROR(COUNTIFS(CLIENTE!$BD:$BD,RESUMEN!$C135,CLIENTE!$AM:$AM,RESUMEN!G$119),0)</f>
        <v>0</v>
      </c>
      <c r="H135" s="164">
        <f>IFERROR(COUNTIFS(CLIENTE!$BD:$BD,RESUMEN!$C135,CLIENTE!$AM:$AM,RESUMEN!H$119),0)</f>
        <v>0</v>
      </c>
      <c r="I135" s="164">
        <f>IFERROR(COUNTIFS(CLIENTE!$BD:$BD,RESUMEN!$C135,CLIENTE!$AM:$AM,RESUMEN!I$119),0)</f>
        <v>0</v>
      </c>
      <c r="J135" s="164">
        <f>IFERROR(COUNTIFS(CLIENTE!$BD:$BD,RESUMEN!$C135,CLIENTE!$AM:$AM,RESUMEN!J$119),0)</f>
        <v>0</v>
      </c>
      <c r="K135" s="164">
        <f>IFERROR(COUNTIFS(CLIENTE!$BD:$BD,RESUMEN!$C135,CLIENTE!$AM:$AM,RESUMEN!K$119),0)</f>
        <v>0</v>
      </c>
      <c r="L135" s="164">
        <f>IFERROR(COUNTIFS(CLIENTE!$BD:$BD,RESUMEN!$C135,CLIENTE!$AM:$AM,RESUMEN!L$119),0)</f>
        <v>0</v>
      </c>
      <c r="M135" s="249">
        <f t="shared" si="53"/>
        <v>0</v>
      </c>
      <c r="N135" s="20">
        <f>IFERROR(COUNTIFS(FACTURA!$V:$V,RESUMEN!N$119,FACTURA!$AA:$AA,RESUMEN!$C135,FACTURA!$AK:$AK,1),0)</f>
        <v>0</v>
      </c>
      <c r="O135" s="167">
        <f>IFERROR(COUNTIFS(FACTURA!$V:$V,RESUMEN!O$119,FACTURA!$AA:$AA,RESUMEN!$C135,FACTURA!$AK:$AK,1),0)</f>
        <v>0</v>
      </c>
      <c r="P135" s="167">
        <f>IFERROR(COUNTIFS(FACTURA!$V:$V,RESUMEN!P$119,FACTURA!$AA:$AA,RESUMEN!$C135,FACTURA!$AK:$AK,1),0)</f>
        <v>0</v>
      </c>
      <c r="Q135" s="167">
        <f>IFERROR(COUNTIFS(FACTURA!$V:$V,RESUMEN!Q$119,FACTURA!$AA:$AA,RESUMEN!$C135,FACTURA!$AK:$AK,1),0)</f>
        <v>0</v>
      </c>
      <c r="R135" s="167">
        <f>IFERROR(COUNTIFS(FACTURA!$V:$V,RESUMEN!R$119,FACTURA!$AA:$AA,RESUMEN!$C135,FACTURA!$AK:$AK,1),0)</f>
        <v>0</v>
      </c>
      <c r="S135" s="167">
        <f>IFERROR(COUNTIFS(FACTURA!$V:$V,RESUMEN!S$119,FACTURA!$AA:$AA,RESUMEN!$C135,FACTURA!$AK:$AK,1),0)</f>
        <v>0</v>
      </c>
      <c r="T135" s="167">
        <f>IFERROR(COUNTIFS(FACTURA!$V:$V,RESUMEN!T$119,FACTURA!$AA:$AA,RESUMEN!$C135,FACTURA!$AK:$AK,1),0)</f>
        <v>0</v>
      </c>
      <c r="U135" s="168">
        <f>IFERROR(COUNTIFS(FACTURA!$V:$V,RESUMEN!U$119,FACTURA!$AA:$AA,RESUMEN!$C135,FACTURA!$AK:$AK,1),0)</f>
        <v>0</v>
      </c>
      <c r="V135" s="84">
        <f t="shared" si="54"/>
        <v>0</v>
      </c>
      <c r="W135" s="20">
        <f>IFERROR(COUNTIFS(PEDIDO!$V:$V,RESUMEN!W$119,PEDIDO!$AA:$AA,RESUMEN!$C135,PEDIDO!$AK:$AK,1),0)</f>
        <v>0</v>
      </c>
      <c r="X135" s="167">
        <f>IFERROR(COUNTIFS(PEDIDO!$V:$V,RESUMEN!X$119,PEDIDO!$AA:$AA,RESUMEN!$C135,PEDIDO!$AK:$AK,1),0)</f>
        <v>0</v>
      </c>
      <c r="Y135" s="167">
        <f>IFERROR(COUNTIFS(PEDIDO!$V:$V,RESUMEN!Y$119,PEDIDO!$AA:$AA,RESUMEN!$C135,PEDIDO!$AK:$AK,1),0)</f>
        <v>0</v>
      </c>
      <c r="Z135" s="167">
        <f>IFERROR(COUNTIFS(PEDIDO!$V:$V,RESUMEN!Z$119,PEDIDO!$AA:$AA,RESUMEN!$C135,PEDIDO!$AK:$AK,1),0)</f>
        <v>0</v>
      </c>
      <c r="AA135" s="167">
        <f>IFERROR(COUNTIFS(PEDIDO!$V:$V,RESUMEN!AA$119,PEDIDO!$AA:$AA,RESUMEN!$C135,PEDIDO!$AK:$AK,1),0)</f>
        <v>0</v>
      </c>
      <c r="AB135" s="167">
        <f>IFERROR(COUNTIFS(PEDIDO!$V:$V,RESUMEN!AB$119,PEDIDO!$AA:$AA,RESUMEN!$C135,PEDIDO!$AK:$AK,1),0)</f>
        <v>0</v>
      </c>
      <c r="AC135" s="167">
        <f>IFERROR(COUNTIFS(PEDIDO!$V:$V,RESUMEN!AC$119,PEDIDO!$AA:$AA,RESUMEN!$C135,PEDIDO!$AK:$AK,1),0)</f>
        <v>0</v>
      </c>
      <c r="AD135" s="168">
        <f>IFERROR(COUNTIFS(PEDIDO!$V:$V,RESUMEN!AD$119,PEDIDO!$AA:$AA,RESUMEN!$C135,PEDIDO!$AK:$AK,1),0)</f>
        <v>0</v>
      </c>
      <c r="AE135" s="257">
        <f t="shared" si="55"/>
        <v>0</v>
      </c>
      <c r="AF135" s="20"/>
    </row>
    <row r="136" spans="2:32" x14ac:dyDescent="0.25">
      <c r="B136" s="62">
        <f t="shared" si="52"/>
        <v>16</v>
      </c>
      <c r="C136" s="204" t="str">
        <f t="shared" si="52"/>
        <v xml:space="preserve">- </v>
      </c>
      <c r="D136" s="18" t="str">
        <f t="shared" si="52"/>
        <v/>
      </c>
      <c r="E136" s="163">
        <f>IFERROR(COUNTIFS(CLIENTE!$BD:$BD,RESUMEN!$C136,CLIENTE!$AM:$AM,RESUMEN!E$119),0)</f>
        <v>0</v>
      </c>
      <c r="F136" s="164">
        <f>IFERROR(COUNTIFS(CLIENTE!$BD:$BD,RESUMEN!$C136,CLIENTE!$AM:$AM,RESUMEN!F$119),0)</f>
        <v>0</v>
      </c>
      <c r="G136" s="164">
        <f>IFERROR(COUNTIFS(CLIENTE!$BD:$BD,RESUMEN!$C136,CLIENTE!$AM:$AM,RESUMEN!G$119),0)</f>
        <v>0</v>
      </c>
      <c r="H136" s="164">
        <f>IFERROR(COUNTIFS(CLIENTE!$BD:$BD,RESUMEN!$C136,CLIENTE!$AM:$AM,RESUMEN!H$119),0)</f>
        <v>0</v>
      </c>
      <c r="I136" s="164">
        <f>IFERROR(COUNTIFS(CLIENTE!$BD:$BD,RESUMEN!$C136,CLIENTE!$AM:$AM,RESUMEN!I$119),0)</f>
        <v>0</v>
      </c>
      <c r="J136" s="164">
        <f>IFERROR(COUNTIFS(CLIENTE!$BD:$BD,RESUMEN!$C136,CLIENTE!$AM:$AM,RESUMEN!J$119),0)</f>
        <v>0</v>
      </c>
      <c r="K136" s="164">
        <f>IFERROR(COUNTIFS(CLIENTE!$BD:$BD,RESUMEN!$C136,CLIENTE!$AM:$AM,RESUMEN!K$119),0)</f>
        <v>0</v>
      </c>
      <c r="L136" s="164">
        <f>IFERROR(COUNTIFS(CLIENTE!$BD:$BD,RESUMEN!$C136,CLIENTE!$AM:$AM,RESUMEN!L$119),0)</f>
        <v>0</v>
      </c>
      <c r="M136" s="249">
        <f t="shared" si="53"/>
        <v>0</v>
      </c>
      <c r="N136" s="20">
        <f>IFERROR(COUNTIFS(FACTURA!$V:$V,RESUMEN!N$119,FACTURA!$AA:$AA,RESUMEN!$C136,FACTURA!$AK:$AK,1),0)</f>
        <v>0</v>
      </c>
      <c r="O136" s="167">
        <f>IFERROR(COUNTIFS(FACTURA!$V:$V,RESUMEN!O$119,FACTURA!$AA:$AA,RESUMEN!$C136,FACTURA!$AK:$AK,1),0)</f>
        <v>0</v>
      </c>
      <c r="P136" s="167">
        <f>IFERROR(COUNTIFS(FACTURA!$V:$V,RESUMEN!P$119,FACTURA!$AA:$AA,RESUMEN!$C136,FACTURA!$AK:$AK,1),0)</f>
        <v>0</v>
      </c>
      <c r="Q136" s="167">
        <f>IFERROR(COUNTIFS(FACTURA!$V:$V,RESUMEN!Q$119,FACTURA!$AA:$AA,RESUMEN!$C136,FACTURA!$AK:$AK,1),0)</f>
        <v>0</v>
      </c>
      <c r="R136" s="167">
        <f>IFERROR(COUNTIFS(FACTURA!$V:$V,RESUMEN!R$119,FACTURA!$AA:$AA,RESUMEN!$C136,FACTURA!$AK:$AK,1),0)</f>
        <v>0</v>
      </c>
      <c r="S136" s="167">
        <f>IFERROR(COUNTIFS(FACTURA!$V:$V,RESUMEN!S$119,FACTURA!$AA:$AA,RESUMEN!$C136,FACTURA!$AK:$AK,1),0)</f>
        <v>0</v>
      </c>
      <c r="T136" s="167">
        <f>IFERROR(COUNTIFS(FACTURA!$V:$V,RESUMEN!T$119,FACTURA!$AA:$AA,RESUMEN!$C136,FACTURA!$AK:$AK,1),0)</f>
        <v>0</v>
      </c>
      <c r="U136" s="168">
        <f>IFERROR(COUNTIFS(FACTURA!$V:$V,RESUMEN!U$119,FACTURA!$AA:$AA,RESUMEN!$C136,FACTURA!$AK:$AK,1),0)</f>
        <v>0</v>
      </c>
      <c r="V136" s="84">
        <f t="shared" si="54"/>
        <v>0</v>
      </c>
      <c r="W136" s="20">
        <f>IFERROR(COUNTIFS(PEDIDO!$V:$V,RESUMEN!W$119,PEDIDO!$AA:$AA,RESUMEN!$C136,PEDIDO!$AK:$AK,1),0)</f>
        <v>0</v>
      </c>
      <c r="X136" s="167">
        <f>IFERROR(COUNTIFS(PEDIDO!$V:$V,RESUMEN!X$119,PEDIDO!$AA:$AA,RESUMEN!$C136,PEDIDO!$AK:$AK,1),0)</f>
        <v>0</v>
      </c>
      <c r="Y136" s="167">
        <f>IFERROR(COUNTIFS(PEDIDO!$V:$V,RESUMEN!Y$119,PEDIDO!$AA:$AA,RESUMEN!$C136,PEDIDO!$AK:$AK,1),0)</f>
        <v>0</v>
      </c>
      <c r="Z136" s="167">
        <f>IFERROR(COUNTIFS(PEDIDO!$V:$V,RESUMEN!Z$119,PEDIDO!$AA:$AA,RESUMEN!$C136,PEDIDO!$AK:$AK,1),0)</f>
        <v>0</v>
      </c>
      <c r="AA136" s="167">
        <f>IFERROR(COUNTIFS(PEDIDO!$V:$V,RESUMEN!AA$119,PEDIDO!$AA:$AA,RESUMEN!$C136,PEDIDO!$AK:$AK,1),0)</f>
        <v>0</v>
      </c>
      <c r="AB136" s="167">
        <f>IFERROR(COUNTIFS(PEDIDO!$V:$V,RESUMEN!AB$119,PEDIDO!$AA:$AA,RESUMEN!$C136,PEDIDO!$AK:$AK,1),0)</f>
        <v>0</v>
      </c>
      <c r="AC136" s="167">
        <f>IFERROR(COUNTIFS(PEDIDO!$V:$V,RESUMEN!AC$119,PEDIDO!$AA:$AA,RESUMEN!$C136,PEDIDO!$AK:$AK,1),0)</f>
        <v>0</v>
      </c>
      <c r="AD136" s="168">
        <f>IFERROR(COUNTIFS(PEDIDO!$V:$V,RESUMEN!AD$119,PEDIDO!$AA:$AA,RESUMEN!$C136,PEDIDO!$AK:$AK,1),0)</f>
        <v>0</v>
      </c>
      <c r="AE136" s="257">
        <f t="shared" si="55"/>
        <v>0</v>
      </c>
      <c r="AF136" s="20"/>
    </row>
    <row r="137" spans="2:32" x14ac:dyDescent="0.25">
      <c r="B137" s="62">
        <f t="shared" si="52"/>
        <v>17</v>
      </c>
      <c r="C137" s="204" t="str">
        <f t="shared" si="52"/>
        <v xml:space="preserve">- </v>
      </c>
      <c r="D137" s="18" t="str">
        <f t="shared" si="52"/>
        <v/>
      </c>
      <c r="E137" s="163">
        <f>IFERROR(COUNTIFS(CLIENTE!$BD:$BD,RESUMEN!$C137,CLIENTE!$AM:$AM,RESUMEN!E$119),0)</f>
        <v>0</v>
      </c>
      <c r="F137" s="164">
        <f>IFERROR(COUNTIFS(CLIENTE!$BD:$BD,RESUMEN!$C137,CLIENTE!$AM:$AM,RESUMEN!F$119),0)</f>
        <v>0</v>
      </c>
      <c r="G137" s="164">
        <f>IFERROR(COUNTIFS(CLIENTE!$BD:$BD,RESUMEN!$C137,CLIENTE!$AM:$AM,RESUMEN!G$119),0)</f>
        <v>0</v>
      </c>
      <c r="H137" s="164">
        <f>IFERROR(COUNTIFS(CLIENTE!$BD:$BD,RESUMEN!$C137,CLIENTE!$AM:$AM,RESUMEN!H$119),0)</f>
        <v>0</v>
      </c>
      <c r="I137" s="164">
        <f>IFERROR(COUNTIFS(CLIENTE!$BD:$BD,RESUMEN!$C137,CLIENTE!$AM:$AM,RESUMEN!I$119),0)</f>
        <v>0</v>
      </c>
      <c r="J137" s="164">
        <f>IFERROR(COUNTIFS(CLIENTE!$BD:$BD,RESUMEN!$C137,CLIENTE!$AM:$AM,RESUMEN!J$119),0)</f>
        <v>0</v>
      </c>
      <c r="K137" s="164">
        <f>IFERROR(COUNTIFS(CLIENTE!$BD:$BD,RESUMEN!$C137,CLIENTE!$AM:$AM,RESUMEN!K$119),0)</f>
        <v>0</v>
      </c>
      <c r="L137" s="164">
        <f>IFERROR(COUNTIFS(CLIENTE!$BD:$BD,RESUMEN!$C137,CLIENTE!$AM:$AM,RESUMEN!L$119),0)</f>
        <v>0</v>
      </c>
      <c r="M137" s="249">
        <f t="shared" si="53"/>
        <v>0</v>
      </c>
      <c r="N137" s="20">
        <f>IFERROR(COUNTIFS(FACTURA!$V:$V,RESUMEN!N$119,FACTURA!$AA:$AA,RESUMEN!$C137,FACTURA!$AK:$AK,1),0)</f>
        <v>0</v>
      </c>
      <c r="O137" s="167">
        <f>IFERROR(COUNTIFS(FACTURA!$V:$V,RESUMEN!O$119,FACTURA!$AA:$AA,RESUMEN!$C137,FACTURA!$AK:$AK,1),0)</f>
        <v>0</v>
      </c>
      <c r="P137" s="167">
        <f>IFERROR(COUNTIFS(FACTURA!$V:$V,RESUMEN!P$119,FACTURA!$AA:$AA,RESUMEN!$C137,FACTURA!$AK:$AK,1),0)</f>
        <v>0</v>
      </c>
      <c r="Q137" s="167">
        <f>IFERROR(COUNTIFS(FACTURA!$V:$V,RESUMEN!Q$119,FACTURA!$AA:$AA,RESUMEN!$C137,FACTURA!$AK:$AK,1),0)</f>
        <v>0</v>
      </c>
      <c r="R137" s="167">
        <f>IFERROR(COUNTIFS(FACTURA!$V:$V,RESUMEN!R$119,FACTURA!$AA:$AA,RESUMEN!$C137,FACTURA!$AK:$AK,1),0)</f>
        <v>0</v>
      </c>
      <c r="S137" s="167">
        <f>IFERROR(COUNTIFS(FACTURA!$V:$V,RESUMEN!S$119,FACTURA!$AA:$AA,RESUMEN!$C137,FACTURA!$AK:$AK,1),0)</f>
        <v>0</v>
      </c>
      <c r="T137" s="167">
        <f>IFERROR(COUNTIFS(FACTURA!$V:$V,RESUMEN!T$119,FACTURA!$AA:$AA,RESUMEN!$C137,FACTURA!$AK:$AK,1),0)</f>
        <v>0</v>
      </c>
      <c r="U137" s="168">
        <f>IFERROR(COUNTIFS(FACTURA!$V:$V,RESUMEN!U$119,FACTURA!$AA:$AA,RESUMEN!$C137,FACTURA!$AK:$AK,1),0)</f>
        <v>0</v>
      </c>
      <c r="V137" s="84">
        <f t="shared" si="54"/>
        <v>0</v>
      </c>
      <c r="W137" s="20">
        <f>IFERROR(COUNTIFS(PEDIDO!$V:$V,RESUMEN!W$119,PEDIDO!$AA:$AA,RESUMEN!$C137,PEDIDO!$AK:$AK,1),0)</f>
        <v>0</v>
      </c>
      <c r="X137" s="167">
        <f>IFERROR(COUNTIFS(PEDIDO!$V:$V,RESUMEN!X$119,PEDIDO!$AA:$AA,RESUMEN!$C137,PEDIDO!$AK:$AK,1),0)</f>
        <v>0</v>
      </c>
      <c r="Y137" s="167">
        <f>IFERROR(COUNTIFS(PEDIDO!$V:$V,RESUMEN!Y$119,PEDIDO!$AA:$AA,RESUMEN!$C137,PEDIDO!$AK:$AK,1),0)</f>
        <v>0</v>
      </c>
      <c r="Z137" s="167">
        <f>IFERROR(COUNTIFS(PEDIDO!$V:$V,RESUMEN!Z$119,PEDIDO!$AA:$AA,RESUMEN!$C137,PEDIDO!$AK:$AK,1),0)</f>
        <v>0</v>
      </c>
      <c r="AA137" s="167">
        <f>IFERROR(COUNTIFS(PEDIDO!$V:$V,RESUMEN!AA$119,PEDIDO!$AA:$AA,RESUMEN!$C137,PEDIDO!$AK:$AK,1),0)</f>
        <v>0</v>
      </c>
      <c r="AB137" s="167">
        <f>IFERROR(COUNTIFS(PEDIDO!$V:$V,RESUMEN!AB$119,PEDIDO!$AA:$AA,RESUMEN!$C137,PEDIDO!$AK:$AK,1),0)</f>
        <v>0</v>
      </c>
      <c r="AC137" s="167">
        <f>IFERROR(COUNTIFS(PEDIDO!$V:$V,RESUMEN!AC$119,PEDIDO!$AA:$AA,RESUMEN!$C137,PEDIDO!$AK:$AK,1),0)</f>
        <v>0</v>
      </c>
      <c r="AD137" s="168">
        <f>IFERROR(COUNTIFS(PEDIDO!$V:$V,RESUMEN!AD$119,PEDIDO!$AA:$AA,RESUMEN!$C137,PEDIDO!$AK:$AK,1),0)</f>
        <v>0</v>
      </c>
      <c r="AE137" s="257">
        <f t="shared" si="55"/>
        <v>0</v>
      </c>
      <c r="AF137" s="20"/>
    </row>
    <row r="138" spans="2:32" x14ac:dyDescent="0.25">
      <c r="B138" s="62">
        <f t="shared" si="52"/>
        <v>18</v>
      </c>
      <c r="C138" s="204" t="str">
        <f t="shared" si="52"/>
        <v xml:space="preserve">- </v>
      </c>
      <c r="D138" s="18" t="str">
        <f t="shared" si="52"/>
        <v/>
      </c>
      <c r="E138" s="163">
        <f>IFERROR(COUNTIFS(CLIENTE!$BD:$BD,RESUMEN!$C138,CLIENTE!$AM:$AM,RESUMEN!E$119),0)</f>
        <v>0</v>
      </c>
      <c r="F138" s="164">
        <f>IFERROR(COUNTIFS(CLIENTE!$BD:$BD,RESUMEN!$C138,CLIENTE!$AM:$AM,RESUMEN!F$119),0)</f>
        <v>0</v>
      </c>
      <c r="G138" s="164">
        <f>IFERROR(COUNTIFS(CLIENTE!$BD:$BD,RESUMEN!$C138,CLIENTE!$AM:$AM,RESUMEN!G$119),0)</f>
        <v>0</v>
      </c>
      <c r="H138" s="164">
        <f>IFERROR(COUNTIFS(CLIENTE!$BD:$BD,RESUMEN!$C138,CLIENTE!$AM:$AM,RESUMEN!H$119),0)</f>
        <v>0</v>
      </c>
      <c r="I138" s="164">
        <f>IFERROR(COUNTIFS(CLIENTE!$BD:$BD,RESUMEN!$C138,CLIENTE!$AM:$AM,RESUMEN!I$119),0)</f>
        <v>0</v>
      </c>
      <c r="J138" s="164">
        <f>IFERROR(COUNTIFS(CLIENTE!$BD:$BD,RESUMEN!$C138,CLIENTE!$AM:$AM,RESUMEN!J$119),0)</f>
        <v>0</v>
      </c>
      <c r="K138" s="164">
        <f>IFERROR(COUNTIFS(CLIENTE!$BD:$BD,RESUMEN!$C138,CLIENTE!$AM:$AM,RESUMEN!K$119),0)</f>
        <v>0</v>
      </c>
      <c r="L138" s="164">
        <f>IFERROR(COUNTIFS(CLIENTE!$BD:$BD,RESUMEN!$C138,CLIENTE!$AM:$AM,RESUMEN!L$119),0)</f>
        <v>0</v>
      </c>
      <c r="M138" s="249">
        <f t="shared" si="53"/>
        <v>0</v>
      </c>
      <c r="N138" s="20">
        <f>IFERROR(COUNTIFS(FACTURA!$V:$V,RESUMEN!N$119,FACTURA!$AA:$AA,RESUMEN!$C138,FACTURA!$AK:$AK,1),0)</f>
        <v>0</v>
      </c>
      <c r="O138" s="167">
        <f>IFERROR(COUNTIFS(FACTURA!$V:$V,RESUMEN!O$119,FACTURA!$AA:$AA,RESUMEN!$C138,FACTURA!$AK:$AK,1),0)</f>
        <v>0</v>
      </c>
      <c r="P138" s="167">
        <f>IFERROR(COUNTIFS(FACTURA!$V:$V,RESUMEN!P$119,FACTURA!$AA:$AA,RESUMEN!$C138,FACTURA!$AK:$AK,1),0)</f>
        <v>0</v>
      </c>
      <c r="Q138" s="167">
        <f>IFERROR(COUNTIFS(FACTURA!$V:$V,RESUMEN!Q$119,FACTURA!$AA:$AA,RESUMEN!$C138,FACTURA!$AK:$AK,1),0)</f>
        <v>0</v>
      </c>
      <c r="R138" s="167">
        <f>IFERROR(COUNTIFS(FACTURA!$V:$V,RESUMEN!R$119,FACTURA!$AA:$AA,RESUMEN!$C138,FACTURA!$AK:$AK,1),0)</f>
        <v>0</v>
      </c>
      <c r="S138" s="167">
        <f>IFERROR(COUNTIFS(FACTURA!$V:$V,RESUMEN!S$119,FACTURA!$AA:$AA,RESUMEN!$C138,FACTURA!$AK:$AK,1),0)</f>
        <v>0</v>
      </c>
      <c r="T138" s="167">
        <f>IFERROR(COUNTIFS(FACTURA!$V:$V,RESUMEN!T$119,FACTURA!$AA:$AA,RESUMEN!$C138,FACTURA!$AK:$AK,1),0)</f>
        <v>0</v>
      </c>
      <c r="U138" s="168">
        <f>IFERROR(COUNTIFS(FACTURA!$V:$V,RESUMEN!U$119,FACTURA!$AA:$AA,RESUMEN!$C138,FACTURA!$AK:$AK,1),0)</f>
        <v>0</v>
      </c>
      <c r="V138" s="84">
        <f t="shared" si="54"/>
        <v>0</v>
      </c>
      <c r="W138" s="20">
        <f>IFERROR(COUNTIFS(PEDIDO!$V:$V,RESUMEN!W$119,PEDIDO!$AA:$AA,RESUMEN!$C138,PEDIDO!$AK:$AK,1),0)</f>
        <v>0</v>
      </c>
      <c r="X138" s="167">
        <f>IFERROR(COUNTIFS(PEDIDO!$V:$V,RESUMEN!X$119,PEDIDO!$AA:$AA,RESUMEN!$C138,PEDIDO!$AK:$AK,1),0)</f>
        <v>0</v>
      </c>
      <c r="Y138" s="167">
        <f>IFERROR(COUNTIFS(PEDIDO!$V:$V,RESUMEN!Y$119,PEDIDO!$AA:$AA,RESUMEN!$C138,PEDIDO!$AK:$AK,1),0)</f>
        <v>0</v>
      </c>
      <c r="Z138" s="167">
        <f>IFERROR(COUNTIFS(PEDIDO!$V:$V,RESUMEN!Z$119,PEDIDO!$AA:$AA,RESUMEN!$C138,PEDIDO!$AK:$AK,1),0)</f>
        <v>0</v>
      </c>
      <c r="AA138" s="167">
        <f>IFERROR(COUNTIFS(PEDIDO!$V:$V,RESUMEN!AA$119,PEDIDO!$AA:$AA,RESUMEN!$C138,PEDIDO!$AK:$AK,1),0)</f>
        <v>0</v>
      </c>
      <c r="AB138" s="167">
        <f>IFERROR(COUNTIFS(PEDIDO!$V:$V,RESUMEN!AB$119,PEDIDO!$AA:$AA,RESUMEN!$C138,PEDIDO!$AK:$AK,1),0)</f>
        <v>0</v>
      </c>
      <c r="AC138" s="167">
        <f>IFERROR(COUNTIFS(PEDIDO!$V:$V,RESUMEN!AC$119,PEDIDO!$AA:$AA,RESUMEN!$C138,PEDIDO!$AK:$AK,1),0)</f>
        <v>0</v>
      </c>
      <c r="AD138" s="168">
        <f>IFERROR(COUNTIFS(PEDIDO!$V:$V,RESUMEN!AD$119,PEDIDO!$AA:$AA,RESUMEN!$C138,PEDIDO!$AK:$AK,1),0)</f>
        <v>0</v>
      </c>
      <c r="AE138" s="257">
        <f t="shared" si="55"/>
        <v>0</v>
      </c>
      <c r="AF138" s="20"/>
    </row>
    <row r="139" spans="2:32" x14ac:dyDescent="0.25">
      <c r="B139" s="62">
        <f t="shared" si="52"/>
        <v>19</v>
      </c>
      <c r="C139" s="204" t="str">
        <f t="shared" si="52"/>
        <v xml:space="preserve">- </v>
      </c>
      <c r="D139" s="18" t="str">
        <f t="shared" si="52"/>
        <v/>
      </c>
      <c r="E139" s="163">
        <f>IFERROR(COUNTIFS(CLIENTE!$BD:$BD,RESUMEN!$C139,CLIENTE!$AM:$AM,RESUMEN!E$119),0)</f>
        <v>0</v>
      </c>
      <c r="F139" s="164">
        <f>IFERROR(COUNTIFS(CLIENTE!$BD:$BD,RESUMEN!$C139,CLIENTE!$AM:$AM,RESUMEN!F$119),0)</f>
        <v>0</v>
      </c>
      <c r="G139" s="164">
        <f>IFERROR(COUNTIFS(CLIENTE!$BD:$BD,RESUMEN!$C139,CLIENTE!$AM:$AM,RESUMEN!G$119),0)</f>
        <v>0</v>
      </c>
      <c r="H139" s="164">
        <f>IFERROR(COUNTIFS(CLIENTE!$BD:$BD,RESUMEN!$C139,CLIENTE!$AM:$AM,RESUMEN!H$119),0)</f>
        <v>0</v>
      </c>
      <c r="I139" s="164">
        <f>IFERROR(COUNTIFS(CLIENTE!$BD:$BD,RESUMEN!$C139,CLIENTE!$AM:$AM,RESUMEN!I$119),0)</f>
        <v>0</v>
      </c>
      <c r="J139" s="164">
        <f>IFERROR(COUNTIFS(CLIENTE!$BD:$BD,RESUMEN!$C139,CLIENTE!$AM:$AM,RESUMEN!J$119),0)</f>
        <v>0</v>
      </c>
      <c r="K139" s="164">
        <f>IFERROR(COUNTIFS(CLIENTE!$BD:$BD,RESUMEN!$C139,CLIENTE!$AM:$AM,RESUMEN!K$119),0)</f>
        <v>0</v>
      </c>
      <c r="L139" s="164">
        <f>IFERROR(COUNTIFS(CLIENTE!$BD:$BD,RESUMEN!$C139,CLIENTE!$AM:$AM,RESUMEN!L$119),0)</f>
        <v>0</v>
      </c>
      <c r="M139" s="249">
        <f t="shared" si="53"/>
        <v>0</v>
      </c>
      <c r="N139" s="20">
        <f>IFERROR(COUNTIFS(FACTURA!$V:$V,RESUMEN!N$119,FACTURA!$AA:$AA,RESUMEN!$C139,FACTURA!$AK:$AK,1),0)</f>
        <v>0</v>
      </c>
      <c r="O139" s="167">
        <f>IFERROR(COUNTIFS(FACTURA!$V:$V,RESUMEN!O$119,FACTURA!$AA:$AA,RESUMEN!$C139,FACTURA!$AK:$AK,1),0)</f>
        <v>0</v>
      </c>
      <c r="P139" s="167">
        <f>IFERROR(COUNTIFS(FACTURA!$V:$V,RESUMEN!P$119,FACTURA!$AA:$AA,RESUMEN!$C139,FACTURA!$AK:$AK,1),0)</f>
        <v>0</v>
      </c>
      <c r="Q139" s="167">
        <f>IFERROR(COUNTIFS(FACTURA!$V:$V,RESUMEN!Q$119,FACTURA!$AA:$AA,RESUMEN!$C139,FACTURA!$AK:$AK,1),0)</f>
        <v>0</v>
      </c>
      <c r="R139" s="167">
        <f>IFERROR(COUNTIFS(FACTURA!$V:$V,RESUMEN!R$119,FACTURA!$AA:$AA,RESUMEN!$C139,FACTURA!$AK:$AK,1),0)</f>
        <v>0</v>
      </c>
      <c r="S139" s="167">
        <f>IFERROR(COUNTIFS(FACTURA!$V:$V,RESUMEN!S$119,FACTURA!$AA:$AA,RESUMEN!$C139,FACTURA!$AK:$AK,1),0)</f>
        <v>0</v>
      </c>
      <c r="T139" s="167">
        <f>IFERROR(COUNTIFS(FACTURA!$V:$V,RESUMEN!T$119,FACTURA!$AA:$AA,RESUMEN!$C139,FACTURA!$AK:$AK,1),0)</f>
        <v>0</v>
      </c>
      <c r="U139" s="168">
        <f>IFERROR(COUNTIFS(FACTURA!$V:$V,RESUMEN!U$119,FACTURA!$AA:$AA,RESUMEN!$C139,FACTURA!$AK:$AK,1),0)</f>
        <v>0</v>
      </c>
      <c r="V139" s="84">
        <f t="shared" si="54"/>
        <v>0</v>
      </c>
      <c r="W139" s="20">
        <f>IFERROR(COUNTIFS(PEDIDO!$V:$V,RESUMEN!W$119,PEDIDO!$AA:$AA,RESUMEN!$C139,PEDIDO!$AK:$AK,1),0)</f>
        <v>0</v>
      </c>
      <c r="X139" s="167">
        <f>IFERROR(COUNTIFS(PEDIDO!$V:$V,RESUMEN!X$119,PEDIDO!$AA:$AA,RESUMEN!$C139,PEDIDO!$AK:$AK,1),0)</f>
        <v>0</v>
      </c>
      <c r="Y139" s="167">
        <f>IFERROR(COUNTIFS(PEDIDO!$V:$V,RESUMEN!Y$119,PEDIDO!$AA:$AA,RESUMEN!$C139,PEDIDO!$AK:$AK,1),0)</f>
        <v>0</v>
      </c>
      <c r="Z139" s="167">
        <f>IFERROR(COUNTIFS(PEDIDO!$V:$V,RESUMEN!Z$119,PEDIDO!$AA:$AA,RESUMEN!$C139,PEDIDO!$AK:$AK,1),0)</f>
        <v>0</v>
      </c>
      <c r="AA139" s="167">
        <f>IFERROR(COUNTIFS(PEDIDO!$V:$V,RESUMEN!AA$119,PEDIDO!$AA:$AA,RESUMEN!$C139,PEDIDO!$AK:$AK,1),0)</f>
        <v>0</v>
      </c>
      <c r="AB139" s="167">
        <f>IFERROR(COUNTIFS(PEDIDO!$V:$V,RESUMEN!AB$119,PEDIDO!$AA:$AA,RESUMEN!$C139,PEDIDO!$AK:$AK,1),0)</f>
        <v>0</v>
      </c>
      <c r="AC139" s="167">
        <f>IFERROR(COUNTIFS(PEDIDO!$V:$V,RESUMEN!AC$119,PEDIDO!$AA:$AA,RESUMEN!$C139,PEDIDO!$AK:$AK,1),0)</f>
        <v>0</v>
      </c>
      <c r="AD139" s="168">
        <f>IFERROR(COUNTIFS(PEDIDO!$V:$V,RESUMEN!AD$119,PEDIDO!$AA:$AA,RESUMEN!$C139,PEDIDO!$AK:$AK,1),0)</f>
        <v>0</v>
      </c>
      <c r="AE139" s="257">
        <f t="shared" si="55"/>
        <v>0</v>
      </c>
      <c r="AF139" s="20"/>
    </row>
    <row r="140" spans="2:32" x14ac:dyDescent="0.25">
      <c r="B140" s="63">
        <f t="shared" si="52"/>
        <v>20</v>
      </c>
      <c r="C140" s="205" t="str">
        <f t="shared" si="52"/>
        <v xml:space="preserve">- </v>
      </c>
      <c r="D140" s="72" t="str">
        <f t="shared" si="52"/>
        <v/>
      </c>
      <c r="E140" s="165">
        <f>IFERROR(COUNTIFS(CLIENTE!$BD:$BD,RESUMEN!$C140,CLIENTE!$AM:$AM,RESUMEN!E$119),0)</f>
        <v>0</v>
      </c>
      <c r="F140" s="166">
        <f>IFERROR(COUNTIFS(CLIENTE!$BD:$BD,RESUMEN!$C140,CLIENTE!$AM:$AM,RESUMEN!F$119),0)</f>
        <v>0</v>
      </c>
      <c r="G140" s="166">
        <f>IFERROR(COUNTIFS(CLIENTE!$BD:$BD,RESUMEN!$C140,CLIENTE!$AM:$AM,RESUMEN!G$119),0)</f>
        <v>0</v>
      </c>
      <c r="H140" s="166">
        <f>IFERROR(COUNTIFS(CLIENTE!$BD:$BD,RESUMEN!$C140,CLIENTE!$AM:$AM,RESUMEN!H$119),0)</f>
        <v>0</v>
      </c>
      <c r="I140" s="166">
        <f>IFERROR(COUNTIFS(CLIENTE!$BD:$BD,RESUMEN!$C140,CLIENTE!$AM:$AM,RESUMEN!I$119),0)</f>
        <v>0</v>
      </c>
      <c r="J140" s="166">
        <f>IFERROR(COUNTIFS(CLIENTE!$BD:$BD,RESUMEN!$C140,CLIENTE!$AM:$AM,RESUMEN!J$119),0)</f>
        <v>0</v>
      </c>
      <c r="K140" s="166">
        <f>IFERROR(COUNTIFS(CLIENTE!$BD:$BD,RESUMEN!$C140,CLIENTE!$AM:$AM,RESUMEN!K$119),0)</f>
        <v>0</v>
      </c>
      <c r="L140" s="166">
        <f>IFERROR(COUNTIFS(CLIENTE!$BD:$BD,RESUMEN!$C140,CLIENTE!$AM:$AM,RESUMEN!L$119),0)</f>
        <v>0</v>
      </c>
      <c r="M140" s="246">
        <f t="shared" si="53"/>
        <v>0</v>
      </c>
      <c r="N140" s="172">
        <f>IFERROR(COUNTIFS(FACTURA!$V:$V,RESUMEN!N$119,FACTURA!$AA:$AA,RESUMEN!$C140,FACTURA!$AK:$AK,1),0)</f>
        <v>0</v>
      </c>
      <c r="O140" s="173">
        <f>IFERROR(COUNTIFS(FACTURA!$V:$V,RESUMEN!O$119,FACTURA!$AA:$AA,RESUMEN!$C140,FACTURA!$AK:$AK,1),0)</f>
        <v>0</v>
      </c>
      <c r="P140" s="173">
        <f>IFERROR(COUNTIFS(FACTURA!$V:$V,RESUMEN!P$119,FACTURA!$AA:$AA,RESUMEN!$C140,FACTURA!$AK:$AK,1),0)</f>
        <v>0</v>
      </c>
      <c r="Q140" s="173">
        <f>IFERROR(COUNTIFS(FACTURA!$V:$V,RESUMEN!Q$119,FACTURA!$AA:$AA,RESUMEN!$C140,FACTURA!$AK:$AK,1),0)</f>
        <v>0</v>
      </c>
      <c r="R140" s="173">
        <f>IFERROR(COUNTIFS(FACTURA!$V:$V,RESUMEN!R$119,FACTURA!$AA:$AA,RESUMEN!$C140,FACTURA!$AK:$AK,1),0)</f>
        <v>0</v>
      </c>
      <c r="S140" s="173">
        <f>IFERROR(COUNTIFS(FACTURA!$V:$V,RESUMEN!S$119,FACTURA!$AA:$AA,RESUMEN!$C140,FACTURA!$AK:$AK,1),0)</f>
        <v>0</v>
      </c>
      <c r="T140" s="173">
        <f>IFERROR(COUNTIFS(FACTURA!$V:$V,RESUMEN!T$119,FACTURA!$AA:$AA,RESUMEN!$C140,FACTURA!$AK:$AK,1),0)</f>
        <v>0</v>
      </c>
      <c r="U140" s="174">
        <f>IFERROR(COUNTIFS(FACTURA!$V:$V,RESUMEN!U$119,FACTURA!$AA:$AA,RESUMEN!$C140,FACTURA!$AK:$AK,1),0)</f>
        <v>0</v>
      </c>
      <c r="V140" s="250">
        <f t="shared" si="54"/>
        <v>0</v>
      </c>
      <c r="W140" s="172">
        <f>IFERROR(COUNTIFS(PEDIDO!$V:$V,RESUMEN!W$119,PEDIDO!$AA:$AA,RESUMEN!$C140,PEDIDO!$AK:$AK,1),0)</f>
        <v>0</v>
      </c>
      <c r="X140" s="173">
        <f>IFERROR(COUNTIFS(PEDIDO!$V:$V,RESUMEN!X$119,PEDIDO!$AA:$AA,RESUMEN!$C140,PEDIDO!$AK:$AK,1),0)</f>
        <v>0</v>
      </c>
      <c r="Y140" s="173">
        <f>IFERROR(COUNTIFS(PEDIDO!$V:$V,RESUMEN!Y$119,PEDIDO!$AA:$AA,RESUMEN!$C140,PEDIDO!$AK:$AK,1),0)</f>
        <v>0</v>
      </c>
      <c r="Z140" s="173">
        <f>IFERROR(COUNTIFS(PEDIDO!$V:$V,RESUMEN!Z$119,PEDIDO!$AA:$AA,RESUMEN!$C140,PEDIDO!$AK:$AK,1),0)</f>
        <v>0</v>
      </c>
      <c r="AA140" s="173">
        <f>IFERROR(COUNTIFS(PEDIDO!$V:$V,RESUMEN!AA$119,PEDIDO!$AA:$AA,RESUMEN!$C140,PEDIDO!$AK:$AK,1),0)</f>
        <v>0</v>
      </c>
      <c r="AB140" s="173">
        <f>IFERROR(COUNTIFS(PEDIDO!$V:$V,RESUMEN!AB$119,PEDIDO!$AA:$AA,RESUMEN!$C140,PEDIDO!$AK:$AK,1),0)</f>
        <v>0</v>
      </c>
      <c r="AC140" s="173">
        <f>IFERROR(COUNTIFS(PEDIDO!$V:$V,RESUMEN!AC$119,PEDIDO!$AA:$AA,RESUMEN!$C140,PEDIDO!$AK:$AK,1),0)</f>
        <v>0</v>
      </c>
      <c r="AD140" s="174">
        <f>IFERROR(COUNTIFS(PEDIDO!$V:$V,RESUMEN!AD$119,PEDIDO!$AA:$AA,RESUMEN!$C140,PEDIDO!$AK:$AK,1),0)</f>
        <v>0</v>
      </c>
      <c r="AE140" s="250">
        <f t="shared" si="55"/>
        <v>0</v>
      </c>
      <c r="AF140" s="20"/>
    </row>
    <row r="141" spans="2:32" x14ac:dyDescent="0.25">
      <c r="B141" s="6"/>
      <c r="C141" s="200"/>
    </row>
    <row r="142" spans="2:32" x14ac:dyDescent="0.25">
      <c r="B142" s="6" t="s">
        <v>142</v>
      </c>
      <c r="C142" s="200"/>
    </row>
    <row r="143" spans="2:32" x14ac:dyDescent="0.25">
      <c r="B143" s="6"/>
      <c r="C143" s="200"/>
      <c r="D143" s="6"/>
      <c r="F143" s="365" t="s">
        <v>93</v>
      </c>
      <c r="G143" s="421"/>
      <c r="H143" s="421"/>
      <c r="I143" s="421"/>
      <c r="J143" s="421"/>
      <c r="K143" s="421"/>
      <c r="L143" s="421"/>
      <c r="M143" s="421"/>
      <c r="N143" s="421"/>
      <c r="O143" s="365" t="s">
        <v>94</v>
      </c>
      <c r="P143" s="421"/>
      <c r="Q143" s="421"/>
      <c r="R143" s="421"/>
      <c r="S143" s="421"/>
      <c r="T143" s="421"/>
      <c r="U143" s="421"/>
      <c r="V143" s="421"/>
      <c r="W143" s="366"/>
    </row>
    <row r="144" spans="2:32" ht="14.45" customHeight="1" x14ac:dyDescent="0.25">
      <c r="B144" s="6"/>
      <c r="C144" s="200"/>
      <c r="D144" s="6"/>
      <c r="E144" s="383" t="s">
        <v>134</v>
      </c>
      <c r="F144" s="419" t="s">
        <v>92</v>
      </c>
      <c r="G144" s="376" t="s">
        <v>99</v>
      </c>
      <c r="H144" s="377"/>
      <c r="I144" s="378"/>
      <c r="J144" s="383" t="s">
        <v>100</v>
      </c>
      <c r="K144" s="374" t="s">
        <v>96</v>
      </c>
      <c r="L144" s="370" t="s">
        <v>95</v>
      </c>
      <c r="M144" s="370" t="s">
        <v>101</v>
      </c>
      <c r="N144" s="372" t="s">
        <v>136</v>
      </c>
      <c r="O144" s="370" t="s">
        <v>92</v>
      </c>
      <c r="P144" s="376" t="s">
        <v>99</v>
      </c>
      <c r="Q144" s="377"/>
      <c r="R144" s="378"/>
      <c r="S144" s="384" t="s">
        <v>100</v>
      </c>
      <c r="T144" s="370" t="s">
        <v>96</v>
      </c>
      <c r="U144" s="370" t="s">
        <v>95</v>
      </c>
      <c r="V144" s="370" t="s">
        <v>101</v>
      </c>
      <c r="W144" s="372" t="s">
        <v>136</v>
      </c>
    </row>
    <row r="145" spans="2:28" x14ac:dyDescent="0.25">
      <c r="E145" s="384"/>
      <c r="F145" s="370"/>
      <c r="G145" s="23" t="s">
        <v>97</v>
      </c>
      <c r="H145" s="23" t="s">
        <v>98</v>
      </c>
      <c r="I145" s="251" t="s">
        <v>215</v>
      </c>
      <c r="J145" s="384"/>
      <c r="K145" s="375"/>
      <c r="L145" s="371"/>
      <c r="M145" s="371"/>
      <c r="N145" s="373"/>
      <c r="O145" s="371"/>
      <c r="P145" s="252" t="s">
        <v>97</v>
      </c>
      <c r="Q145" s="252" t="s">
        <v>98</v>
      </c>
      <c r="R145" s="251" t="s">
        <v>215</v>
      </c>
      <c r="S145" s="413"/>
      <c r="T145" s="371"/>
      <c r="U145" s="371"/>
      <c r="V145" s="371"/>
      <c r="W145" s="373"/>
    </row>
    <row r="146" spans="2:28" x14ac:dyDescent="0.25">
      <c r="D146" s="55" t="s">
        <v>15</v>
      </c>
      <c r="E146" s="120">
        <f>IFERROR(COUNTIF(CLIENTE!$AM:$AM,RESUMEN!D146),0)</f>
        <v>0</v>
      </c>
      <c r="F146" s="259">
        <f>IFERROR(SUMIFS(FACTURA!$S:$S,FACTURA!$V:$V,RESUMEN!D146),0)</f>
        <v>0</v>
      </c>
      <c r="G146" s="34">
        <f>IFERROR(SUMIFS(FACTURA!$T:$T,FACTURA!$AF:$AF,RESUMEN!G$145,FACTURA!$V:$V,RESUMEN!$D146),0)</f>
        <v>0</v>
      </c>
      <c r="H146" s="35">
        <f>IFERROR(SUMIFS(FACTURA!$T:$T,FACTURA!$AF:$AF,RESUMEN!H$145,FACTURA!$V:$V,RESUMEN!$D146),0)</f>
        <v>0</v>
      </c>
      <c r="I146" s="35">
        <f>IFERROR(SUMIFS(FACTURA!$T:$T,FACTURA!$AF:$AF,RESUMEN!I$145,FACTURA!$V:$V,RESUMEN!$D146),0)</f>
        <v>0</v>
      </c>
      <c r="J146" s="35">
        <f>SUM(G146:I146)</f>
        <v>0</v>
      </c>
      <c r="K146" s="313" t="str">
        <f>IFERROR(J146/F146,"")</f>
        <v/>
      </c>
      <c r="L146" s="48" t="str">
        <f>IFERROR(J146/$J$154,"")</f>
        <v/>
      </c>
      <c r="M146" s="95">
        <f>IFERROR(COUNTIFS(FACTURA!$V:$V,RESUMEN!D146,FACTURA!$AN:$AN,1),0)</f>
        <v>0</v>
      </c>
      <c r="N146" s="91">
        <f>IFERROR(COUNTIFS(FACTURA!$V:$V,RESUMEN!$D146,FACTURA!$AK:$AK,1),0)</f>
        <v>0</v>
      </c>
      <c r="O146" s="34">
        <f>IFERROR(SUMIFS(PEDIDO!$S:$S,PEDIDO!$V:$V,RESUMEN!D146),0)</f>
        <v>0</v>
      </c>
      <c r="P146" s="34">
        <f>IFERROR(SUMIFS(PEDIDO!$T:$T,PEDIDO!$AF:$AF,RESUMEN!P$145,PEDIDO!$V:$V,RESUMEN!$D146),0)</f>
        <v>0</v>
      </c>
      <c r="Q146" s="35">
        <f>IFERROR(SUMIFS(PEDIDO!$T:$T,PEDIDO!$AF:$AF,RESUMEN!Q$145,PEDIDO!$V:$V,RESUMEN!$D146),0)</f>
        <v>0</v>
      </c>
      <c r="R146" s="65">
        <f>IFERROR(SUMIFS(PEDIDO!$T:$T,PEDIDO!$AF:$AF,RESUMEN!R$145,PEDIDO!$V:$V,RESUMEN!$D146),0)</f>
        <v>0</v>
      </c>
      <c r="S146" s="35">
        <f>SUM(P146:R146)</f>
        <v>0</v>
      </c>
      <c r="T146" s="316" t="str">
        <f>IFERROR(S146/O146,"")</f>
        <v/>
      </c>
      <c r="U146" s="19" t="str">
        <f>IFERROR(S146/$J$154,"")</f>
        <v/>
      </c>
      <c r="V146" s="95">
        <f>IFERROR(COUNTIFS(PEDIDO!$V:$V,RESUMEN!D146,PEDIDO!$AN:$AN,1),0)</f>
        <v>0</v>
      </c>
      <c r="W146" s="91">
        <f>IFERROR(COUNTIFS(PEDIDO!$V:$V,RESUMEN!$D146,PEDIDO!$AK:$AK,1),0)</f>
        <v>0</v>
      </c>
    </row>
    <row r="147" spans="2:28" x14ac:dyDescent="0.25">
      <c r="D147" s="57" t="s">
        <v>69</v>
      </c>
      <c r="E147" s="121">
        <f>IFERROR(COUNTIF(CLIENTE!$AM:$AM,RESUMEN!D147),0)</f>
        <v>0</v>
      </c>
      <c r="F147" s="159">
        <f>IFERROR(SUMIFS(FACTURA!$S:$S,FACTURA!$V:$V,RESUMEN!D147),0)</f>
        <v>0</v>
      </c>
      <c r="G147" s="36">
        <f>IFERROR(SUMIFS(FACTURA!$T:$T,FACTURA!$AF:$AF,RESUMEN!G$145,FACTURA!$V:$V,RESUMEN!$D147),0)</f>
        <v>0</v>
      </c>
      <c r="H147" s="31">
        <f>IFERROR(SUMIFS(FACTURA!$T:$T,FACTURA!$AF:$AF,RESUMEN!H$145,FACTURA!$V:$V,RESUMEN!$D147),0)</f>
        <v>0</v>
      </c>
      <c r="I147" s="31">
        <f>IFERROR(SUMIFS(FACTURA!$T:$T,FACTURA!$AF:$AF,RESUMEN!I$145,FACTURA!$V:$V,RESUMEN!$D147),0)</f>
        <v>0</v>
      </c>
      <c r="J147" s="31">
        <f t="shared" ref="J147:J153" si="56">SUM(G147:I147)</f>
        <v>0</v>
      </c>
      <c r="K147" s="314" t="str">
        <f>IFERROR(J147/F147,"")</f>
        <v/>
      </c>
      <c r="L147" s="49" t="str">
        <f>IFERROR(J147/$J$154,"")</f>
        <v/>
      </c>
      <c r="M147" s="96">
        <f>IFERROR(COUNTIFS(FACTURA!$V:$V,RESUMEN!D147,FACTURA!$AN:$AN,1),0)</f>
        <v>0</v>
      </c>
      <c r="N147" s="91">
        <f>IFERROR(COUNTIFS(FACTURA!$V:$V,RESUMEN!$D147,FACTURA!$AK:$AK,1),0)</f>
        <v>0</v>
      </c>
      <c r="O147" s="36">
        <f>IFERROR(SUMIFS(PEDIDO!$S:$S,PEDIDO!$V:$V,RESUMEN!D147),0)</f>
        <v>0</v>
      </c>
      <c r="P147" s="36">
        <f>IFERROR(SUMIFS(PEDIDO!$T:$T,PEDIDO!$AF:$AF,RESUMEN!P$145,PEDIDO!$V:$V,RESUMEN!$D147),0)</f>
        <v>0</v>
      </c>
      <c r="Q147" s="31">
        <f>IFERROR(SUMIFS(PEDIDO!$T:$T,PEDIDO!$AF:$AF,RESUMEN!Q$145,PEDIDO!$V:$V,RESUMEN!$D147),0)</f>
        <v>0</v>
      </c>
      <c r="R147" s="18">
        <f>IFERROR(SUMIFS(PEDIDO!$T:$T,PEDIDO!$AF:$AF,RESUMEN!R$145,PEDIDO!$V:$V,RESUMEN!$D147),0)</f>
        <v>0</v>
      </c>
      <c r="S147" s="31">
        <f t="shared" ref="S147:S153" si="57">SUM(P147:R147)</f>
        <v>0</v>
      </c>
      <c r="T147" s="32" t="str">
        <f>IFERROR(S147/O147,"")</f>
        <v/>
      </c>
      <c r="U147" s="5" t="str">
        <f>IFERROR(S147/$J$154,"")</f>
        <v/>
      </c>
      <c r="V147" s="96">
        <f>IFERROR(COUNTIFS(PEDIDO!$V:$V,RESUMEN!D147,PEDIDO!$AN:$AN,1),0)</f>
        <v>0</v>
      </c>
      <c r="W147" s="91">
        <f>IFERROR(COUNTIFS(PEDIDO!$V:$V,RESUMEN!$D147,PEDIDO!$AK:$AK,1),0)</f>
        <v>0</v>
      </c>
    </row>
    <row r="148" spans="2:28" x14ac:dyDescent="0.25">
      <c r="D148" s="57" t="s">
        <v>72</v>
      </c>
      <c r="E148" s="121">
        <f>IFERROR(COUNTIF(CLIENTE!$AM:$AM,RESUMEN!D148),0)</f>
        <v>0</v>
      </c>
      <c r="F148" s="159">
        <f>IFERROR(SUMIFS(FACTURA!$S:$S,FACTURA!$V:$V,RESUMEN!D148),0)</f>
        <v>0</v>
      </c>
      <c r="G148" s="36">
        <f>IFERROR(SUMIFS(FACTURA!$T:$T,FACTURA!$AF:$AF,RESUMEN!G$145,FACTURA!$V:$V,RESUMEN!$D148),0)</f>
        <v>0</v>
      </c>
      <c r="H148" s="31">
        <f>IFERROR(SUMIFS(FACTURA!$T:$T,FACTURA!$AF:$AF,RESUMEN!H$145,FACTURA!$V:$V,RESUMEN!$D148),0)</f>
        <v>0</v>
      </c>
      <c r="I148" s="31">
        <f>IFERROR(SUMIFS(FACTURA!$T:$T,FACTURA!$AF:$AF,RESUMEN!I$145,FACTURA!$V:$V,RESUMEN!$D148),0)</f>
        <v>0</v>
      </c>
      <c r="J148" s="31">
        <f t="shared" si="56"/>
        <v>0</v>
      </c>
      <c r="K148" s="314" t="str">
        <f t="shared" ref="K148:K149" si="58">IFERROR(J148/F148,"")</f>
        <v/>
      </c>
      <c r="L148" s="49" t="str">
        <f t="shared" ref="L148:L153" si="59">IFERROR(J148/$J$154,"")</f>
        <v/>
      </c>
      <c r="M148" s="96">
        <f>IFERROR(COUNTIFS(FACTURA!$V:$V,RESUMEN!D148,FACTURA!$AN:$AN,1),0)</f>
        <v>0</v>
      </c>
      <c r="N148" s="91">
        <f>IFERROR(COUNTIFS(FACTURA!$V:$V,RESUMEN!$D148,FACTURA!$AK:$AK,1),0)</f>
        <v>0</v>
      </c>
      <c r="O148" s="36">
        <f>IFERROR(SUMIFS(PEDIDO!$S:$S,PEDIDO!$V:$V,RESUMEN!D148),0)</f>
        <v>0</v>
      </c>
      <c r="P148" s="36">
        <f>IFERROR(SUMIFS(PEDIDO!$T:$T,PEDIDO!$AF:$AF,RESUMEN!P$145,PEDIDO!$V:$V,RESUMEN!$D148),0)</f>
        <v>0</v>
      </c>
      <c r="Q148" s="31">
        <f>IFERROR(SUMIFS(PEDIDO!$T:$T,PEDIDO!$AF:$AF,RESUMEN!Q$145,PEDIDO!$V:$V,RESUMEN!$D148),0)</f>
        <v>0</v>
      </c>
      <c r="R148" s="18">
        <f>IFERROR(SUMIFS(PEDIDO!$T:$T,PEDIDO!$AF:$AF,RESUMEN!R$145,PEDIDO!$V:$V,RESUMEN!$D148),0)</f>
        <v>0</v>
      </c>
      <c r="S148" s="31">
        <f t="shared" si="57"/>
        <v>0</v>
      </c>
      <c r="T148" s="32" t="str">
        <f t="shared" ref="T148:T150" si="60">IFERROR(S148/O148,"")</f>
        <v/>
      </c>
      <c r="U148" s="5" t="str">
        <f t="shared" ref="U148:U153" si="61">IFERROR(S148/$J$154,"")</f>
        <v/>
      </c>
      <c r="V148" s="96">
        <f>IFERROR(COUNTIFS(PEDIDO!$V:$V,RESUMEN!D148,PEDIDO!$AN:$AN,1),0)</f>
        <v>0</v>
      </c>
      <c r="W148" s="91">
        <f>IFERROR(COUNTIFS(PEDIDO!$V:$V,RESUMEN!$D148,PEDIDO!$AK:$AK,1),0)</f>
        <v>0</v>
      </c>
    </row>
    <row r="149" spans="2:28" x14ac:dyDescent="0.25">
      <c r="D149" s="57" t="s">
        <v>76</v>
      </c>
      <c r="E149" s="121">
        <f>IFERROR(COUNTIF(CLIENTE!$AM:$AM,RESUMEN!D149),0)</f>
        <v>0</v>
      </c>
      <c r="F149" s="159">
        <f>IFERROR(SUMIFS(FACTURA!$S:$S,FACTURA!$V:$V,RESUMEN!D149),0)</f>
        <v>0</v>
      </c>
      <c r="G149" s="36">
        <f>IFERROR(SUMIFS(FACTURA!$T:$T,FACTURA!$AF:$AF,RESUMEN!G$145,FACTURA!$V:$V,RESUMEN!$D149),0)</f>
        <v>0</v>
      </c>
      <c r="H149" s="31">
        <f>IFERROR(SUMIFS(FACTURA!$T:$T,FACTURA!$AF:$AF,RESUMEN!H$145,FACTURA!$V:$V,RESUMEN!$D149),0)</f>
        <v>0</v>
      </c>
      <c r="I149" s="31">
        <f>IFERROR(SUMIFS(FACTURA!$T:$T,FACTURA!$AF:$AF,RESUMEN!I$145,FACTURA!$V:$V,RESUMEN!$D149),0)</f>
        <v>0</v>
      </c>
      <c r="J149" s="31">
        <f t="shared" si="56"/>
        <v>0</v>
      </c>
      <c r="K149" s="314" t="str">
        <f t="shared" si="58"/>
        <v/>
      </c>
      <c r="L149" s="49" t="str">
        <f t="shared" si="59"/>
        <v/>
      </c>
      <c r="M149" s="96">
        <f>IFERROR(COUNTIFS(FACTURA!$V:$V,RESUMEN!D149,FACTURA!$AN:$AN,1),0)</f>
        <v>0</v>
      </c>
      <c r="N149" s="91">
        <f>IFERROR(COUNTIFS(FACTURA!$V:$V,RESUMEN!$D149,FACTURA!$AK:$AK,1),0)</f>
        <v>0</v>
      </c>
      <c r="O149" s="36">
        <f>IFERROR(SUMIFS(PEDIDO!$S:$S,PEDIDO!$V:$V,RESUMEN!D149),0)</f>
        <v>0</v>
      </c>
      <c r="P149" s="36">
        <f>IFERROR(SUMIFS(PEDIDO!$T:$T,PEDIDO!$AF:$AF,RESUMEN!P$145,PEDIDO!$V:$V,RESUMEN!$D149),0)</f>
        <v>0</v>
      </c>
      <c r="Q149" s="31">
        <f>IFERROR(SUMIFS(PEDIDO!$T:$T,PEDIDO!$AF:$AF,RESUMEN!Q$145,PEDIDO!$V:$V,RESUMEN!$D149),0)</f>
        <v>0</v>
      </c>
      <c r="R149" s="18">
        <f>IFERROR(SUMIFS(PEDIDO!$T:$T,PEDIDO!$AF:$AF,RESUMEN!R$145,PEDIDO!$V:$V,RESUMEN!$D149),0)</f>
        <v>0</v>
      </c>
      <c r="S149" s="31">
        <f t="shared" si="57"/>
        <v>0</v>
      </c>
      <c r="T149" s="32" t="str">
        <f t="shared" si="60"/>
        <v/>
      </c>
      <c r="U149" s="5" t="str">
        <f t="shared" si="61"/>
        <v/>
      </c>
      <c r="V149" s="96">
        <f>IFERROR(COUNTIFS(PEDIDO!$V:$V,RESUMEN!D149,PEDIDO!$AN:$AN,1),0)</f>
        <v>0</v>
      </c>
      <c r="W149" s="91">
        <f>IFERROR(COUNTIFS(PEDIDO!$V:$V,RESUMEN!$D149,PEDIDO!$AK:$AK,1),0)</f>
        <v>0</v>
      </c>
    </row>
    <row r="150" spans="2:28" x14ac:dyDescent="0.25">
      <c r="D150" s="57" t="s">
        <v>75</v>
      </c>
      <c r="E150" s="121">
        <f>IFERROR(COUNTIF(CLIENTE!$AM:$AM,RESUMEN!D150),0)</f>
        <v>0</v>
      </c>
      <c r="F150" s="159">
        <f>IFERROR(SUMIFS(FACTURA!$S:$S,FACTURA!$V:$V,RESUMEN!D150),0)</f>
        <v>0</v>
      </c>
      <c r="G150" s="36">
        <f>IFERROR(SUMIFS(FACTURA!$T:$T,FACTURA!$AF:$AF,RESUMEN!G$145,FACTURA!$V:$V,RESUMEN!$D150),0)</f>
        <v>0</v>
      </c>
      <c r="H150" s="31">
        <f>IFERROR(SUMIFS(FACTURA!$T:$T,FACTURA!$AF:$AF,RESUMEN!H$145,FACTURA!$V:$V,RESUMEN!$D150),0)</f>
        <v>0</v>
      </c>
      <c r="I150" s="31">
        <f>IFERROR(SUMIFS(FACTURA!$T:$T,FACTURA!$AF:$AF,RESUMEN!I$145,FACTURA!$V:$V,RESUMEN!$D150),0)</f>
        <v>0</v>
      </c>
      <c r="J150" s="31">
        <f t="shared" si="56"/>
        <v>0</v>
      </c>
      <c r="K150" s="314" t="str">
        <f>IFERROR(J150/F150,"")</f>
        <v/>
      </c>
      <c r="L150" s="49" t="str">
        <f t="shared" si="59"/>
        <v/>
      </c>
      <c r="M150" s="96">
        <f>IFERROR(COUNTIFS(FACTURA!$V:$V,RESUMEN!D150,FACTURA!$AN:$AN,1),0)</f>
        <v>0</v>
      </c>
      <c r="N150" s="91">
        <f>IFERROR(COUNTIFS(FACTURA!$V:$V,RESUMEN!$D150,FACTURA!$AK:$AK,1),0)</f>
        <v>0</v>
      </c>
      <c r="O150" s="36">
        <f>IFERROR(SUMIFS(PEDIDO!$S:$S,PEDIDO!$V:$V,RESUMEN!D150),0)</f>
        <v>0</v>
      </c>
      <c r="P150" s="36">
        <f>IFERROR(SUMIFS(PEDIDO!$T:$T,PEDIDO!$AF:$AF,RESUMEN!P$145,PEDIDO!$V:$V,RESUMEN!$D150),0)</f>
        <v>0</v>
      </c>
      <c r="Q150" s="31">
        <f>IFERROR(SUMIFS(PEDIDO!$T:$T,PEDIDO!$AF:$AF,RESUMEN!Q$145,PEDIDO!$V:$V,RESUMEN!$D150),0)</f>
        <v>0</v>
      </c>
      <c r="R150" s="18">
        <f>IFERROR(SUMIFS(PEDIDO!$T:$T,PEDIDO!$AF:$AF,RESUMEN!R$145,PEDIDO!$V:$V,RESUMEN!$D150),0)</f>
        <v>0</v>
      </c>
      <c r="S150" s="31">
        <f t="shared" si="57"/>
        <v>0</v>
      </c>
      <c r="T150" s="32" t="str">
        <f t="shared" si="60"/>
        <v/>
      </c>
      <c r="U150" s="5" t="str">
        <f t="shared" si="61"/>
        <v/>
      </c>
      <c r="V150" s="96">
        <f>IFERROR(COUNTIFS(PEDIDO!$V:$V,RESUMEN!D150,PEDIDO!$AN:$AN,1),0)</f>
        <v>0</v>
      </c>
      <c r="W150" s="91">
        <f>IFERROR(COUNTIFS(PEDIDO!$V:$V,RESUMEN!$D150,PEDIDO!$AK:$AK,1),0)</f>
        <v>0</v>
      </c>
    </row>
    <row r="151" spans="2:28" x14ac:dyDescent="0.25">
      <c r="D151" s="46" t="s">
        <v>73</v>
      </c>
      <c r="E151" s="121">
        <f>IFERROR(COUNTIF(CLIENTE!$AM:$AM,RESUMEN!D151),0)</f>
        <v>0</v>
      </c>
      <c r="F151" s="159">
        <f>IFERROR(SUMIFS(FACTURA!$S:$S,FACTURA!$V:$V,RESUMEN!D151),0)</f>
        <v>0</v>
      </c>
      <c r="G151" s="36">
        <f>IFERROR(SUMIFS(FACTURA!$T:$T,FACTURA!$AF:$AF,RESUMEN!G$145,FACTURA!$V:$V,RESUMEN!$D151),0)</f>
        <v>0</v>
      </c>
      <c r="H151" s="31">
        <f>IFERROR(SUMIFS(FACTURA!$T:$T,FACTURA!$AF:$AF,RESUMEN!H$145,FACTURA!$V:$V,RESUMEN!$D151),0)</f>
        <v>0</v>
      </c>
      <c r="I151" s="31">
        <f>IFERROR(SUMIFS(FACTURA!$T:$T,FACTURA!$AF:$AF,RESUMEN!I$145,FACTURA!$V:$V,RESUMEN!$D151),0)</f>
        <v>0</v>
      </c>
      <c r="J151" s="31">
        <f t="shared" si="56"/>
        <v>0</v>
      </c>
      <c r="K151" s="314" t="str">
        <f>IFERROR(J151/F151,"")</f>
        <v/>
      </c>
      <c r="L151" s="49" t="str">
        <f t="shared" si="59"/>
        <v/>
      </c>
      <c r="M151" s="96">
        <f>IFERROR(COUNTIFS(FACTURA!$V:$V,RESUMEN!D151,FACTURA!$AN:$AN,1),0)</f>
        <v>0</v>
      </c>
      <c r="N151" s="91">
        <f>IFERROR(COUNTIFS(FACTURA!$V:$V,RESUMEN!$D151,FACTURA!$AK:$AK,1),0)</f>
        <v>0</v>
      </c>
      <c r="O151" s="36">
        <f>IFERROR(SUMIFS(PEDIDO!$S:$S,PEDIDO!$V:$V,RESUMEN!D151),0)</f>
        <v>0</v>
      </c>
      <c r="P151" s="36">
        <f>IFERROR(SUMIFS(PEDIDO!$T:$T,PEDIDO!$AF:$AF,RESUMEN!P$145,PEDIDO!$V:$V,RESUMEN!$D151),0)</f>
        <v>0</v>
      </c>
      <c r="Q151" s="31">
        <f>IFERROR(SUMIFS(PEDIDO!$T:$T,PEDIDO!$AF:$AF,RESUMEN!Q$145,PEDIDO!$V:$V,RESUMEN!$D151),0)</f>
        <v>0</v>
      </c>
      <c r="R151" s="18">
        <f>IFERROR(SUMIFS(PEDIDO!$T:$T,PEDIDO!$AF:$AF,RESUMEN!R$145,PEDIDO!$V:$V,RESUMEN!$D151),0)</f>
        <v>0</v>
      </c>
      <c r="S151" s="31">
        <f t="shared" si="57"/>
        <v>0</v>
      </c>
      <c r="T151" s="32" t="str">
        <f>IFERROR(S151/O151,"")</f>
        <v/>
      </c>
      <c r="U151" s="5" t="str">
        <f t="shared" si="61"/>
        <v/>
      </c>
      <c r="V151" s="96">
        <f>IFERROR(COUNTIFS(PEDIDO!$V:$V,RESUMEN!D151,PEDIDO!$AN:$AN,1),0)</f>
        <v>0</v>
      </c>
      <c r="W151" s="91">
        <f>IFERROR(COUNTIFS(PEDIDO!$V:$V,RESUMEN!$D151,PEDIDO!$AK:$AK,1),0)</f>
        <v>0</v>
      </c>
    </row>
    <row r="152" spans="2:28" x14ac:dyDescent="0.25">
      <c r="D152" s="46" t="s">
        <v>80</v>
      </c>
      <c r="E152" s="121">
        <f>IFERROR(COUNTIF(CLIENTE!$AM:$AM,RESUMEN!D152),0)</f>
        <v>0</v>
      </c>
      <c r="F152" s="159">
        <f>IFERROR(SUMIFS(FACTURA!$S:$S,FACTURA!$V:$V,RESUMEN!D152),0)</f>
        <v>0</v>
      </c>
      <c r="G152" s="36">
        <f>IFERROR(SUMIFS(FACTURA!$T:$T,FACTURA!$AF:$AF,RESUMEN!G$145,FACTURA!$V:$V,RESUMEN!$D152),0)</f>
        <v>0</v>
      </c>
      <c r="H152" s="31">
        <f>IFERROR(SUMIFS(FACTURA!$T:$T,FACTURA!$AF:$AF,RESUMEN!H$145,FACTURA!$V:$V,RESUMEN!$D152),0)</f>
        <v>0</v>
      </c>
      <c r="I152" s="31">
        <f>IFERROR(SUMIFS(FACTURA!$T:$T,FACTURA!$AF:$AF,RESUMEN!I$145,FACTURA!$V:$V,RESUMEN!$D152),0)</f>
        <v>0</v>
      </c>
      <c r="J152" s="31">
        <f t="shared" si="56"/>
        <v>0</v>
      </c>
      <c r="K152" s="314" t="str">
        <f>IFERROR(J152/F152,"")</f>
        <v/>
      </c>
      <c r="L152" s="49" t="str">
        <f t="shared" si="59"/>
        <v/>
      </c>
      <c r="M152" s="96">
        <f>IFERROR(COUNTIFS(FACTURA!$V:$V,RESUMEN!D152,FACTURA!$AN:$AN,1),0)</f>
        <v>0</v>
      </c>
      <c r="N152" s="91">
        <f>IFERROR(COUNTIFS(FACTURA!$V:$V,RESUMEN!$D152,FACTURA!$AK:$AK,1),0)</f>
        <v>0</v>
      </c>
      <c r="O152" s="36">
        <f>IFERROR(SUMIFS(PEDIDO!$S:$S,PEDIDO!$V:$V,RESUMEN!D152),0)</f>
        <v>0</v>
      </c>
      <c r="P152" s="36">
        <f>IFERROR(SUMIFS(PEDIDO!$T:$T,PEDIDO!$AF:$AF,RESUMEN!P$145,PEDIDO!$V:$V,RESUMEN!$D152),0)</f>
        <v>0</v>
      </c>
      <c r="Q152" s="31">
        <f>IFERROR(SUMIFS(PEDIDO!$T:$T,PEDIDO!$AF:$AF,RESUMEN!Q$145,PEDIDO!$V:$V,RESUMEN!$D152),0)</f>
        <v>0</v>
      </c>
      <c r="R152" s="18">
        <f>IFERROR(SUMIFS(PEDIDO!$T:$T,PEDIDO!$AF:$AF,RESUMEN!R$145,PEDIDO!$V:$V,RESUMEN!$D152),0)</f>
        <v>0</v>
      </c>
      <c r="S152" s="31">
        <f t="shared" si="57"/>
        <v>0</v>
      </c>
      <c r="T152" s="32" t="str">
        <f>IFERROR(S152/O152,"")</f>
        <v/>
      </c>
      <c r="U152" s="5" t="str">
        <f t="shared" si="61"/>
        <v/>
      </c>
      <c r="V152" s="96">
        <f>IFERROR(COUNTIFS(PEDIDO!$V:$V,RESUMEN!D152,PEDIDO!$AN:$AN,1),0)</f>
        <v>0</v>
      </c>
      <c r="W152" s="91">
        <f>IFERROR(COUNTIFS(PEDIDO!$V:$V,RESUMEN!$D152,PEDIDO!$AK:$AK,1),0)</f>
        <v>0</v>
      </c>
    </row>
    <row r="153" spans="2:28" x14ac:dyDescent="0.25">
      <c r="D153" s="47" t="s">
        <v>82</v>
      </c>
      <c r="E153" s="122">
        <f>IFERROR(COUNTIF(CLIENTE!$AM:$AM,RESUMEN!D153),0)</f>
        <v>0</v>
      </c>
      <c r="F153" s="160">
        <f>IFERROR(SUMIFS(FACTURA!$S:$S,FACTURA!$V:$V,RESUMEN!D153),0)</f>
        <v>0</v>
      </c>
      <c r="G153" s="37">
        <f>IFERROR(SUMIFS(FACTURA!$T:$T,FACTURA!$AF:$AF,RESUMEN!G$145,FACTURA!$V:$V,RESUMEN!$D153),0)</f>
        <v>0</v>
      </c>
      <c r="H153" s="38">
        <f>IFERROR(SUMIFS(FACTURA!$T:$T,FACTURA!$AF:$AF,RESUMEN!H$145,FACTURA!$V:$V,RESUMEN!$D153),0)</f>
        <v>0</v>
      </c>
      <c r="I153" s="38">
        <f>IFERROR(SUMIFS(FACTURA!$T:$T,FACTURA!$AF:$AF,RESUMEN!I$145,FACTURA!$V:$V,RESUMEN!$D153),0)</f>
        <v>0</v>
      </c>
      <c r="J153" s="38">
        <f t="shared" si="56"/>
        <v>0</v>
      </c>
      <c r="K153" s="315" t="str">
        <f>IFERROR(J153/F153,"")</f>
        <v/>
      </c>
      <c r="L153" s="50" t="str">
        <f t="shared" si="59"/>
        <v/>
      </c>
      <c r="M153" s="97">
        <f>IFERROR(COUNTIFS(FACTURA!$V:$V,RESUMEN!D153,FACTURA!$AN:$AN,1),0)</f>
        <v>0</v>
      </c>
      <c r="N153" s="91">
        <f>IFERROR(COUNTIFS(FACTURA!$V:$V,RESUMEN!$D153,FACTURA!$AK:$AK,1),0)</f>
        <v>0</v>
      </c>
      <c r="O153" s="37">
        <f>IFERROR(SUMIFS(PEDIDO!$S:$S,PEDIDO!$V:$V,RESUMEN!D153),0)</f>
        <v>0</v>
      </c>
      <c r="P153" s="37">
        <f>IFERROR(SUMIFS(PEDIDO!$T:$T,PEDIDO!$AF:$AF,RESUMEN!P$145,PEDIDO!$V:$V,RESUMEN!$D153),0)</f>
        <v>0</v>
      </c>
      <c r="Q153" s="38">
        <f>IFERROR(SUMIFS(PEDIDO!$T:$T,PEDIDO!$AF:$AF,RESUMEN!Q$145,PEDIDO!$V:$V,RESUMEN!$D153),0)</f>
        <v>0</v>
      </c>
      <c r="R153" s="72">
        <f>IFERROR(SUMIFS(PEDIDO!$T:$T,PEDIDO!$AF:$AF,RESUMEN!R$145,PEDIDO!$V:$V,RESUMEN!$D153),0)</f>
        <v>0</v>
      </c>
      <c r="S153" s="38">
        <f t="shared" si="57"/>
        <v>0</v>
      </c>
      <c r="T153" s="39" t="str">
        <f>IFERROR(S153/O153,"")</f>
        <v/>
      </c>
      <c r="U153" s="21" t="str">
        <f t="shared" si="61"/>
        <v/>
      </c>
      <c r="V153" s="97">
        <f>IFERROR(COUNTIFS(PEDIDO!$V:$V,RESUMEN!D153,PEDIDO!$AN:$AN,1),0)</f>
        <v>0</v>
      </c>
      <c r="W153" s="91">
        <f>IFERROR(COUNTIFS(PEDIDO!$V:$V,RESUMEN!$D153,PEDIDO!$AK:$AK,1),0)</f>
        <v>0</v>
      </c>
    </row>
    <row r="154" spans="2:28" x14ac:dyDescent="0.25">
      <c r="D154" s="45" t="s">
        <v>3</v>
      </c>
      <c r="E154" s="258">
        <f t="shared" ref="E154:J154" si="62">SUM(E146:E153)</f>
        <v>0</v>
      </c>
      <c r="F154" s="92">
        <f t="shared" si="62"/>
        <v>0</v>
      </c>
      <c r="G154" s="93">
        <f t="shared" si="62"/>
        <v>0</v>
      </c>
      <c r="H154" s="93">
        <f t="shared" si="62"/>
        <v>0</v>
      </c>
      <c r="I154" s="93">
        <f t="shared" si="62"/>
        <v>0</v>
      </c>
      <c r="J154" s="94">
        <f t="shared" si="62"/>
        <v>0</v>
      </c>
      <c r="K154" s="227"/>
      <c r="L154" s="14"/>
      <c r="N154" s="77">
        <f t="shared" ref="N154:S154" si="63">SUM(N146:N153)</f>
        <v>0</v>
      </c>
      <c r="O154" s="92">
        <f t="shared" si="63"/>
        <v>0</v>
      </c>
      <c r="P154" s="93">
        <f t="shared" si="63"/>
        <v>0</v>
      </c>
      <c r="Q154" s="93">
        <f t="shared" si="63"/>
        <v>0</v>
      </c>
      <c r="R154" s="93">
        <f t="shared" si="63"/>
        <v>0</v>
      </c>
      <c r="S154" s="94">
        <f t="shared" si="63"/>
        <v>0</v>
      </c>
      <c r="T154" s="16"/>
      <c r="W154" s="77">
        <f>SUM(W146:W153)</f>
        <v>0</v>
      </c>
    </row>
    <row r="155" spans="2:28" x14ac:dyDescent="0.25">
      <c r="J155" s="228"/>
      <c r="K155" s="7"/>
    </row>
    <row r="156" spans="2:28" x14ac:dyDescent="0.25">
      <c r="B156" s="6" t="s">
        <v>103</v>
      </c>
      <c r="C156" s="200"/>
      <c r="D156" s="6"/>
      <c r="J156" s="228"/>
      <c r="K156" s="7"/>
    </row>
    <row r="157" spans="2:28" x14ac:dyDescent="0.25">
      <c r="J157" s="228"/>
      <c r="K157" s="7"/>
    </row>
    <row r="158" spans="2:28" x14ac:dyDescent="0.25">
      <c r="B158" s="6" t="s">
        <v>140</v>
      </c>
      <c r="C158" s="200"/>
      <c r="J158" s="228"/>
      <c r="K158" s="7"/>
    </row>
    <row r="159" spans="2:28" x14ac:dyDescent="0.25">
      <c r="J159" s="228"/>
      <c r="K159" s="7"/>
    </row>
    <row r="160" spans="2:28" ht="15.75" x14ac:dyDescent="0.25">
      <c r="E160" s="394" t="s">
        <v>165</v>
      </c>
      <c r="F160" s="395"/>
      <c r="G160" s="395"/>
      <c r="H160" s="395"/>
      <c r="I160" s="395"/>
      <c r="J160" s="395"/>
      <c r="K160" s="395"/>
      <c r="L160" s="396"/>
      <c r="M160" s="394" t="s">
        <v>5</v>
      </c>
      <c r="N160" s="395"/>
      <c r="O160" s="395"/>
      <c r="P160" s="395"/>
      <c r="Q160" s="395"/>
      <c r="R160" s="395"/>
      <c r="S160" s="395"/>
      <c r="T160" s="396"/>
      <c r="U160" s="394" t="s">
        <v>6</v>
      </c>
      <c r="V160" s="395"/>
      <c r="W160" s="395"/>
      <c r="X160" s="395"/>
      <c r="Y160" s="395"/>
      <c r="Z160" s="395"/>
      <c r="AA160" s="395"/>
      <c r="AB160" s="396"/>
    </row>
    <row r="161" spans="2:28" ht="14.45" customHeight="1" x14ac:dyDescent="0.25">
      <c r="B161" s="6"/>
      <c r="C161" s="200"/>
      <c r="E161" s="386" t="s">
        <v>70</v>
      </c>
      <c r="F161" s="379" t="s">
        <v>74</v>
      </c>
      <c r="G161" s="379" t="s">
        <v>71</v>
      </c>
      <c r="H161" s="379" t="s">
        <v>77</v>
      </c>
      <c r="I161" s="379" t="s">
        <v>73</v>
      </c>
      <c r="J161" s="391" t="s">
        <v>78</v>
      </c>
      <c r="K161" s="386" t="s">
        <v>79</v>
      </c>
      <c r="L161" s="397" t="s">
        <v>166</v>
      </c>
      <c r="M161" s="398" t="s">
        <v>70</v>
      </c>
      <c r="N161" s="379" t="s">
        <v>74</v>
      </c>
      <c r="O161" s="379" t="s">
        <v>71</v>
      </c>
      <c r="P161" s="379" t="s">
        <v>77</v>
      </c>
      <c r="Q161" s="379" t="s">
        <v>73</v>
      </c>
      <c r="R161" s="381" t="s">
        <v>78</v>
      </c>
      <c r="S161" s="386" t="s">
        <v>79</v>
      </c>
      <c r="T161" s="410" t="s">
        <v>138</v>
      </c>
      <c r="U161" s="404" t="s">
        <v>70</v>
      </c>
      <c r="V161" s="403" t="s">
        <v>74</v>
      </c>
      <c r="W161" s="403" t="s">
        <v>71</v>
      </c>
      <c r="X161" s="403" t="s">
        <v>77</v>
      </c>
      <c r="Y161" s="403" t="s">
        <v>73</v>
      </c>
      <c r="Z161" s="420" t="s">
        <v>78</v>
      </c>
      <c r="AA161" s="404" t="s">
        <v>79</v>
      </c>
      <c r="AB161" s="412" t="s">
        <v>138</v>
      </c>
    </row>
    <row r="162" spans="2:28" x14ac:dyDescent="0.25">
      <c r="B162" s="85" t="s">
        <v>143</v>
      </c>
      <c r="C162" s="266" t="s">
        <v>216</v>
      </c>
      <c r="D162" s="24" t="s">
        <v>0</v>
      </c>
      <c r="E162" s="387"/>
      <c r="F162" s="390"/>
      <c r="G162" s="390"/>
      <c r="H162" s="390"/>
      <c r="I162" s="390"/>
      <c r="J162" s="392"/>
      <c r="K162" s="393"/>
      <c r="L162" s="388"/>
      <c r="M162" s="399"/>
      <c r="N162" s="380"/>
      <c r="O162" s="380"/>
      <c r="P162" s="380"/>
      <c r="Q162" s="380"/>
      <c r="R162" s="382"/>
      <c r="S162" s="387"/>
      <c r="T162" s="411"/>
      <c r="U162" s="386"/>
      <c r="V162" s="379"/>
      <c r="W162" s="379"/>
      <c r="X162" s="379"/>
      <c r="Y162" s="379"/>
      <c r="Z162" s="381"/>
      <c r="AA162" s="386"/>
      <c r="AB162" s="412"/>
    </row>
    <row r="163" spans="2:28" x14ac:dyDescent="0.25">
      <c r="B163" s="61">
        <f t="shared" ref="B163:D164" si="64">B121</f>
        <v>1</v>
      </c>
      <c r="C163" s="203" t="str">
        <f t="shared" si="64"/>
        <v xml:space="preserve">- </v>
      </c>
      <c r="D163" s="56" t="str">
        <f t="shared" si="64"/>
        <v/>
      </c>
      <c r="E163" s="175">
        <f>IFERROR(COUNTIFS(CLIENTE!$BD:$BD,RESUMEN!$C163,CLIENTE!$AU:$AU,RESUMEN!E$161),0)</f>
        <v>0</v>
      </c>
      <c r="F163" s="176">
        <f>IFERROR(COUNTIFS(CLIENTE!$BD:$BD,RESUMEN!$C163,CLIENTE!$AU:$AU,RESUMEN!F$161),0)</f>
        <v>0</v>
      </c>
      <c r="G163" s="176">
        <f>IFERROR(COUNTIFS(CLIENTE!$BD:$BD,RESUMEN!$C163,CLIENTE!$AU:$AU,RESUMEN!G$161),0)</f>
        <v>0</v>
      </c>
      <c r="H163" s="176">
        <f>IFERROR(COUNTIFS(CLIENTE!$BD:$BD,RESUMEN!$C163,CLIENTE!$AU:$AU,RESUMEN!H$161),0)</f>
        <v>0</v>
      </c>
      <c r="I163" s="176">
        <f>IFERROR(COUNTIFS(CLIENTE!$BD:$BD,RESUMEN!$C163,CLIENTE!$AU:$AU,RESUMEN!I$161),0)</f>
        <v>0</v>
      </c>
      <c r="J163" s="176">
        <f>IFERROR(COUNTIFS(CLIENTE!$BD:$BD,RESUMEN!$C163,CLIENTE!$AU:$AU,RESUMEN!J$161),0)</f>
        <v>0</v>
      </c>
      <c r="K163" s="177">
        <f>IFERROR(COUNTIFS(CLIENTE!$BD:$BD,RESUMEN!$C163,CLIENTE!$AU:$AU,RESUMEN!K$161),0)</f>
        <v>0</v>
      </c>
      <c r="L163" s="178">
        <f>SUM(E163:K163)</f>
        <v>0</v>
      </c>
      <c r="M163" s="61">
        <f>IFERROR(COUNTIFS(FACTURA!$AC:$AC,RESUMEN!M$161,FACTURA!$AA:$AA,RESUMEN!$C163,FACTURA!$AK:$AK,1),0)</f>
        <v>0</v>
      </c>
      <c r="N163" s="179">
        <f>IFERROR(COUNTIFS(FACTURA!$AC:$AC,RESUMEN!N$161,FACTURA!$AA:$AA,RESUMEN!$C163,FACTURA!$AK:$AK,1),0)</f>
        <v>0</v>
      </c>
      <c r="O163" s="179">
        <f>IFERROR(COUNTIFS(FACTURA!$AC:$AC,RESUMEN!O$161,FACTURA!$AA:$AA,RESUMEN!$C163,FACTURA!$AK:$AK,1),0)</f>
        <v>0</v>
      </c>
      <c r="P163" s="179">
        <f>IFERROR(COUNTIFS(FACTURA!$AC:$AC,RESUMEN!P$161,FACTURA!$AA:$AA,RESUMEN!$C163,FACTURA!$AK:$AK,1),0)</f>
        <v>0</v>
      </c>
      <c r="Q163" s="179">
        <f>IFERROR(COUNTIFS(FACTURA!$AC:$AC,RESUMEN!Q$161,FACTURA!$AA:$AA,RESUMEN!$C163,FACTURA!$AK:$AK,1),0)</f>
        <v>0</v>
      </c>
      <c r="R163" s="179">
        <f>IFERROR(COUNTIFS(FACTURA!$AC:$AC,RESUMEN!R$161,FACTURA!$AA:$AA,RESUMEN!$C163,FACTURA!$AK:$AK,1),0)</f>
        <v>0</v>
      </c>
      <c r="S163" s="180">
        <f>IFERROR(COUNTIFS(FACTURA!$AC:$AC,RESUMEN!S$161,FACTURA!$AA:$AA,RESUMEN!$C163,FACTURA!$AK:$AK,1),0)</f>
        <v>0</v>
      </c>
      <c r="T163" s="260">
        <f>SUM(M163:S163)</f>
        <v>0</v>
      </c>
      <c r="U163" s="61">
        <f>IFERROR(COUNTIFS(PEDIDO!$AC:$AC,RESUMEN!M$161,PEDIDO!$AA:$AA,RESUMEN!$C163,PEDIDO!$AK:$AK,1),0)</f>
        <v>0</v>
      </c>
      <c r="V163" s="179">
        <f>IFERROR(COUNTIFS(PEDIDO!$AC:$AC,RESUMEN!N$161,PEDIDO!$AA:$AA,RESUMEN!$C163,PEDIDO!$AK:$AK,1),0)</f>
        <v>0</v>
      </c>
      <c r="W163" s="179">
        <f>IFERROR(COUNTIFS(PEDIDO!$AC:$AC,RESUMEN!O$161,PEDIDO!$AA:$AA,RESUMEN!$C163,PEDIDO!$AK:$AK,1),0)</f>
        <v>0</v>
      </c>
      <c r="X163" s="179">
        <f>IFERROR(COUNTIFS(PEDIDO!$AC:$AC,RESUMEN!P$161,PEDIDO!$AA:$AA,RESUMEN!$C163,PEDIDO!$AK:$AK,1),0)</f>
        <v>0</v>
      </c>
      <c r="Y163" s="179">
        <f>IFERROR(COUNTIFS(PEDIDO!$AC:$AC,RESUMEN!Q$161,PEDIDO!$AA:$AA,RESUMEN!$C163,PEDIDO!$AK:$AK,1),0)</f>
        <v>0</v>
      </c>
      <c r="Z163" s="179">
        <f>IFERROR(COUNTIFS(PEDIDO!$AC:$AC,RESUMEN!R$161,PEDIDO!$AA:$AA,RESUMEN!$C163,PEDIDO!$AK:$AK,1),0)</f>
        <v>0</v>
      </c>
      <c r="AA163" s="180">
        <f>IFERROR(COUNTIFS(PEDIDO!$AC:$AC,RESUMEN!S$161,PEDIDO!$AA:$AA,RESUMEN!$C163,PEDIDO!$AK:$AK,1),0)</f>
        <v>0</v>
      </c>
      <c r="AB163" s="181">
        <f>SUM(U163:AA163)</f>
        <v>0</v>
      </c>
    </row>
    <row r="164" spans="2:28" x14ac:dyDescent="0.25">
      <c r="B164" s="62">
        <f t="shared" si="64"/>
        <v>2</v>
      </c>
      <c r="C164" s="204" t="str">
        <f t="shared" si="64"/>
        <v xml:space="preserve">- </v>
      </c>
      <c r="D164" s="58" t="str">
        <f t="shared" si="64"/>
        <v/>
      </c>
      <c r="E164" s="182">
        <f>IFERROR(COUNTIFS(CLIENTE!$BD:$BD,RESUMEN!$C164,CLIENTE!$AU:$AU,RESUMEN!E$161),0)</f>
        <v>0</v>
      </c>
      <c r="F164" s="183">
        <f>IFERROR(COUNTIFS(CLIENTE!$BD:$BD,RESUMEN!$C164,CLIENTE!$AU:$AU,RESUMEN!F$161),0)</f>
        <v>0</v>
      </c>
      <c r="G164" s="183">
        <f>IFERROR(COUNTIFS(CLIENTE!$BD:$BD,RESUMEN!$C164,CLIENTE!$AU:$AU,RESUMEN!G$161),0)</f>
        <v>0</v>
      </c>
      <c r="H164" s="183">
        <f>IFERROR(COUNTIFS(CLIENTE!$BD:$BD,RESUMEN!$C164,CLIENTE!$AU:$AU,RESUMEN!H$161),0)</f>
        <v>0</v>
      </c>
      <c r="I164" s="183">
        <f>IFERROR(COUNTIFS(CLIENTE!$BD:$BD,RESUMEN!$C164,CLIENTE!$AU:$AU,RESUMEN!I$161),0)</f>
        <v>0</v>
      </c>
      <c r="J164" s="183">
        <f>IFERROR(COUNTIFS(CLIENTE!$BD:$BD,RESUMEN!$C164,CLIENTE!$AU:$AU,RESUMEN!J$161),0)</f>
        <v>0</v>
      </c>
      <c r="K164" s="184">
        <f>IFERROR(COUNTIFS(CLIENTE!$BD:$BD,RESUMEN!$C164,CLIENTE!$AU:$AU,RESUMEN!K$161),0)</f>
        <v>0</v>
      </c>
      <c r="L164" s="185">
        <f t="shared" ref="L164:L182" si="65">SUM(E164:K164)</f>
        <v>0</v>
      </c>
      <c r="M164" s="62">
        <f>IFERROR(COUNTIFS(FACTURA!$AC:$AC,RESUMEN!M$161,FACTURA!$AA:$AA,RESUMEN!$C164,FACTURA!$AK:$AK,1),0)</f>
        <v>0</v>
      </c>
      <c r="N164" s="83">
        <f>IFERROR(COUNTIFS(FACTURA!$AC:$AC,RESUMEN!N$161,FACTURA!$AA:$AA,RESUMEN!$C164,FACTURA!$AK:$AK,1),0)</f>
        <v>0</v>
      </c>
      <c r="O164" s="83">
        <f>IFERROR(COUNTIFS(FACTURA!$AC:$AC,RESUMEN!O$161,FACTURA!$AA:$AA,RESUMEN!$C164,FACTURA!$AK:$AK,1),0)</f>
        <v>0</v>
      </c>
      <c r="P164" s="83">
        <f>IFERROR(COUNTIFS(FACTURA!$AC:$AC,RESUMEN!P$161,FACTURA!$AA:$AA,RESUMEN!$C164,FACTURA!$AK:$AK,1),0)</f>
        <v>0</v>
      </c>
      <c r="Q164" s="83">
        <f>IFERROR(COUNTIFS(FACTURA!$AC:$AC,RESUMEN!Q$161,FACTURA!$AA:$AA,RESUMEN!$C164,FACTURA!$AK:$AK,1),0)</f>
        <v>0</v>
      </c>
      <c r="R164" s="83">
        <f>IFERROR(COUNTIFS(FACTURA!$AC:$AC,RESUMEN!R$161,FACTURA!$AA:$AA,RESUMEN!$C164,FACTURA!$AK:$AK,1),0)</f>
        <v>0</v>
      </c>
      <c r="S164" s="186">
        <f>IFERROR(COUNTIFS(FACTURA!$AC:$AC,RESUMEN!S$161,FACTURA!$AA:$AA,RESUMEN!$C164,FACTURA!$AK:$AK,1),0)</f>
        <v>0</v>
      </c>
      <c r="T164" s="261">
        <f t="shared" ref="T164:T182" si="66">SUM(M164:S164)</f>
        <v>0</v>
      </c>
      <c r="U164" s="62">
        <f>IFERROR(COUNTIFS(PEDIDO!$AC:$AC,RESUMEN!M$161,PEDIDO!$AA:$AA,RESUMEN!$C164,PEDIDO!$AK:$AK,1),0)</f>
        <v>0</v>
      </c>
      <c r="V164" s="83">
        <f>IFERROR(COUNTIFS(PEDIDO!$AC:$AC,RESUMEN!N$161,PEDIDO!$AA:$AA,RESUMEN!$C164,PEDIDO!$AK:$AK,1),0)</f>
        <v>0</v>
      </c>
      <c r="W164" s="83">
        <f>IFERROR(COUNTIFS(PEDIDO!$AC:$AC,RESUMEN!O$161,PEDIDO!$AA:$AA,RESUMEN!$C164,PEDIDO!$AK:$AK,1),0)</f>
        <v>0</v>
      </c>
      <c r="X164" s="83">
        <f>IFERROR(COUNTIFS(PEDIDO!$AC:$AC,RESUMEN!P$161,PEDIDO!$AA:$AA,RESUMEN!$C164,PEDIDO!$AK:$AK,1),0)</f>
        <v>0</v>
      </c>
      <c r="Y164" s="83">
        <f>IFERROR(COUNTIFS(PEDIDO!$AC:$AC,RESUMEN!Q$161,PEDIDO!$AA:$AA,RESUMEN!$C164,PEDIDO!$AK:$AK,1),0)</f>
        <v>0</v>
      </c>
      <c r="Z164" s="83">
        <f>IFERROR(COUNTIFS(PEDIDO!$AC:$AC,RESUMEN!R$161,PEDIDO!$AA:$AA,RESUMEN!$C164,PEDIDO!$AK:$AK,1),0)</f>
        <v>0</v>
      </c>
      <c r="AA164" s="186">
        <f>IFERROR(COUNTIFS(PEDIDO!$AC:$AC,RESUMEN!S$161,PEDIDO!$AA:$AA,RESUMEN!$C164,PEDIDO!$AK:$AK,1),0)</f>
        <v>0</v>
      </c>
      <c r="AB164" s="187">
        <f>SUM(U164:AA164)</f>
        <v>0</v>
      </c>
    </row>
    <row r="165" spans="2:28" x14ac:dyDescent="0.25">
      <c r="B165" s="62">
        <f t="shared" ref="B165:D181" si="67">B123</f>
        <v>3</v>
      </c>
      <c r="C165" s="204" t="str">
        <f t="shared" si="67"/>
        <v xml:space="preserve">- </v>
      </c>
      <c r="D165" s="58" t="str">
        <f t="shared" si="67"/>
        <v/>
      </c>
      <c r="E165" s="182">
        <f>IFERROR(COUNTIFS(CLIENTE!$BD:$BD,RESUMEN!$C165,CLIENTE!$AU:$AU,RESUMEN!E$161),0)</f>
        <v>0</v>
      </c>
      <c r="F165" s="183">
        <f>IFERROR(COUNTIFS(CLIENTE!$BD:$BD,RESUMEN!$C165,CLIENTE!$AU:$AU,RESUMEN!F$161),0)</f>
        <v>0</v>
      </c>
      <c r="G165" s="183">
        <f>IFERROR(COUNTIFS(CLIENTE!$BD:$BD,RESUMEN!$C165,CLIENTE!$AU:$AU,RESUMEN!G$161),0)</f>
        <v>0</v>
      </c>
      <c r="H165" s="183">
        <f>IFERROR(COUNTIFS(CLIENTE!$BD:$BD,RESUMEN!$C165,CLIENTE!$AU:$AU,RESUMEN!H$161),0)</f>
        <v>0</v>
      </c>
      <c r="I165" s="183">
        <f>IFERROR(COUNTIFS(CLIENTE!$BD:$BD,RESUMEN!$C165,CLIENTE!$AU:$AU,RESUMEN!I$161),0)</f>
        <v>0</v>
      </c>
      <c r="J165" s="183">
        <f>IFERROR(COUNTIFS(CLIENTE!$BD:$BD,RESUMEN!$C165,CLIENTE!$AU:$AU,RESUMEN!J$161),0)</f>
        <v>0</v>
      </c>
      <c r="K165" s="184">
        <f>IFERROR(COUNTIFS(CLIENTE!$BD:$BD,RESUMEN!$C165,CLIENTE!$AU:$AU,RESUMEN!K$161),0)</f>
        <v>0</v>
      </c>
      <c r="L165" s="185">
        <f t="shared" si="65"/>
        <v>0</v>
      </c>
      <c r="M165" s="62">
        <f>IFERROR(COUNTIFS(FACTURA!$AC:$AC,RESUMEN!M$161,FACTURA!$AA:$AA,RESUMEN!$C165,FACTURA!$AK:$AK,1),0)</f>
        <v>0</v>
      </c>
      <c r="N165" s="83">
        <f>IFERROR(COUNTIFS(FACTURA!$AC:$AC,RESUMEN!N$161,FACTURA!$AA:$AA,RESUMEN!$C165,FACTURA!$AK:$AK,1),0)</f>
        <v>0</v>
      </c>
      <c r="O165" s="83">
        <f>IFERROR(COUNTIFS(FACTURA!$AC:$AC,RESUMEN!O$161,FACTURA!$AA:$AA,RESUMEN!$C165,FACTURA!$AK:$AK,1),0)</f>
        <v>0</v>
      </c>
      <c r="P165" s="83">
        <f>IFERROR(COUNTIFS(FACTURA!$AC:$AC,RESUMEN!P$161,FACTURA!$AA:$AA,RESUMEN!$C165,FACTURA!$AK:$AK,1),0)</f>
        <v>0</v>
      </c>
      <c r="Q165" s="83">
        <f>IFERROR(COUNTIFS(FACTURA!$AC:$AC,RESUMEN!Q$161,FACTURA!$AA:$AA,RESUMEN!$C165,FACTURA!$AK:$AK,1),0)</f>
        <v>0</v>
      </c>
      <c r="R165" s="83">
        <f>IFERROR(COUNTIFS(FACTURA!$AC:$AC,RESUMEN!R$161,FACTURA!$AA:$AA,RESUMEN!$C165,FACTURA!$AK:$AK,1),0)</f>
        <v>0</v>
      </c>
      <c r="S165" s="186">
        <f>IFERROR(COUNTIFS(FACTURA!$AC:$AC,RESUMEN!S$161,FACTURA!$AA:$AA,RESUMEN!$C165,FACTURA!$AK:$AK,1),0)</f>
        <v>0</v>
      </c>
      <c r="T165" s="261">
        <f t="shared" si="66"/>
        <v>0</v>
      </c>
      <c r="U165" s="62">
        <f>IFERROR(COUNTIFS(PEDIDO!$AC:$AC,RESUMEN!M$161,PEDIDO!$AA:$AA,RESUMEN!$C165,PEDIDO!$AK:$AK,1),0)</f>
        <v>0</v>
      </c>
      <c r="V165" s="83">
        <f>IFERROR(COUNTIFS(PEDIDO!$AC:$AC,RESUMEN!N$161,PEDIDO!$AA:$AA,RESUMEN!$C165,PEDIDO!$AK:$AK,1),0)</f>
        <v>0</v>
      </c>
      <c r="W165" s="83">
        <f>IFERROR(COUNTIFS(PEDIDO!$AC:$AC,RESUMEN!O$161,PEDIDO!$AA:$AA,RESUMEN!$C165,PEDIDO!$AK:$AK,1),0)</f>
        <v>0</v>
      </c>
      <c r="X165" s="83">
        <f>IFERROR(COUNTIFS(PEDIDO!$AC:$AC,RESUMEN!P$161,PEDIDO!$AA:$AA,RESUMEN!$C165,PEDIDO!$AK:$AK,1),0)</f>
        <v>0</v>
      </c>
      <c r="Y165" s="83">
        <f>IFERROR(COUNTIFS(PEDIDO!$AC:$AC,RESUMEN!Q$161,PEDIDO!$AA:$AA,RESUMEN!$C165,PEDIDO!$AK:$AK,1),0)</f>
        <v>0</v>
      </c>
      <c r="Z165" s="83">
        <f>IFERROR(COUNTIFS(PEDIDO!$AC:$AC,RESUMEN!R$161,PEDIDO!$AA:$AA,RESUMEN!$C165,PEDIDO!$AK:$AK,1),0)</f>
        <v>0</v>
      </c>
      <c r="AA165" s="186">
        <f>IFERROR(COUNTIFS(PEDIDO!$AC:$AC,RESUMEN!S$161,PEDIDO!$AA:$AA,RESUMEN!$C165,PEDIDO!$AK:$AK,1),0)</f>
        <v>0</v>
      </c>
      <c r="AB165" s="187">
        <f t="shared" ref="AB165:AB182" si="68">SUM(U165:AA165)</f>
        <v>0</v>
      </c>
    </row>
    <row r="166" spans="2:28" x14ac:dyDescent="0.25">
      <c r="B166" s="62">
        <f t="shared" si="67"/>
        <v>4</v>
      </c>
      <c r="C166" s="204" t="str">
        <f t="shared" si="67"/>
        <v xml:space="preserve">- </v>
      </c>
      <c r="D166" s="58" t="str">
        <f t="shared" si="67"/>
        <v/>
      </c>
      <c r="E166" s="182">
        <f>IFERROR(COUNTIFS(CLIENTE!$BD:$BD,RESUMEN!$C166,CLIENTE!$AU:$AU,RESUMEN!E$161),0)</f>
        <v>0</v>
      </c>
      <c r="F166" s="183">
        <f>IFERROR(COUNTIFS(CLIENTE!$BD:$BD,RESUMEN!$C166,CLIENTE!$AU:$AU,RESUMEN!F$161),0)</f>
        <v>0</v>
      </c>
      <c r="G166" s="183">
        <f>IFERROR(COUNTIFS(CLIENTE!$BD:$BD,RESUMEN!$C166,CLIENTE!$AU:$AU,RESUMEN!G$161),0)</f>
        <v>0</v>
      </c>
      <c r="H166" s="183">
        <f>IFERROR(COUNTIFS(CLIENTE!$BD:$BD,RESUMEN!$C166,CLIENTE!$AU:$AU,RESUMEN!H$161),0)</f>
        <v>0</v>
      </c>
      <c r="I166" s="183">
        <f>IFERROR(COUNTIFS(CLIENTE!$BD:$BD,RESUMEN!$C166,CLIENTE!$AU:$AU,RESUMEN!I$161),0)</f>
        <v>0</v>
      </c>
      <c r="J166" s="183">
        <f>IFERROR(COUNTIFS(CLIENTE!$BD:$BD,RESUMEN!$C166,CLIENTE!$AU:$AU,RESUMEN!J$161),0)</f>
        <v>0</v>
      </c>
      <c r="K166" s="184">
        <f>IFERROR(COUNTIFS(CLIENTE!$BD:$BD,RESUMEN!$C166,CLIENTE!$AU:$AU,RESUMEN!K$161),0)</f>
        <v>0</v>
      </c>
      <c r="L166" s="185">
        <f t="shared" si="65"/>
        <v>0</v>
      </c>
      <c r="M166" s="62">
        <f>IFERROR(COUNTIFS(FACTURA!$AC:$AC,RESUMEN!M$161,FACTURA!$AA:$AA,RESUMEN!$C166,FACTURA!$AK:$AK,1),0)</f>
        <v>0</v>
      </c>
      <c r="N166" s="83">
        <f>IFERROR(COUNTIFS(FACTURA!$AC:$AC,RESUMEN!N$161,FACTURA!$AA:$AA,RESUMEN!$C166,FACTURA!$AK:$AK,1),0)</f>
        <v>0</v>
      </c>
      <c r="O166" s="83">
        <f>IFERROR(COUNTIFS(FACTURA!$AC:$AC,RESUMEN!O$161,FACTURA!$AA:$AA,RESUMEN!$C166,FACTURA!$AK:$AK,1),0)</f>
        <v>0</v>
      </c>
      <c r="P166" s="83">
        <f>IFERROR(COUNTIFS(FACTURA!$AC:$AC,RESUMEN!P$161,FACTURA!$AA:$AA,RESUMEN!$C166,FACTURA!$AK:$AK,1),0)</f>
        <v>0</v>
      </c>
      <c r="Q166" s="83">
        <f>IFERROR(COUNTIFS(FACTURA!$AC:$AC,RESUMEN!Q$161,FACTURA!$AA:$AA,RESUMEN!$C166,FACTURA!$AK:$AK,1),0)</f>
        <v>0</v>
      </c>
      <c r="R166" s="83">
        <f>IFERROR(COUNTIFS(FACTURA!$AC:$AC,RESUMEN!R$161,FACTURA!$AA:$AA,RESUMEN!$C166,FACTURA!$AK:$AK,1),0)</f>
        <v>0</v>
      </c>
      <c r="S166" s="186">
        <f>IFERROR(COUNTIFS(FACTURA!$AC:$AC,RESUMEN!S$161,FACTURA!$AA:$AA,RESUMEN!$C166,FACTURA!$AK:$AK,1),0)</f>
        <v>0</v>
      </c>
      <c r="T166" s="261">
        <f t="shared" si="66"/>
        <v>0</v>
      </c>
      <c r="U166" s="62">
        <f>IFERROR(COUNTIFS(PEDIDO!$AC:$AC,RESUMEN!M$161,PEDIDO!$AA:$AA,RESUMEN!$C166,PEDIDO!$AK:$AK,1),0)</f>
        <v>0</v>
      </c>
      <c r="V166" s="83">
        <f>IFERROR(COUNTIFS(PEDIDO!$AC:$AC,RESUMEN!N$161,PEDIDO!$AA:$AA,RESUMEN!$C166,PEDIDO!$AK:$AK,1),0)</f>
        <v>0</v>
      </c>
      <c r="W166" s="83">
        <f>IFERROR(COUNTIFS(PEDIDO!$AC:$AC,RESUMEN!O$161,PEDIDO!$AA:$AA,RESUMEN!$C166,PEDIDO!$AK:$AK,1),0)</f>
        <v>0</v>
      </c>
      <c r="X166" s="83">
        <f>IFERROR(COUNTIFS(PEDIDO!$AC:$AC,RESUMEN!P$161,PEDIDO!$AA:$AA,RESUMEN!$C166,PEDIDO!$AK:$AK,1),0)</f>
        <v>0</v>
      </c>
      <c r="Y166" s="83">
        <f>IFERROR(COUNTIFS(PEDIDO!$AC:$AC,RESUMEN!Q$161,PEDIDO!$AA:$AA,RESUMEN!$C166,PEDIDO!$AK:$AK,1),0)</f>
        <v>0</v>
      </c>
      <c r="Z166" s="83">
        <f>IFERROR(COUNTIFS(PEDIDO!$AC:$AC,RESUMEN!R$161,PEDIDO!$AA:$AA,RESUMEN!$C166,PEDIDO!$AK:$AK,1),0)</f>
        <v>0</v>
      </c>
      <c r="AA166" s="186">
        <f>IFERROR(COUNTIFS(PEDIDO!$AC:$AC,RESUMEN!S$161,PEDIDO!$AA:$AA,RESUMEN!$C166,PEDIDO!$AK:$AK,1),0)</f>
        <v>0</v>
      </c>
      <c r="AB166" s="187">
        <f t="shared" si="68"/>
        <v>0</v>
      </c>
    </row>
    <row r="167" spans="2:28" x14ac:dyDescent="0.25">
      <c r="B167" s="62">
        <f t="shared" si="67"/>
        <v>5</v>
      </c>
      <c r="C167" s="204" t="str">
        <f t="shared" si="67"/>
        <v xml:space="preserve">- </v>
      </c>
      <c r="D167" s="58" t="str">
        <f t="shared" si="67"/>
        <v/>
      </c>
      <c r="E167" s="182">
        <f>IFERROR(COUNTIFS(CLIENTE!$BD:$BD,RESUMEN!$C167,CLIENTE!$AU:$AU,RESUMEN!E$161),0)</f>
        <v>0</v>
      </c>
      <c r="F167" s="183">
        <f>IFERROR(COUNTIFS(CLIENTE!$BD:$BD,RESUMEN!$C167,CLIENTE!$AU:$AU,RESUMEN!F$161),0)</f>
        <v>0</v>
      </c>
      <c r="G167" s="183">
        <f>IFERROR(COUNTIFS(CLIENTE!$BD:$BD,RESUMEN!$C167,CLIENTE!$AU:$AU,RESUMEN!G$161),0)</f>
        <v>0</v>
      </c>
      <c r="H167" s="183">
        <f>IFERROR(COUNTIFS(CLIENTE!$BD:$BD,RESUMEN!$C167,CLIENTE!$AU:$AU,RESUMEN!H$161),0)</f>
        <v>0</v>
      </c>
      <c r="I167" s="183">
        <f>IFERROR(COUNTIFS(CLIENTE!$BD:$BD,RESUMEN!$C167,CLIENTE!$AU:$AU,RESUMEN!I$161),0)</f>
        <v>0</v>
      </c>
      <c r="J167" s="183">
        <f>IFERROR(COUNTIFS(CLIENTE!$BD:$BD,RESUMEN!$C167,CLIENTE!$AU:$AU,RESUMEN!J$161),0)</f>
        <v>0</v>
      </c>
      <c r="K167" s="184">
        <f>IFERROR(COUNTIFS(CLIENTE!$BD:$BD,RESUMEN!$C167,CLIENTE!$AU:$AU,RESUMEN!K$161),0)</f>
        <v>0</v>
      </c>
      <c r="L167" s="185">
        <f t="shared" si="65"/>
        <v>0</v>
      </c>
      <c r="M167" s="62">
        <f>IFERROR(COUNTIFS(FACTURA!$AC:$AC,RESUMEN!M$161,FACTURA!$AA:$AA,RESUMEN!$C167,FACTURA!$AK:$AK,1),0)</f>
        <v>0</v>
      </c>
      <c r="N167" s="83">
        <f>IFERROR(COUNTIFS(FACTURA!$AC:$AC,RESUMEN!N$161,FACTURA!$AA:$AA,RESUMEN!$C167,FACTURA!$AK:$AK,1),0)</f>
        <v>0</v>
      </c>
      <c r="O167" s="83">
        <f>IFERROR(COUNTIFS(FACTURA!$AC:$AC,RESUMEN!O$161,FACTURA!$AA:$AA,RESUMEN!$C167,FACTURA!$AK:$AK,1),0)</f>
        <v>0</v>
      </c>
      <c r="P167" s="83">
        <f>IFERROR(COUNTIFS(FACTURA!$AC:$AC,RESUMEN!P$161,FACTURA!$AA:$AA,RESUMEN!$C167,FACTURA!$AK:$AK,1),0)</f>
        <v>0</v>
      </c>
      <c r="Q167" s="83">
        <f>IFERROR(COUNTIFS(FACTURA!$AC:$AC,RESUMEN!Q$161,FACTURA!$AA:$AA,RESUMEN!$C167,FACTURA!$AK:$AK,1),0)</f>
        <v>0</v>
      </c>
      <c r="R167" s="83">
        <f>IFERROR(COUNTIFS(FACTURA!$AC:$AC,RESUMEN!R$161,FACTURA!$AA:$AA,RESUMEN!$C167,FACTURA!$AK:$AK,1),0)</f>
        <v>0</v>
      </c>
      <c r="S167" s="186">
        <f>IFERROR(COUNTIFS(FACTURA!$AC:$AC,RESUMEN!S$161,FACTURA!$AA:$AA,RESUMEN!$C167,FACTURA!$AK:$AK,1),0)</f>
        <v>0</v>
      </c>
      <c r="T167" s="261">
        <f t="shared" si="66"/>
        <v>0</v>
      </c>
      <c r="U167" s="62">
        <f>IFERROR(COUNTIFS(PEDIDO!$AC:$AC,RESUMEN!M$161,PEDIDO!$AA:$AA,RESUMEN!$C167,PEDIDO!$AK:$AK,1),0)</f>
        <v>0</v>
      </c>
      <c r="V167" s="83">
        <f>IFERROR(COUNTIFS(PEDIDO!$AC:$AC,RESUMEN!N$161,PEDIDO!$AA:$AA,RESUMEN!$C167,PEDIDO!$AK:$AK,1),0)</f>
        <v>0</v>
      </c>
      <c r="W167" s="83">
        <f>IFERROR(COUNTIFS(PEDIDO!$AC:$AC,RESUMEN!O$161,PEDIDO!$AA:$AA,RESUMEN!$C167,PEDIDO!$AK:$AK,1),0)</f>
        <v>0</v>
      </c>
      <c r="X167" s="83">
        <f>IFERROR(COUNTIFS(PEDIDO!$AC:$AC,RESUMEN!P$161,PEDIDO!$AA:$AA,RESUMEN!$C167,PEDIDO!$AK:$AK,1),0)</f>
        <v>0</v>
      </c>
      <c r="Y167" s="83">
        <f>IFERROR(COUNTIFS(PEDIDO!$AC:$AC,RESUMEN!Q$161,PEDIDO!$AA:$AA,RESUMEN!$C167,PEDIDO!$AK:$AK,1),0)</f>
        <v>0</v>
      </c>
      <c r="Z167" s="83">
        <f>IFERROR(COUNTIFS(PEDIDO!$AC:$AC,RESUMEN!R$161,PEDIDO!$AA:$AA,RESUMEN!$C167,PEDIDO!$AK:$AK,1),0)</f>
        <v>0</v>
      </c>
      <c r="AA167" s="186">
        <f>IFERROR(COUNTIFS(PEDIDO!$AC:$AC,RESUMEN!S$161,PEDIDO!$AA:$AA,RESUMEN!$C167,PEDIDO!$AK:$AK,1),0)</f>
        <v>0</v>
      </c>
      <c r="AB167" s="187">
        <f t="shared" si="68"/>
        <v>0</v>
      </c>
    </row>
    <row r="168" spans="2:28" x14ac:dyDescent="0.25">
      <c r="B168" s="62">
        <f t="shared" si="67"/>
        <v>6</v>
      </c>
      <c r="C168" s="204" t="str">
        <f t="shared" si="67"/>
        <v xml:space="preserve">- </v>
      </c>
      <c r="D168" s="58" t="str">
        <f t="shared" si="67"/>
        <v/>
      </c>
      <c r="E168" s="182">
        <f>IFERROR(COUNTIFS(CLIENTE!$BD:$BD,RESUMEN!$C168,CLIENTE!$AU:$AU,RESUMEN!E$161),0)</f>
        <v>0</v>
      </c>
      <c r="F168" s="183">
        <f>IFERROR(COUNTIFS(CLIENTE!$BD:$BD,RESUMEN!$C168,CLIENTE!$AU:$AU,RESUMEN!F$161),0)</f>
        <v>0</v>
      </c>
      <c r="G168" s="183">
        <f>IFERROR(COUNTIFS(CLIENTE!$BD:$BD,RESUMEN!$C168,CLIENTE!$AU:$AU,RESUMEN!G$161),0)</f>
        <v>0</v>
      </c>
      <c r="H168" s="183">
        <f>IFERROR(COUNTIFS(CLIENTE!$BD:$BD,RESUMEN!$C168,CLIENTE!$AU:$AU,RESUMEN!H$161),0)</f>
        <v>0</v>
      </c>
      <c r="I168" s="183">
        <f>IFERROR(COUNTIFS(CLIENTE!$BD:$BD,RESUMEN!$C168,CLIENTE!$AU:$AU,RESUMEN!I$161),0)</f>
        <v>0</v>
      </c>
      <c r="J168" s="183">
        <f>IFERROR(COUNTIFS(CLIENTE!$BD:$BD,RESUMEN!$C168,CLIENTE!$AU:$AU,RESUMEN!J$161),0)</f>
        <v>0</v>
      </c>
      <c r="K168" s="184">
        <f>IFERROR(COUNTIFS(CLIENTE!$BD:$BD,RESUMEN!$C168,CLIENTE!$AU:$AU,RESUMEN!K$161),0)</f>
        <v>0</v>
      </c>
      <c r="L168" s="185">
        <f t="shared" si="65"/>
        <v>0</v>
      </c>
      <c r="M168" s="62">
        <f>IFERROR(COUNTIFS(FACTURA!$AC:$AC,RESUMEN!M$161,FACTURA!$AA:$AA,RESUMEN!$C168,FACTURA!$AK:$AK,1),0)</f>
        <v>0</v>
      </c>
      <c r="N168" s="83">
        <f>IFERROR(COUNTIFS(FACTURA!$AC:$AC,RESUMEN!N$161,FACTURA!$AA:$AA,RESUMEN!$C168,FACTURA!$AK:$AK,1),0)</f>
        <v>0</v>
      </c>
      <c r="O168" s="83">
        <f>IFERROR(COUNTIFS(FACTURA!$AC:$AC,RESUMEN!O$161,FACTURA!$AA:$AA,RESUMEN!$C168,FACTURA!$AK:$AK,1),0)</f>
        <v>0</v>
      </c>
      <c r="P168" s="83">
        <f>IFERROR(COUNTIFS(FACTURA!$AC:$AC,RESUMEN!P$161,FACTURA!$AA:$AA,RESUMEN!$C168,FACTURA!$AK:$AK,1),0)</f>
        <v>0</v>
      </c>
      <c r="Q168" s="83">
        <f>IFERROR(COUNTIFS(FACTURA!$AC:$AC,RESUMEN!Q$161,FACTURA!$AA:$AA,RESUMEN!$C168,FACTURA!$AK:$AK,1),0)</f>
        <v>0</v>
      </c>
      <c r="R168" s="83">
        <f>IFERROR(COUNTIFS(FACTURA!$AC:$AC,RESUMEN!R$161,FACTURA!$AA:$AA,RESUMEN!$C168,FACTURA!$AK:$AK,1),0)</f>
        <v>0</v>
      </c>
      <c r="S168" s="186">
        <f>IFERROR(COUNTIFS(FACTURA!$AC:$AC,RESUMEN!S$161,FACTURA!$AA:$AA,RESUMEN!$C168,FACTURA!$AK:$AK,1),0)</f>
        <v>0</v>
      </c>
      <c r="T168" s="261">
        <f t="shared" si="66"/>
        <v>0</v>
      </c>
      <c r="U168" s="62">
        <f>IFERROR(COUNTIFS(PEDIDO!$AC:$AC,RESUMEN!M$161,PEDIDO!$AA:$AA,RESUMEN!$C168,PEDIDO!$AK:$AK,1),0)</f>
        <v>0</v>
      </c>
      <c r="V168" s="83">
        <f>IFERROR(COUNTIFS(PEDIDO!$AC:$AC,RESUMEN!N$161,PEDIDO!$AA:$AA,RESUMEN!$C168,PEDIDO!$AK:$AK,1),0)</f>
        <v>0</v>
      </c>
      <c r="W168" s="83">
        <f>IFERROR(COUNTIFS(PEDIDO!$AC:$AC,RESUMEN!O$161,PEDIDO!$AA:$AA,RESUMEN!$C168,PEDIDO!$AK:$AK,1),0)</f>
        <v>0</v>
      </c>
      <c r="X168" s="83">
        <f>IFERROR(COUNTIFS(PEDIDO!$AC:$AC,RESUMEN!P$161,PEDIDO!$AA:$AA,RESUMEN!$C168,PEDIDO!$AK:$AK,1),0)</f>
        <v>0</v>
      </c>
      <c r="Y168" s="83">
        <f>IFERROR(COUNTIFS(PEDIDO!$AC:$AC,RESUMEN!Q$161,PEDIDO!$AA:$AA,RESUMEN!$C168,PEDIDO!$AK:$AK,1),0)</f>
        <v>0</v>
      </c>
      <c r="Z168" s="83">
        <f>IFERROR(COUNTIFS(PEDIDO!$AC:$AC,RESUMEN!R$161,PEDIDO!$AA:$AA,RESUMEN!$C168,PEDIDO!$AK:$AK,1),0)</f>
        <v>0</v>
      </c>
      <c r="AA168" s="186">
        <f>IFERROR(COUNTIFS(PEDIDO!$AC:$AC,RESUMEN!S$161,PEDIDO!$AA:$AA,RESUMEN!$C168,PEDIDO!$AK:$AK,1),0)</f>
        <v>0</v>
      </c>
      <c r="AB168" s="187">
        <f t="shared" si="68"/>
        <v>0</v>
      </c>
    </row>
    <row r="169" spans="2:28" x14ac:dyDescent="0.25">
      <c r="B169" s="62">
        <f t="shared" si="67"/>
        <v>7</v>
      </c>
      <c r="C169" s="204" t="str">
        <f t="shared" si="67"/>
        <v xml:space="preserve">- </v>
      </c>
      <c r="D169" s="58" t="str">
        <f t="shared" si="67"/>
        <v/>
      </c>
      <c r="E169" s="182">
        <f>IFERROR(COUNTIFS(CLIENTE!$BD:$BD,RESUMEN!$C169,CLIENTE!$AU:$AU,RESUMEN!E$161),0)</f>
        <v>0</v>
      </c>
      <c r="F169" s="183">
        <f>IFERROR(COUNTIFS(CLIENTE!$BD:$BD,RESUMEN!$C169,CLIENTE!$AU:$AU,RESUMEN!F$161),0)</f>
        <v>0</v>
      </c>
      <c r="G169" s="183">
        <f>IFERROR(COUNTIFS(CLIENTE!$BD:$BD,RESUMEN!$C169,CLIENTE!$AU:$AU,RESUMEN!G$161),0)</f>
        <v>0</v>
      </c>
      <c r="H169" s="183">
        <f>IFERROR(COUNTIFS(CLIENTE!$BD:$BD,RESUMEN!$C169,CLIENTE!$AU:$AU,RESUMEN!H$161),0)</f>
        <v>0</v>
      </c>
      <c r="I169" s="183">
        <f>IFERROR(COUNTIFS(CLIENTE!$BD:$BD,RESUMEN!$C169,CLIENTE!$AU:$AU,RESUMEN!I$161),0)</f>
        <v>0</v>
      </c>
      <c r="J169" s="183">
        <f>IFERROR(COUNTIFS(CLIENTE!$BD:$BD,RESUMEN!$C169,CLIENTE!$AU:$AU,RESUMEN!J$161),0)</f>
        <v>0</v>
      </c>
      <c r="K169" s="184">
        <f>IFERROR(COUNTIFS(CLIENTE!$BD:$BD,RESUMEN!$C169,CLIENTE!$AU:$AU,RESUMEN!K$161),0)</f>
        <v>0</v>
      </c>
      <c r="L169" s="185">
        <f t="shared" si="65"/>
        <v>0</v>
      </c>
      <c r="M169" s="62">
        <f>IFERROR(COUNTIFS(FACTURA!$AC:$AC,RESUMEN!M$161,FACTURA!$AA:$AA,RESUMEN!$C169,FACTURA!$AK:$AK,1),0)</f>
        <v>0</v>
      </c>
      <c r="N169" s="83">
        <f>IFERROR(COUNTIFS(FACTURA!$AC:$AC,RESUMEN!N$161,FACTURA!$AA:$AA,RESUMEN!$C169,FACTURA!$AK:$AK,1),0)</f>
        <v>0</v>
      </c>
      <c r="O169" s="83">
        <f>IFERROR(COUNTIFS(FACTURA!$AC:$AC,RESUMEN!O$161,FACTURA!$AA:$AA,RESUMEN!$C169,FACTURA!$AK:$AK,1),0)</f>
        <v>0</v>
      </c>
      <c r="P169" s="83">
        <f>IFERROR(COUNTIFS(FACTURA!$AC:$AC,RESUMEN!P$161,FACTURA!$AA:$AA,RESUMEN!$C169,FACTURA!$AK:$AK,1),0)</f>
        <v>0</v>
      </c>
      <c r="Q169" s="83">
        <f>IFERROR(COUNTIFS(FACTURA!$AC:$AC,RESUMEN!Q$161,FACTURA!$AA:$AA,RESUMEN!$C169,FACTURA!$AK:$AK,1),0)</f>
        <v>0</v>
      </c>
      <c r="R169" s="83">
        <f>IFERROR(COUNTIFS(FACTURA!$AC:$AC,RESUMEN!R$161,FACTURA!$AA:$AA,RESUMEN!$C169,FACTURA!$AK:$AK,1),0)</f>
        <v>0</v>
      </c>
      <c r="S169" s="186">
        <f>IFERROR(COUNTIFS(FACTURA!$AC:$AC,RESUMEN!S$161,FACTURA!$AA:$AA,RESUMEN!$C169,FACTURA!$AK:$AK,1),0)</f>
        <v>0</v>
      </c>
      <c r="T169" s="261">
        <f t="shared" si="66"/>
        <v>0</v>
      </c>
      <c r="U169" s="62">
        <f>IFERROR(COUNTIFS(PEDIDO!$AC:$AC,RESUMEN!M$161,PEDIDO!$AA:$AA,RESUMEN!$C169,PEDIDO!$AK:$AK,1),0)</f>
        <v>0</v>
      </c>
      <c r="V169" s="83">
        <f>IFERROR(COUNTIFS(PEDIDO!$AC:$AC,RESUMEN!N$161,PEDIDO!$AA:$AA,RESUMEN!$C169,PEDIDO!$AK:$AK,1),0)</f>
        <v>0</v>
      </c>
      <c r="W169" s="83">
        <f>IFERROR(COUNTIFS(PEDIDO!$AC:$AC,RESUMEN!O$161,PEDIDO!$AA:$AA,RESUMEN!$C169,PEDIDO!$AK:$AK,1),0)</f>
        <v>0</v>
      </c>
      <c r="X169" s="83">
        <f>IFERROR(COUNTIFS(PEDIDO!$AC:$AC,RESUMEN!P$161,PEDIDO!$AA:$AA,RESUMEN!$C169,PEDIDO!$AK:$AK,1),0)</f>
        <v>0</v>
      </c>
      <c r="Y169" s="83">
        <f>IFERROR(COUNTIFS(PEDIDO!$AC:$AC,RESUMEN!Q$161,PEDIDO!$AA:$AA,RESUMEN!$C169,PEDIDO!$AK:$AK,1),0)</f>
        <v>0</v>
      </c>
      <c r="Z169" s="83">
        <f>IFERROR(COUNTIFS(PEDIDO!$AC:$AC,RESUMEN!R$161,PEDIDO!$AA:$AA,RESUMEN!$C169,PEDIDO!$AK:$AK,1),0)</f>
        <v>0</v>
      </c>
      <c r="AA169" s="186">
        <f>IFERROR(COUNTIFS(PEDIDO!$AC:$AC,RESUMEN!S$161,PEDIDO!$AA:$AA,RESUMEN!$C169,PEDIDO!$AK:$AK,1),0)</f>
        <v>0</v>
      </c>
      <c r="AB169" s="187">
        <f t="shared" si="68"/>
        <v>0</v>
      </c>
    </row>
    <row r="170" spans="2:28" x14ac:dyDescent="0.25">
      <c r="B170" s="62">
        <f t="shared" si="67"/>
        <v>8</v>
      </c>
      <c r="C170" s="204" t="str">
        <f t="shared" si="67"/>
        <v xml:space="preserve">- </v>
      </c>
      <c r="D170" s="58" t="str">
        <f t="shared" si="67"/>
        <v/>
      </c>
      <c r="E170" s="182">
        <f>IFERROR(COUNTIFS(CLIENTE!$BD:$BD,RESUMEN!$C170,CLIENTE!$AU:$AU,RESUMEN!E$161),0)</f>
        <v>0</v>
      </c>
      <c r="F170" s="183">
        <f>IFERROR(COUNTIFS(CLIENTE!$BD:$BD,RESUMEN!$C170,CLIENTE!$AU:$AU,RESUMEN!F$161),0)</f>
        <v>0</v>
      </c>
      <c r="G170" s="183">
        <f>IFERROR(COUNTIFS(CLIENTE!$BD:$BD,RESUMEN!$C170,CLIENTE!$AU:$AU,RESUMEN!G$161),0)</f>
        <v>0</v>
      </c>
      <c r="H170" s="183">
        <f>IFERROR(COUNTIFS(CLIENTE!$BD:$BD,RESUMEN!$C170,CLIENTE!$AU:$AU,RESUMEN!H$161),0)</f>
        <v>0</v>
      </c>
      <c r="I170" s="183">
        <f>IFERROR(COUNTIFS(CLIENTE!$BD:$BD,RESUMEN!$C170,CLIENTE!$AU:$AU,RESUMEN!I$161),0)</f>
        <v>0</v>
      </c>
      <c r="J170" s="183">
        <f>IFERROR(COUNTIFS(CLIENTE!$BD:$BD,RESUMEN!$C170,CLIENTE!$AU:$AU,RESUMEN!J$161),0)</f>
        <v>0</v>
      </c>
      <c r="K170" s="184">
        <f>IFERROR(COUNTIFS(CLIENTE!$BD:$BD,RESUMEN!$C170,CLIENTE!$AU:$AU,RESUMEN!K$161),0)</f>
        <v>0</v>
      </c>
      <c r="L170" s="185">
        <f t="shared" si="65"/>
        <v>0</v>
      </c>
      <c r="M170" s="62">
        <f>IFERROR(COUNTIFS(FACTURA!$AC:$AC,RESUMEN!M$161,FACTURA!$AA:$AA,RESUMEN!$C170,FACTURA!$AK:$AK,1),0)</f>
        <v>0</v>
      </c>
      <c r="N170" s="83">
        <f>IFERROR(COUNTIFS(FACTURA!$AC:$AC,RESUMEN!N$161,FACTURA!$AA:$AA,RESUMEN!$C170,FACTURA!$AK:$AK,1),0)</f>
        <v>0</v>
      </c>
      <c r="O170" s="83">
        <f>IFERROR(COUNTIFS(FACTURA!$AC:$AC,RESUMEN!O$161,FACTURA!$AA:$AA,RESUMEN!$C170,FACTURA!$AK:$AK,1),0)</f>
        <v>0</v>
      </c>
      <c r="P170" s="83">
        <f>IFERROR(COUNTIFS(FACTURA!$AC:$AC,RESUMEN!P$161,FACTURA!$AA:$AA,RESUMEN!$C170,FACTURA!$AK:$AK,1),0)</f>
        <v>0</v>
      </c>
      <c r="Q170" s="83">
        <f>IFERROR(COUNTIFS(FACTURA!$AC:$AC,RESUMEN!Q$161,FACTURA!$AA:$AA,RESUMEN!$C170,FACTURA!$AK:$AK,1),0)</f>
        <v>0</v>
      </c>
      <c r="R170" s="83">
        <f>IFERROR(COUNTIFS(FACTURA!$AC:$AC,RESUMEN!R$161,FACTURA!$AA:$AA,RESUMEN!$C170,FACTURA!$AK:$AK,1),0)</f>
        <v>0</v>
      </c>
      <c r="S170" s="186">
        <f>IFERROR(COUNTIFS(FACTURA!$AC:$AC,RESUMEN!S$161,FACTURA!$AA:$AA,RESUMEN!$C170,FACTURA!$AK:$AK,1),0)</f>
        <v>0</v>
      </c>
      <c r="T170" s="261">
        <f t="shared" si="66"/>
        <v>0</v>
      </c>
      <c r="U170" s="62">
        <f>IFERROR(COUNTIFS(PEDIDO!$AC:$AC,RESUMEN!M$161,PEDIDO!$AA:$AA,RESUMEN!$C170,PEDIDO!$AK:$AK,1),0)</f>
        <v>0</v>
      </c>
      <c r="V170" s="83">
        <f>IFERROR(COUNTIFS(PEDIDO!$AC:$AC,RESUMEN!N$161,PEDIDO!$AA:$AA,RESUMEN!$C170,PEDIDO!$AK:$AK,1),0)</f>
        <v>0</v>
      </c>
      <c r="W170" s="83">
        <f>IFERROR(COUNTIFS(PEDIDO!$AC:$AC,RESUMEN!O$161,PEDIDO!$AA:$AA,RESUMEN!$C170,PEDIDO!$AK:$AK,1),0)</f>
        <v>0</v>
      </c>
      <c r="X170" s="83">
        <f>IFERROR(COUNTIFS(PEDIDO!$AC:$AC,RESUMEN!P$161,PEDIDO!$AA:$AA,RESUMEN!$C170,PEDIDO!$AK:$AK,1),0)</f>
        <v>0</v>
      </c>
      <c r="Y170" s="83">
        <f>IFERROR(COUNTIFS(PEDIDO!$AC:$AC,RESUMEN!Q$161,PEDIDO!$AA:$AA,RESUMEN!$C170,PEDIDO!$AK:$AK,1),0)</f>
        <v>0</v>
      </c>
      <c r="Z170" s="83">
        <f>IFERROR(COUNTIFS(PEDIDO!$AC:$AC,RESUMEN!R$161,PEDIDO!$AA:$AA,RESUMEN!$C170,PEDIDO!$AK:$AK,1),0)</f>
        <v>0</v>
      </c>
      <c r="AA170" s="186">
        <f>IFERROR(COUNTIFS(PEDIDO!$AC:$AC,RESUMEN!S$161,PEDIDO!$AA:$AA,RESUMEN!$C170,PEDIDO!$AK:$AK,1),0)</f>
        <v>0</v>
      </c>
      <c r="AB170" s="187">
        <f t="shared" si="68"/>
        <v>0</v>
      </c>
    </row>
    <row r="171" spans="2:28" x14ac:dyDescent="0.25">
      <c r="B171" s="62">
        <f t="shared" si="67"/>
        <v>9</v>
      </c>
      <c r="C171" s="204" t="str">
        <f t="shared" si="67"/>
        <v xml:space="preserve">- </v>
      </c>
      <c r="D171" s="58" t="str">
        <f t="shared" si="67"/>
        <v/>
      </c>
      <c r="E171" s="182">
        <f>IFERROR(COUNTIFS(CLIENTE!$BD:$BD,RESUMEN!$C171,CLIENTE!$AU:$AU,RESUMEN!E$161),0)</f>
        <v>0</v>
      </c>
      <c r="F171" s="183">
        <f>IFERROR(COUNTIFS(CLIENTE!$BD:$BD,RESUMEN!$C171,CLIENTE!$AU:$AU,RESUMEN!F$161),0)</f>
        <v>0</v>
      </c>
      <c r="G171" s="183">
        <f>IFERROR(COUNTIFS(CLIENTE!$BD:$BD,RESUMEN!$C171,CLIENTE!$AU:$AU,RESUMEN!G$161),0)</f>
        <v>0</v>
      </c>
      <c r="H171" s="183">
        <f>IFERROR(COUNTIFS(CLIENTE!$BD:$BD,RESUMEN!$C171,CLIENTE!$AU:$AU,RESUMEN!H$161),0)</f>
        <v>0</v>
      </c>
      <c r="I171" s="183">
        <f>IFERROR(COUNTIFS(CLIENTE!$BD:$BD,RESUMEN!$C171,CLIENTE!$AU:$AU,RESUMEN!I$161),0)</f>
        <v>0</v>
      </c>
      <c r="J171" s="183">
        <f>IFERROR(COUNTIFS(CLIENTE!$BD:$BD,RESUMEN!$C171,CLIENTE!$AU:$AU,RESUMEN!J$161),0)</f>
        <v>0</v>
      </c>
      <c r="K171" s="184">
        <f>IFERROR(COUNTIFS(CLIENTE!$BD:$BD,RESUMEN!$C171,CLIENTE!$AU:$AU,RESUMEN!K$161),0)</f>
        <v>0</v>
      </c>
      <c r="L171" s="185">
        <f t="shared" si="65"/>
        <v>0</v>
      </c>
      <c r="M171" s="62">
        <f>IFERROR(COUNTIFS(FACTURA!$AC:$AC,RESUMEN!M$161,FACTURA!$AA:$AA,RESUMEN!$C171,FACTURA!$AK:$AK,1),0)</f>
        <v>0</v>
      </c>
      <c r="N171" s="83">
        <f>IFERROR(COUNTIFS(FACTURA!$AC:$AC,RESUMEN!N$161,FACTURA!$AA:$AA,RESUMEN!$C171,FACTURA!$AK:$AK,1),0)</f>
        <v>0</v>
      </c>
      <c r="O171" s="83">
        <f>IFERROR(COUNTIFS(FACTURA!$AC:$AC,RESUMEN!O$161,FACTURA!$AA:$AA,RESUMEN!$C171,FACTURA!$AK:$AK,1),0)</f>
        <v>0</v>
      </c>
      <c r="P171" s="83">
        <f>IFERROR(COUNTIFS(FACTURA!$AC:$AC,RESUMEN!P$161,FACTURA!$AA:$AA,RESUMEN!$C171,FACTURA!$AK:$AK,1),0)</f>
        <v>0</v>
      </c>
      <c r="Q171" s="83">
        <f>IFERROR(COUNTIFS(FACTURA!$AC:$AC,RESUMEN!Q$161,FACTURA!$AA:$AA,RESUMEN!$C171,FACTURA!$AK:$AK,1),0)</f>
        <v>0</v>
      </c>
      <c r="R171" s="83">
        <f>IFERROR(COUNTIFS(FACTURA!$AC:$AC,RESUMEN!R$161,FACTURA!$AA:$AA,RESUMEN!$C171,FACTURA!$AK:$AK,1),0)</f>
        <v>0</v>
      </c>
      <c r="S171" s="186">
        <f>IFERROR(COUNTIFS(FACTURA!$AC:$AC,RESUMEN!S$161,FACTURA!$AA:$AA,RESUMEN!$C171,FACTURA!$AK:$AK,1),0)</f>
        <v>0</v>
      </c>
      <c r="T171" s="261">
        <f t="shared" si="66"/>
        <v>0</v>
      </c>
      <c r="U171" s="62">
        <f>IFERROR(COUNTIFS(PEDIDO!$AC:$AC,RESUMEN!M$161,PEDIDO!$AA:$AA,RESUMEN!$C171,PEDIDO!$AK:$AK,1),0)</f>
        <v>0</v>
      </c>
      <c r="V171" s="83">
        <f>IFERROR(COUNTIFS(PEDIDO!$AC:$AC,RESUMEN!N$161,PEDIDO!$AA:$AA,RESUMEN!$C171,PEDIDO!$AK:$AK,1),0)</f>
        <v>0</v>
      </c>
      <c r="W171" s="83">
        <f>IFERROR(COUNTIFS(PEDIDO!$AC:$AC,RESUMEN!O$161,PEDIDO!$AA:$AA,RESUMEN!$C171,PEDIDO!$AK:$AK,1),0)</f>
        <v>0</v>
      </c>
      <c r="X171" s="83">
        <f>IFERROR(COUNTIFS(PEDIDO!$AC:$AC,RESUMEN!P$161,PEDIDO!$AA:$AA,RESUMEN!$C171,PEDIDO!$AK:$AK,1),0)</f>
        <v>0</v>
      </c>
      <c r="Y171" s="83">
        <f>IFERROR(COUNTIFS(PEDIDO!$AC:$AC,RESUMEN!Q$161,PEDIDO!$AA:$AA,RESUMEN!$C171,PEDIDO!$AK:$AK,1),0)</f>
        <v>0</v>
      </c>
      <c r="Z171" s="83">
        <f>IFERROR(COUNTIFS(PEDIDO!$AC:$AC,RESUMEN!R$161,PEDIDO!$AA:$AA,RESUMEN!$C171,PEDIDO!$AK:$AK,1),0)</f>
        <v>0</v>
      </c>
      <c r="AA171" s="186">
        <f>IFERROR(COUNTIFS(PEDIDO!$AC:$AC,RESUMEN!S$161,PEDIDO!$AA:$AA,RESUMEN!$C171,PEDIDO!$AK:$AK,1),0)</f>
        <v>0</v>
      </c>
      <c r="AB171" s="187">
        <f t="shared" si="68"/>
        <v>0</v>
      </c>
    </row>
    <row r="172" spans="2:28" x14ac:dyDescent="0.25">
      <c r="B172" s="62">
        <f t="shared" si="67"/>
        <v>10</v>
      </c>
      <c r="C172" s="204" t="str">
        <f t="shared" si="67"/>
        <v xml:space="preserve">- </v>
      </c>
      <c r="D172" s="58" t="str">
        <f t="shared" si="67"/>
        <v/>
      </c>
      <c r="E172" s="182">
        <f>IFERROR(COUNTIFS(CLIENTE!$BD:$BD,RESUMEN!$C172,CLIENTE!$AU:$AU,RESUMEN!E$161),0)</f>
        <v>0</v>
      </c>
      <c r="F172" s="183">
        <f>IFERROR(COUNTIFS(CLIENTE!$BD:$BD,RESUMEN!$C172,CLIENTE!$AU:$AU,RESUMEN!F$161),0)</f>
        <v>0</v>
      </c>
      <c r="G172" s="183">
        <f>IFERROR(COUNTIFS(CLIENTE!$BD:$BD,RESUMEN!$C172,CLIENTE!$AU:$AU,RESUMEN!G$161),0)</f>
        <v>0</v>
      </c>
      <c r="H172" s="183">
        <f>IFERROR(COUNTIFS(CLIENTE!$BD:$BD,RESUMEN!$C172,CLIENTE!$AU:$AU,RESUMEN!H$161),0)</f>
        <v>0</v>
      </c>
      <c r="I172" s="183">
        <f>IFERROR(COUNTIFS(CLIENTE!$BD:$BD,RESUMEN!$C172,CLIENTE!$AU:$AU,RESUMEN!I$161),0)</f>
        <v>0</v>
      </c>
      <c r="J172" s="183">
        <f>IFERROR(COUNTIFS(CLIENTE!$BD:$BD,RESUMEN!$C172,CLIENTE!$AU:$AU,RESUMEN!J$161),0)</f>
        <v>0</v>
      </c>
      <c r="K172" s="184">
        <f>IFERROR(COUNTIFS(CLIENTE!$BD:$BD,RESUMEN!$C172,CLIENTE!$AU:$AU,RESUMEN!K$161),0)</f>
        <v>0</v>
      </c>
      <c r="L172" s="185">
        <f t="shared" si="65"/>
        <v>0</v>
      </c>
      <c r="M172" s="62">
        <f>IFERROR(COUNTIFS(FACTURA!$AC:$AC,RESUMEN!M$161,FACTURA!$AA:$AA,RESUMEN!$C172,FACTURA!$AK:$AK,1),0)</f>
        <v>0</v>
      </c>
      <c r="N172" s="83">
        <f>IFERROR(COUNTIFS(FACTURA!$AC:$AC,RESUMEN!N$161,FACTURA!$AA:$AA,RESUMEN!$C172,FACTURA!$AK:$AK,1),0)</f>
        <v>0</v>
      </c>
      <c r="O172" s="83">
        <f>IFERROR(COUNTIFS(FACTURA!$AC:$AC,RESUMEN!O$161,FACTURA!$AA:$AA,RESUMEN!$C172,FACTURA!$AK:$AK,1),0)</f>
        <v>0</v>
      </c>
      <c r="P172" s="83">
        <f>IFERROR(COUNTIFS(FACTURA!$AC:$AC,RESUMEN!P$161,FACTURA!$AA:$AA,RESUMEN!$C172,FACTURA!$AK:$AK,1),0)</f>
        <v>0</v>
      </c>
      <c r="Q172" s="83">
        <f>IFERROR(COUNTIFS(FACTURA!$AC:$AC,RESUMEN!Q$161,FACTURA!$AA:$AA,RESUMEN!$C172,FACTURA!$AK:$AK,1),0)</f>
        <v>0</v>
      </c>
      <c r="R172" s="83">
        <f>IFERROR(COUNTIFS(FACTURA!$AC:$AC,RESUMEN!R$161,FACTURA!$AA:$AA,RESUMEN!$C172,FACTURA!$AK:$AK,1),0)</f>
        <v>0</v>
      </c>
      <c r="S172" s="186">
        <f>IFERROR(COUNTIFS(FACTURA!$AC:$AC,RESUMEN!S$161,FACTURA!$AA:$AA,RESUMEN!$C172,FACTURA!$AK:$AK,1),0)</f>
        <v>0</v>
      </c>
      <c r="T172" s="261">
        <f t="shared" si="66"/>
        <v>0</v>
      </c>
      <c r="U172" s="62">
        <f>IFERROR(COUNTIFS(PEDIDO!$AC:$AC,RESUMEN!M$161,PEDIDO!$AA:$AA,RESUMEN!$C172,PEDIDO!$AK:$AK,1),0)</f>
        <v>0</v>
      </c>
      <c r="V172" s="83">
        <f>IFERROR(COUNTIFS(PEDIDO!$AC:$AC,RESUMEN!N$161,PEDIDO!$AA:$AA,RESUMEN!$C172,PEDIDO!$AK:$AK,1),0)</f>
        <v>0</v>
      </c>
      <c r="W172" s="83">
        <f>IFERROR(COUNTIFS(PEDIDO!$AC:$AC,RESUMEN!O$161,PEDIDO!$AA:$AA,RESUMEN!$C172,PEDIDO!$AK:$AK,1),0)</f>
        <v>0</v>
      </c>
      <c r="X172" s="83">
        <f>IFERROR(COUNTIFS(PEDIDO!$AC:$AC,RESUMEN!P$161,PEDIDO!$AA:$AA,RESUMEN!$C172,PEDIDO!$AK:$AK,1),0)</f>
        <v>0</v>
      </c>
      <c r="Y172" s="83">
        <f>IFERROR(COUNTIFS(PEDIDO!$AC:$AC,RESUMEN!Q$161,PEDIDO!$AA:$AA,RESUMEN!$C172,PEDIDO!$AK:$AK,1),0)</f>
        <v>0</v>
      </c>
      <c r="Z172" s="83">
        <f>IFERROR(COUNTIFS(PEDIDO!$AC:$AC,RESUMEN!R$161,PEDIDO!$AA:$AA,RESUMEN!$C172,PEDIDO!$AK:$AK,1),0)</f>
        <v>0</v>
      </c>
      <c r="AA172" s="186">
        <f>IFERROR(COUNTIFS(PEDIDO!$AC:$AC,RESUMEN!S$161,PEDIDO!$AA:$AA,RESUMEN!$C172,PEDIDO!$AK:$AK,1),0)</f>
        <v>0</v>
      </c>
      <c r="AB172" s="187">
        <f t="shared" si="68"/>
        <v>0</v>
      </c>
    </row>
    <row r="173" spans="2:28" x14ac:dyDescent="0.25">
      <c r="B173" s="62">
        <f t="shared" si="67"/>
        <v>11</v>
      </c>
      <c r="C173" s="204" t="str">
        <f t="shared" si="67"/>
        <v xml:space="preserve">- </v>
      </c>
      <c r="D173" s="58" t="str">
        <f t="shared" si="67"/>
        <v/>
      </c>
      <c r="E173" s="182">
        <f>IFERROR(COUNTIFS(CLIENTE!$BD:$BD,RESUMEN!$C173,CLIENTE!$AU:$AU,RESUMEN!E$161),0)</f>
        <v>0</v>
      </c>
      <c r="F173" s="183">
        <f>IFERROR(COUNTIFS(CLIENTE!$BD:$BD,RESUMEN!$C173,CLIENTE!$AU:$AU,RESUMEN!F$161),0)</f>
        <v>0</v>
      </c>
      <c r="G173" s="183">
        <f>IFERROR(COUNTIFS(CLIENTE!$BD:$BD,RESUMEN!$C173,CLIENTE!$AU:$AU,RESUMEN!G$161),0)</f>
        <v>0</v>
      </c>
      <c r="H173" s="183">
        <f>IFERROR(COUNTIFS(CLIENTE!$BD:$BD,RESUMEN!$C173,CLIENTE!$AU:$AU,RESUMEN!H$161),0)</f>
        <v>0</v>
      </c>
      <c r="I173" s="183">
        <f>IFERROR(COUNTIFS(CLIENTE!$BD:$BD,RESUMEN!$C173,CLIENTE!$AU:$AU,RESUMEN!I$161),0)</f>
        <v>0</v>
      </c>
      <c r="J173" s="183">
        <f>IFERROR(COUNTIFS(CLIENTE!$BD:$BD,RESUMEN!$C173,CLIENTE!$AU:$AU,RESUMEN!J$161),0)</f>
        <v>0</v>
      </c>
      <c r="K173" s="184">
        <f>IFERROR(COUNTIFS(CLIENTE!$BD:$BD,RESUMEN!$C173,CLIENTE!$AU:$AU,RESUMEN!K$161),0)</f>
        <v>0</v>
      </c>
      <c r="L173" s="185">
        <f t="shared" si="65"/>
        <v>0</v>
      </c>
      <c r="M173" s="62">
        <f>IFERROR(COUNTIFS(FACTURA!$AC:$AC,RESUMEN!M$161,FACTURA!$AA:$AA,RESUMEN!$C173,FACTURA!$AK:$AK,1),0)</f>
        <v>0</v>
      </c>
      <c r="N173" s="83">
        <f>IFERROR(COUNTIFS(FACTURA!$AC:$AC,RESUMEN!N$161,FACTURA!$AA:$AA,RESUMEN!$C173,FACTURA!$AK:$AK,1),0)</f>
        <v>0</v>
      </c>
      <c r="O173" s="83">
        <f>IFERROR(COUNTIFS(FACTURA!$AC:$AC,RESUMEN!O$161,FACTURA!$AA:$AA,RESUMEN!$C173,FACTURA!$AK:$AK,1),0)</f>
        <v>0</v>
      </c>
      <c r="P173" s="83">
        <f>IFERROR(COUNTIFS(FACTURA!$AC:$AC,RESUMEN!P$161,FACTURA!$AA:$AA,RESUMEN!$C173,FACTURA!$AK:$AK,1),0)</f>
        <v>0</v>
      </c>
      <c r="Q173" s="83">
        <f>IFERROR(COUNTIFS(FACTURA!$AC:$AC,RESUMEN!Q$161,FACTURA!$AA:$AA,RESUMEN!$C173,FACTURA!$AK:$AK,1),0)</f>
        <v>0</v>
      </c>
      <c r="R173" s="83">
        <f>IFERROR(COUNTIFS(FACTURA!$AC:$AC,RESUMEN!R$161,FACTURA!$AA:$AA,RESUMEN!$C173,FACTURA!$AK:$AK,1),0)</f>
        <v>0</v>
      </c>
      <c r="S173" s="186">
        <f>IFERROR(COUNTIFS(FACTURA!$AC:$AC,RESUMEN!S$161,FACTURA!$AA:$AA,RESUMEN!$C173,FACTURA!$AK:$AK,1),0)</f>
        <v>0</v>
      </c>
      <c r="T173" s="261">
        <f t="shared" si="66"/>
        <v>0</v>
      </c>
      <c r="U173" s="62">
        <f>IFERROR(COUNTIFS(PEDIDO!$AC:$AC,RESUMEN!M$161,PEDIDO!$AA:$AA,RESUMEN!$C173,PEDIDO!$AK:$AK,1),0)</f>
        <v>0</v>
      </c>
      <c r="V173" s="83">
        <f>IFERROR(COUNTIFS(PEDIDO!$AC:$AC,RESUMEN!N$161,PEDIDO!$AA:$AA,RESUMEN!$C173,PEDIDO!$AK:$AK,1),0)</f>
        <v>0</v>
      </c>
      <c r="W173" s="83">
        <f>IFERROR(COUNTIFS(PEDIDO!$AC:$AC,RESUMEN!O$161,PEDIDO!$AA:$AA,RESUMEN!$C173,PEDIDO!$AK:$AK,1),0)</f>
        <v>0</v>
      </c>
      <c r="X173" s="83">
        <f>IFERROR(COUNTIFS(PEDIDO!$AC:$AC,RESUMEN!P$161,PEDIDO!$AA:$AA,RESUMEN!$C173,PEDIDO!$AK:$AK,1),0)</f>
        <v>0</v>
      </c>
      <c r="Y173" s="83">
        <f>IFERROR(COUNTIFS(PEDIDO!$AC:$AC,RESUMEN!Q$161,PEDIDO!$AA:$AA,RESUMEN!$C173,PEDIDO!$AK:$AK,1),0)</f>
        <v>0</v>
      </c>
      <c r="Z173" s="83">
        <f>IFERROR(COUNTIFS(PEDIDO!$AC:$AC,RESUMEN!R$161,PEDIDO!$AA:$AA,RESUMEN!$C173,PEDIDO!$AK:$AK,1),0)</f>
        <v>0</v>
      </c>
      <c r="AA173" s="186">
        <f>IFERROR(COUNTIFS(PEDIDO!$AC:$AC,RESUMEN!S$161,PEDIDO!$AA:$AA,RESUMEN!$C173,PEDIDO!$AK:$AK,1),0)</f>
        <v>0</v>
      </c>
      <c r="AB173" s="187">
        <f t="shared" si="68"/>
        <v>0</v>
      </c>
    </row>
    <row r="174" spans="2:28" x14ac:dyDescent="0.25">
      <c r="B174" s="62">
        <f t="shared" si="67"/>
        <v>12</v>
      </c>
      <c r="C174" s="204" t="str">
        <f t="shared" si="67"/>
        <v xml:space="preserve">- </v>
      </c>
      <c r="D174" s="58" t="str">
        <f t="shared" si="67"/>
        <v/>
      </c>
      <c r="E174" s="182">
        <f>IFERROR(COUNTIFS(CLIENTE!$BD:$BD,RESUMEN!$C174,CLIENTE!$AU:$AU,RESUMEN!E$161),0)</f>
        <v>0</v>
      </c>
      <c r="F174" s="183">
        <f>IFERROR(COUNTIFS(CLIENTE!$BD:$BD,RESUMEN!$C174,CLIENTE!$AU:$AU,RESUMEN!F$161),0)</f>
        <v>0</v>
      </c>
      <c r="G174" s="183">
        <f>IFERROR(COUNTIFS(CLIENTE!$BD:$BD,RESUMEN!$C174,CLIENTE!$AU:$AU,RESUMEN!G$161),0)</f>
        <v>0</v>
      </c>
      <c r="H174" s="183">
        <f>IFERROR(COUNTIFS(CLIENTE!$BD:$BD,RESUMEN!$C174,CLIENTE!$AU:$AU,RESUMEN!H$161),0)</f>
        <v>0</v>
      </c>
      <c r="I174" s="183">
        <f>IFERROR(COUNTIFS(CLIENTE!$BD:$BD,RESUMEN!$C174,CLIENTE!$AU:$AU,RESUMEN!I$161),0)</f>
        <v>0</v>
      </c>
      <c r="J174" s="183">
        <f>IFERROR(COUNTIFS(CLIENTE!$BD:$BD,RESUMEN!$C174,CLIENTE!$AU:$AU,RESUMEN!J$161),0)</f>
        <v>0</v>
      </c>
      <c r="K174" s="184">
        <f>IFERROR(COUNTIFS(CLIENTE!$BD:$BD,RESUMEN!$C174,CLIENTE!$AU:$AU,RESUMEN!K$161),0)</f>
        <v>0</v>
      </c>
      <c r="L174" s="185">
        <f t="shared" si="65"/>
        <v>0</v>
      </c>
      <c r="M174" s="62">
        <f>IFERROR(COUNTIFS(FACTURA!$AC:$AC,RESUMEN!M$161,FACTURA!$AA:$AA,RESUMEN!$C174,FACTURA!$AK:$AK,1),0)</f>
        <v>0</v>
      </c>
      <c r="N174" s="83">
        <f>IFERROR(COUNTIFS(FACTURA!$AC:$AC,RESUMEN!N$161,FACTURA!$AA:$AA,RESUMEN!$C174,FACTURA!$AK:$AK,1),0)</f>
        <v>0</v>
      </c>
      <c r="O174" s="83">
        <f>IFERROR(COUNTIFS(FACTURA!$AC:$AC,RESUMEN!O$161,FACTURA!$AA:$AA,RESUMEN!$C174,FACTURA!$AK:$AK,1),0)</f>
        <v>0</v>
      </c>
      <c r="P174" s="83">
        <f>IFERROR(COUNTIFS(FACTURA!$AC:$AC,RESUMEN!P$161,FACTURA!$AA:$AA,RESUMEN!$C174,FACTURA!$AK:$AK,1),0)</f>
        <v>0</v>
      </c>
      <c r="Q174" s="83">
        <f>IFERROR(COUNTIFS(FACTURA!$AC:$AC,RESUMEN!Q$161,FACTURA!$AA:$AA,RESUMEN!$C174,FACTURA!$AK:$AK,1),0)</f>
        <v>0</v>
      </c>
      <c r="R174" s="83">
        <f>IFERROR(COUNTIFS(FACTURA!$AC:$AC,RESUMEN!R$161,FACTURA!$AA:$AA,RESUMEN!$C174,FACTURA!$AK:$AK,1),0)</f>
        <v>0</v>
      </c>
      <c r="S174" s="186">
        <f>IFERROR(COUNTIFS(FACTURA!$AC:$AC,RESUMEN!S$161,FACTURA!$AA:$AA,RESUMEN!$C174,FACTURA!$AK:$AK,1),0)</f>
        <v>0</v>
      </c>
      <c r="T174" s="261">
        <f t="shared" si="66"/>
        <v>0</v>
      </c>
      <c r="U174" s="62">
        <f>IFERROR(COUNTIFS(PEDIDO!$AC:$AC,RESUMEN!M$161,PEDIDO!$AA:$AA,RESUMEN!$C174,PEDIDO!$AK:$AK,1),0)</f>
        <v>0</v>
      </c>
      <c r="V174" s="83">
        <f>IFERROR(COUNTIFS(PEDIDO!$AC:$AC,RESUMEN!N$161,PEDIDO!$AA:$AA,RESUMEN!$C174,PEDIDO!$AK:$AK,1),0)</f>
        <v>0</v>
      </c>
      <c r="W174" s="83">
        <f>IFERROR(COUNTIFS(PEDIDO!$AC:$AC,RESUMEN!O$161,PEDIDO!$AA:$AA,RESUMEN!$C174,PEDIDO!$AK:$AK,1),0)</f>
        <v>0</v>
      </c>
      <c r="X174" s="83">
        <f>IFERROR(COUNTIFS(PEDIDO!$AC:$AC,RESUMEN!P$161,PEDIDO!$AA:$AA,RESUMEN!$C174,PEDIDO!$AK:$AK,1),0)</f>
        <v>0</v>
      </c>
      <c r="Y174" s="83">
        <f>IFERROR(COUNTIFS(PEDIDO!$AC:$AC,RESUMEN!Q$161,PEDIDO!$AA:$AA,RESUMEN!$C174,PEDIDO!$AK:$AK,1),0)</f>
        <v>0</v>
      </c>
      <c r="Z174" s="83">
        <f>IFERROR(COUNTIFS(PEDIDO!$AC:$AC,RESUMEN!R$161,PEDIDO!$AA:$AA,RESUMEN!$C174,PEDIDO!$AK:$AK,1),0)</f>
        <v>0</v>
      </c>
      <c r="AA174" s="186">
        <f>IFERROR(COUNTIFS(PEDIDO!$AC:$AC,RESUMEN!S$161,PEDIDO!$AA:$AA,RESUMEN!$C174,PEDIDO!$AK:$AK,1),0)</f>
        <v>0</v>
      </c>
      <c r="AB174" s="187">
        <f t="shared" si="68"/>
        <v>0</v>
      </c>
    </row>
    <row r="175" spans="2:28" x14ac:dyDescent="0.25">
      <c r="B175" s="62">
        <f t="shared" si="67"/>
        <v>13</v>
      </c>
      <c r="C175" s="204" t="str">
        <f t="shared" si="67"/>
        <v xml:space="preserve">- </v>
      </c>
      <c r="D175" s="58" t="str">
        <f t="shared" si="67"/>
        <v/>
      </c>
      <c r="E175" s="182">
        <f>IFERROR(COUNTIFS(CLIENTE!$BD:$BD,RESUMEN!$C175,CLIENTE!$AU:$AU,RESUMEN!E$161),0)</f>
        <v>0</v>
      </c>
      <c r="F175" s="183">
        <f>IFERROR(COUNTIFS(CLIENTE!$BD:$BD,RESUMEN!$C175,CLIENTE!$AU:$AU,RESUMEN!F$161),0)</f>
        <v>0</v>
      </c>
      <c r="G175" s="183">
        <f>IFERROR(COUNTIFS(CLIENTE!$BD:$BD,RESUMEN!$C175,CLIENTE!$AU:$AU,RESUMEN!G$161),0)</f>
        <v>0</v>
      </c>
      <c r="H175" s="183">
        <f>IFERROR(COUNTIFS(CLIENTE!$BD:$BD,RESUMEN!$C175,CLIENTE!$AU:$AU,RESUMEN!H$161),0)</f>
        <v>0</v>
      </c>
      <c r="I175" s="183">
        <f>IFERROR(COUNTIFS(CLIENTE!$BD:$BD,RESUMEN!$C175,CLIENTE!$AU:$AU,RESUMEN!I$161),0)</f>
        <v>0</v>
      </c>
      <c r="J175" s="183">
        <f>IFERROR(COUNTIFS(CLIENTE!$BD:$BD,RESUMEN!$C175,CLIENTE!$AU:$AU,RESUMEN!J$161),0)</f>
        <v>0</v>
      </c>
      <c r="K175" s="184">
        <f>IFERROR(COUNTIFS(CLIENTE!$BD:$BD,RESUMEN!$C175,CLIENTE!$AU:$AU,RESUMEN!K$161),0)</f>
        <v>0</v>
      </c>
      <c r="L175" s="185">
        <f t="shared" si="65"/>
        <v>0</v>
      </c>
      <c r="M175" s="62">
        <f>IFERROR(COUNTIFS(FACTURA!$AC:$AC,RESUMEN!M$161,FACTURA!$AA:$AA,RESUMEN!$C175,FACTURA!$AK:$AK,1),0)</f>
        <v>0</v>
      </c>
      <c r="N175" s="83">
        <f>IFERROR(COUNTIFS(FACTURA!$AC:$AC,RESUMEN!N$161,FACTURA!$AA:$AA,RESUMEN!$C175,FACTURA!$AK:$AK,1),0)</f>
        <v>0</v>
      </c>
      <c r="O175" s="83">
        <f>IFERROR(COUNTIFS(FACTURA!$AC:$AC,RESUMEN!O$161,FACTURA!$AA:$AA,RESUMEN!$C175,FACTURA!$AK:$AK,1),0)</f>
        <v>0</v>
      </c>
      <c r="P175" s="83">
        <f>IFERROR(COUNTIFS(FACTURA!$AC:$AC,RESUMEN!P$161,FACTURA!$AA:$AA,RESUMEN!$C175,FACTURA!$AK:$AK,1),0)</f>
        <v>0</v>
      </c>
      <c r="Q175" s="83">
        <f>IFERROR(COUNTIFS(FACTURA!$AC:$AC,RESUMEN!Q$161,FACTURA!$AA:$AA,RESUMEN!$C175,FACTURA!$AK:$AK,1),0)</f>
        <v>0</v>
      </c>
      <c r="R175" s="83">
        <f>IFERROR(COUNTIFS(FACTURA!$AC:$AC,RESUMEN!R$161,FACTURA!$AA:$AA,RESUMEN!$C175,FACTURA!$AK:$AK,1),0)</f>
        <v>0</v>
      </c>
      <c r="S175" s="186">
        <f>IFERROR(COUNTIFS(FACTURA!$AC:$AC,RESUMEN!S$161,FACTURA!$AA:$AA,RESUMEN!$C175,FACTURA!$AK:$AK,1),0)</f>
        <v>0</v>
      </c>
      <c r="T175" s="261">
        <f t="shared" si="66"/>
        <v>0</v>
      </c>
      <c r="U175" s="62">
        <f>IFERROR(COUNTIFS(PEDIDO!$AC:$AC,RESUMEN!M$161,PEDIDO!$AA:$AA,RESUMEN!$C175,PEDIDO!$AK:$AK,1),0)</f>
        <v>0</v>
      </c>
      <c r="V175" s="83">
        <f>IFERROR(COUNTIFS(PEDIDO!$AC:$AC,RESUMEN!N$161,PEDIDO!$AA:$AA,RESUMEN!$C175,PEDIDO!$AK:$AK,1),0)</f>
        <v>0</v>
      </c>
      <c r="W175" s="83">
        <f>IFERROR(COUNTIFS(PEDIDO!$AC:$AC,RESUMEN!O$161,PEDIDO!$AA:$AA,RESUMEN!$C175,PEDIDO!$AK:$AK,1),0)</f>
        <v>0</v>
      </c>
      <c r="X175" s="83">
        <f>IFERROR(COUNTIFS(PEDIDO!$AC:$AC,RESUMEN!P$161,PEDIDO!$AA:$AA,RESUMEN!$C175,PEDIDO!$AK:$AK,1),0)</f>
        <v>0</v>
      </c>
      <c r="Y175" s="83">
        <f>IFERROR(COUNTIFS(PEDIDO!$AC:$AC,RESUMEN!Q$161,PEDIDO!$AA:$AA,RESUMEN!$C175,PEDIDO!$AK:$AK,1),0)</f>
        <v>0</v>
      </c>
      <c r="Z175" s="83">
        <f>IFERROR(COUNTIFS(PEDIDO!$AC:$AC,RESUMEN!R$161,PEDIDO!$AA:$AA,RESUMEN!$C175,PEDIDO!$AK:$AK,1),0)</f>
        <v>0</v>
      </c>
      <c r="AA175" s="186">
        <f>IFERROR(COUNTIFS(PEDIDO!$AC:$AC,RESUMEN!S$161,PEDIDO!$AA:$AA,RESUMEN!$C175,PEDIDO!$AK:$AK,1),0)</f>
        <v>0</v>
      </c>
      <c r="AB175" s="187">
        <f t="shared" si="68"/>
        <v>0</v>
      </c>
    </row>
    <row r="176" spans="2:28" x14ac:dyDescent="0.25">
      <c r="B176" s="62">
        <f t="shared" si="67"/>
        <v>14</v>
      </c>
      <c r="C176" s="204" t="str">
        <f t="shared" si="67"/>
        <v xml:space="preserve">- </v>
      </c>
      <c r="D176" s="58" t="str">
        <f t="shared" si="67"/>
        <v/>
      </c>
      <c r="E176" s="182">
        <f>IFERROR(COUNTIFS(CLIENTE!$BD:$BD,RESUMEN!$C176,CLIENTE!$AU:$AU,RESUMEN!E$161),0)</f>
        <v>0</v>
      </c>
      <c r="F176" s="183">
        <f>IFERROR(COUNTIFS(CLIENTE!$BD:$BD,RESUMEN!$C176,CLIENTE!$AU:$AU,RESUMEN!F$161),0)</f>
        <v>0</v>
      </c>
      <c r="G176" s="183">
        <f>IFERROR(COUNTIFS(CLIENTE!$BD:$BD,RESUMEN!$C176,CLIENTE!$AU:$AU,RESUMEN!G$161),0)</f>
        <v>0</v>
      </c>
      <c r="H176" s="183">
        <f>IFERROR(COUNTIFS(CLIENTE!$BD:$BD,RESUMEN!$C176,CLIENTE!$AU:$AU,RESUMEN!H$161),0)</f>
        <v>0</v>
      </c>
      <c r="I176" s="183">
        <f>IFERROR(COUNTIFS(CLIENTE!$BD:$BD,RESUMEN!$C176,CLIENTE!$AU:$AU,RESUMEN!I$161),0)</f>
        <v>0</v>
      </c>
      <c r="J176" s="183">
        <f>IFERROR(COUNTIFS(CLIENTE!$BD:$BD,RESUMEN!$C176,CLIENTE!$AU:$AU,RESUMEN!J$161),0)</f>
        <v>0</v>
      </c>
      <c r="K176" s="184">
        <f>IFERROR(COUNTIFS(CLIENTE!$BD:$BD,RESUMEN!$C176,CLIENTE!$AU:$AU,RESUMEN!K$161),0)</f>
        <v>0</v>
      </c>
      <c r="L176" s="185">
        <f t="shared" si="65"/>
        <v>0</v>
      </c>
      <c r="M176" s="62">
        <f>IFERROR(COUNTIFS(FACTURA!$AC:$AC,RESUMEN!M$161,FACTURA!$AA:$AA,RESUMEN!$C176,FACTURA!$AK:$AK,1),0)</f>
        <v>0</v>
      </c>
      <c r="N176" s="83">
        <f>IFERROR(COUNTIFS(FACTURA!$AC:$AC,RESUMEN!N$161,FACTURA!$AA:$AA,RESUMEN!$C176,FACTURA!$AK:$AK,1),0)</f>
        <v>0</v>
      </c>
      <c r="O176" s="83">
        <f>IFERROR(COUNTIFS(FACTURA!$AC:$AC,RESUMEN!O$161,FACTURA!$AA:$AA,RESUMEN!$C176,FACTURA!$AK:$AK,1),0)</f>
        <v>0</v>
      </c>
      <c r="P176" s="83">
        <f>IFERROR(COUNTIFS(FACTURA!$AC:$AC,RESUMEN!P$161,FACTURA!$AA:$AA,RESUMEN!$C176,FACTURA!$AK:$AK,1),0)</f>
        <v>0</v>
      </c>
      <c r="Q176" s="83">
        <f>IFERROR(COUNTIFS(FACTURA!$AC:$AC,RESUMEN!Q$161,FACTURA!$AA:$AA,RESUMEN!$C176,FACTURA!$AK:$AK,1),0)</f>
        <v>0</v>
      </c>
      <c r="R176" s="83">
        <f>IFERROR(COUNTIFS(FACTURA!$AC:$AC,RESUMEN!R$161,FACTURA!$AA:$AA,RESUMEN!$C176,FACTURA!$AK:$AK,1),0)</f>
        <v>0</v>
      </c>
      <c r="S176" s="186">
        <f>IFERROR(COUNTIFS(FACTURA!$AC:$AC,RESUMEN!S$161,FACTURA!$AA:$AA,RESUMEN!$C176,FACTURA!$AK:$AK,1),0)</f>
        <v>0</v>
      </c>
      <c r="T176" s="261">
        <f t="shared" si="66"/>
        <v>0</v>
      </c>
      <c r="U176" s="62">
        <f>IFERROR(COUNTIFS(PEDIDO!$AC:$AC,RESUMEN!M$161,PEDIDO!$AA:$AA,RESUMEN!$C176,PEDIDO!$AK:$AK,1),0)</f>
        <v>0</v>
      </c>
      <c r="V176" s="83">
        <f>IFERROR(COUNTIFS(PEDIDO!$AC:$AC,RESUMEN!N$161,PEDIDO!$AA:$AA,RESUMEN!$C176,PEDIDO!$AK:$AK,1),0)</f>
        <v>0</v>
      </c>
      <c r="W176" s="83">
        <f>IFERROR(COUNTIFS(PEDIDO!$AC:$AC,RESUMEN!O$161,PEDIDO!$AA:$AA,RESUMEN!$C176,PEDIDO!$AK:$AK,1),0)</f>
        <v>0</v>
      </c>
      <c r="X176" s="83">
        <f>IFERROR(COUNTIFS(PEDIDO!$AC:$AC,RESUMEN!P$161,PEDIDO!$AA:$AA,RESUMEN!$C176,PEDIDO!$AK:$AK,1),0)</f>
        <v>0</v>
      </c>
      <c r="Y176" s="83">
        <f>IFERROR(COUNTIFS(PEDIDO!$AC:$AC,RESUMEN!Q$161,PEDIDO!$AA:$AA,RESUMEN!$C176,PEDIDO!$AK:$AK,1),0)</f>
        <v>0</v>
      </c>
      <c r="Z176" s="83">
        <f>IFERROR(COUNTIFS(PEDIDO!$AC:$AC,RESUMEN!R$161,PEDIDO!$AA:$AA,RESUMEN!$C176,PEDIDO!$AK:$AK,1),0)</f>
        <v>0</v>
      </c>
      <c r="AA176" s="186">
        <f>IFERROR(COUNTIFS(PEDIDO!$AC:$AC,RESUMEN!S$161,PEDIDO!$AA:$AA,RESUMEN!$C176,PEDIDO!$AK:$AK,1),0)</f>
        <v>0</v>
      </c>
      <c r="AB176" s="187">
        <f t="shared" si="68"/>
        <v>0</v>
      </c>
    </row>
    <row r="177" spans="2:28" x14ac:dyDescent="0.25">
      <c r="B177" s="62">
        <f t="shared" si="67"/>
        <v>15</v>
      </c>
      <c r="C177" s="204" t="str">
        <f t="shared" si="67"/>
        <v xml:space="preserve">- </v>
      </c>
      <c r="D177" s="58" t="str">
        <f t="shared" si="67"/>
        <v/>
      </c>
      <c r="E177" s="182">
        <f>IFERROR(COUNTIFS(CLIENTE!$BD:$BD,RESUMEN!$C177,CLIENTE!$AU:$AU,RESUMEN!E$161),0)</f>
        <v>0</v>
      </c>
      <c r="F177" s="183">
        <f>IFERROR(COUNTIFS(CLIENTE!$BD:$BD,RESUMEN!$C177,CLIENTE!$AU:$AU,RESUMEN!F$161),0)</f>
        <v>0</v>
      </c>
      <c r="G177" s="183">
        <f>IFERROR(COUNTIFS(CLIENTE!$BD:$BD,RESUMEN!$C177,CLIENTE!$AU:$AU,RESUMEN!G$161),0)</f>
        <v>0</v>
      </c>
      <c r="H177" s="183">
        <f>IFERROR(COUNTIFS(CLIENTE!$BD:$BD,RESUMEN!$C177,CLIENTE!$AU:$AU,RESUMEN!H$161),0)</f>
        <v>0</v>
      </c>
      <c r="I177" s="183">
        <f>IFERROR(COUNTIFS(CLIENTE!$BD:$BD,RESUMEN!$C177,CLIENTE!$AU:$AU,RESUMEN!I$161),0)</f>
        <v>0</v>
      </c>
      <c r="J177" s="183">
        <f>IFERROR(COUNTIFS(CLIENTE!$BD:$BD,RESUMEN!$C177,CLIENTE!$AU:$AU,RESUMEN!J$161),0)</f>
        <v>0</v>
      </c>
      <c r="K177" s="184">
        <f>IFERROR(COUNTIFS(CLIENTE!$BD:$BD,RESUMEN!$C177,CLIENTE!$AU:$AU,RESUMEN!K$161),0)</f>
        <v>0</v>
      </c>
      <c r="L177" s="185">
        <f t="shared" si="65"/>
        <v>0</v>
      </c>
      <c r="M177" s="62">
        <f>IFERROR(COUNTIFS(FACTURA!$AC:$AC,RESUMEN!M$161,FACTURA!$AA:$AA,RESUMEN!$C177,FACTURA!$AK:$AK,1),0)</f>
        <v>0</v>
      </c>
      <c r="N177" s="83">
        <f>IFERROR(COUNTIFS(FACTURA!$AC:$AC,RESUMEN!N$161,FACTURA!$AA:$AA,RESUMEN!$C177,FACTURA!$AK:$AK,1),0)</f>
        <v>0</v>
      </c>
      <c r="O177" s="83">
        <f>IFERROR(COUNTIFS(FACTURA!$AC:$AC,RESUMEN!O$161,FACTURA!$AA:$AA,RESUMEN!$C177,FACTURA!$AK:$AK,1),0)</f>
        <v>0</v>
      </c>
      <c r="P177" s="83">
        <f>IFERROR(COUNTIFS(FACTURA!$AC:$AC,RESUMEN!P$161,FACTURA!$AA:$AA,RESUMEN!$C177,FACTURA!$AK:$AK,1),0)</f>
        <v>0</v>
      </c>
      <c r="Q177" s="83">
        <f>IFERROR(COUNTIFS(FACTURA!$AC:$AC,RESUMEN!Q$161,FACTURA!$AA:$AA,RESUMEN!$C177,FACTURA!$AK:$AK,1),0)</f>
        <v>0</v>
      </c>
      <c r="R177" s="83">
        <f>IFERROR(COUNTIFS(FACTURA!$AC:$AC,RESUMEN!R$161,FACTURA!$AA:$AA,RESUMEN!$C177,FACTURA!$AK:$AK,1),0)</f>
        <v>0</v>
      </c>
      <c r="S177" s="186">
        <f>IFERROR(COUNTIFS(FACTURA!$AC:$AC,RESUMEN!S$161,FACTURA!$AA:$AA,RESUMEN!$C177,FACTURA!$AK:$AK,1),0)</f>
        <v>0</v>
      </c>
      <c r="T177" s="261">
        <f t="shared" si="66"/>
        <v>0</v>
      </c>
      <c r="U177" s="62">
        <f>IFERROR(COUNTIFS(PEDIDO!$AC:$AC,RESUMEN!M$161,PEDIDO!$AA:$AA,RESUMEN!$C177,PEDIDO!$AK:$AK,1),0)</f>
        <v>0</v>
      </c>
      <c r="V177" s="83">
        <f>IFERROR(COUNTIFS(PEDIDO!$AC:$AC,RESUMEN!N$161,PEDIDO!$AA:$AA,RESUMEN!$C177,PEDIDO!$AK:$AK,1),0)</f>
        <v>0</v>
      </c>
      <c r="W177" s="83">
        <f>IFERROR(COUNTIFS(PEDIDO!$AC:$AC,RESUMEN!O$161,PEDIDO!$AA:$AA,RESUMEN!$C177,PEDIDO!$AK:$AK,1),0)</f>
        <v>0</v>
      </c>
      <c r="X177" s="83">
        <f>IFERROR(COUNTIFS(PEDIDO!$AC:$AC,RESUMEN!P$161,PEDIDO!$AA:$AA,RESUMEN!$C177,PEDIDO!$AK:$AK,1),0)</f>
        <v>0</v>
      </c>
      <c r="Y177" s="83">
        <f>IFERROR(COUNTIFS(PEDIDO!$AC:$AC,RESUMEN!Q$161,PEDIDO!$AA:$AA,RESUMEN!$C177,PEDIDO!$AK:$AK,1),0)</f>
        <v>0</v>
      </c>
      <c r="Z177" s="83">
        <f>IFERROR(COUNTIFS(PEDIDO!$AC:$AC,RESUMEN!R$161,PEDIDO!$AA:$AA,RESUMEN!$C177,PEDIDO!$AK:$AK,1),0)</f>
        <v>0</v>
      </c>
      <c r="AA177" s="186">
        <f>IFERROR(COUNTIFS(PEDIDO!$AC:$AC,RESUMEN!S$161,PEDIDO!$AA:$AA,RESUMEN!$C177,PEDIDO!$AK:$AK,1),0)</f>
        <v>0</v>
      </c>
      <c r="AB177" s="187">
        <f t="shared" si="68"/>
        <v>0</v>
      </c>
    </row>
    <row r="178" spans="2:28" x14ac:dyDescent="0.25">
      <c r="B178" s="62">
        <f t="shared" si="67"/>
        <v>16</v>
      </c>
      <c r="C178" s="204" t="str">
        <f t="shared" si="67"/>
        <v xml:space="preserve">- </v>
      </c>
      <c r="D178" s="58" t="str">
        <f t="shared" si="67"/>
        <v/>
      </c>
      <c r="E178" s="182">
        <f>IFERROR(COUNTIFS(CLIENTE!$BD:$BD,RESUMEN!$C178,CLIENTE!$AU:$AU,RESUMEN!E$161),0)</f>
        <v>0</v>
      </c>
      <c r="F178" s="183">
        <f>IFERROR(COUNTIFS(CLIENTE!$BD:$BD,RESUMEN!$C178,CLIENTE!$AU:$AU,RESUMEN!F$161),0)</f>
        <v>0</v>
      </c>
      <c r="G178" s="183">
        <f>IFERROR(COUNTIFS(CLIENTE!$BD:$BD,RESUMEN!$C178,CLIENTE!$AU:$AU,RESUMEN!G$161),0)</f>
        <v>0</v>
      </c>
      <c r="H178" s="183">
        <f>IFERROR(COUNTIFS(CLIENTE!$BD:$BD,RESUMEN!$C178,CLIENTE!$AU:$AU,RESUMEN!H$161),0)</f>
        <v>0</v>
      </c>
      <c r="I178" s="183">
        <f>IFERROR(COUNTIFS(CLIENTE!$BD:$BD,RESUMEN!$C178,CLIENTE!$AU:$AU,RESUMEN!I$161),0)</f>
        <v>0</v>
      </c>
      <c r="J178" s="183">
        <f>IFERROR(COUNTIFS(CLIENTE!$BD:$BD,RESUMEN!$C178,CLIENTE!$AU:$AU,RESUMEN!J$161),0)</f>
        <v>0</v>
      </c>
      <c r="K178" s="184">
        <f>IFERROR(COUNTIFS(CLIENTE!$BD:$BD,RESUMEN!$C178,CLIENTE!$AU:$AU,RESUMEN!K$161),0)</f>
        <v>0</v>
      </c>
      <c r="L178" s="185">
        <f t="shared" si="65"/>
        <v>0</v>
      </c>
      <c r="M178" s="62">
        <f>IFERROR(COUNTIFS(FACTURA!$AC:$AC,RESUMEN!M$161,FACTURA!$AA:$AA,RESUMEN!$C178,FACTURA!$AK:$AK,1),0)</f>
        <v>0</v>
      </c>
      <c r="N178" s="83">
        <f>IFERROR(COUNTIFS(FACTURA!$AC:$AC,RESUMEN!N$161,FACTURA!$AA:$AA,RESUMEN!$C178,FACTURA!$AK:$AK,1),0)</f>
        <v>0</v>
      </c>
      <c r="O178" s="83">
        <f>IFERROR(COUNTIFS(FACTURA!$AC:$AC,RESUMEN!O$161,FACTURA!$AA:$AA,RESUMEN!$C178,FACTURA!$AK:$AK,1),0)</f>
        <v>0</v>
      </c>
      <c r="P178" s="83">
        <f>IFERROR(COUNTIFS(FACTURA!$AC:$AC,RESUMEN!P$161,FACTURA!$AA:$AA,RESUMEN!$C178,FACTURA!$AK:$AK,1),0)</f>
        <v>0</v>
      </c>
      <c r="Q178" s="83">
        <f>IFERROR(COUNTIFS(FACTURA!$AC:$AC,RESUMEN!Q$161,FACTURA!$AA:$AA,RESUMEN!$C178,FACTURA!$AK:$AK,1),0)</f>
        <v>0</v>
      </c>
      <c r="R178" s="83">
        <f>IFERROR(COUNTIFS(FACTURA!$AC:$AC,RESUMEN!R$161,FACTURA!$AA:$AA,RESUMEN!$C178,FACTURA!$AK:$AK,1),0)</f>
        <v>0</v>
      </c>
      <c r="S178" s="186">
        <f>IFERROR(COUNTIFS(FACTURA!$AC:$AC,RESUMEN!S$161,FACTURA!$AA:$AA,RESUMEN!$C178,FACTURA!$AK:$AK,1),0)</f>
        <v>0</v>
      </c>
      <c r="T178" s="261">
        <f t="shared" si="66"/>
        <v>0</v>
      </c>
      <c r="U178" s="62">
        <f>IFERROR(COUNTIFS(PEDIDO!$AC:$AC,RESUMEN!M$161,PEDIDO!$AA:$AA,RESUMEN!$C178,PEDIDO!$AK:$AK,1),0)</f>
        <v>0</v>
      </c>
      <c r="V178" s="83">
        <f>IFERROR(COUNTIFS(PEDIDO!$AC:$AC,RESUMEN!N$161,PEDIDO!$AA:$AA,RESUMEN!$C178,PEDIDO!$AK:$AK,1),0)</f>
        <v>0</v>
      </c>
      <c r="W178" s="83">
        <f>IFERROR(COUNTIFS(PEDIDO!$AC:$AC,RESUMEN!O$161,PEDIDO!$AA:$AA,RESUMEN!$C178,PEDIDO!$AK:$AK,1),0)</f>
        <v>0</v>
      </c>
      <c r="X178" s="83">
        <f>IFERROR(COUNTIFS(PEDIDO!$AC:$AC,RESUMEN!P$161,PEDIDO!$AA:$AA,RESUMEN!$C178,PEDIDO!$AK:$AK,1),0)</f>
        <v>0</v>
      </c>
      <c r="Y178" s="83">
        <f>IFERROR(COUNTIFS(PEDIDO!$AC:$AC,RESUMEN!Q$161,PEDIDO!$AA:$AA,RESUMEN!$C178,PEDIDO!$AK:$AK,1),0)</f>
        <v>0</v>
      </c>
      <c r="Z178" s="83">
        <f>IFERROR(COUNTIFS(PEDIDO!$AC:$AC,RESUMEN!R$161,PEDIDO!$AA:$AA,RESUMEN!$C178,PEDIDO!$AK:$AK,1),0)</f>
        <v>0</v>
      </c>
      <c r="AA178" s="186">
        <f>IFERROR(COUNTIFS(PEDIDO!$AC:$AC,RESUMEN!S$161,PEDIDO!$AA:$AA,RESUMEN!$C178,PEDIDO!$AK:$AK,1),0)</f>
        <v>0</v>
      </c>
      <c r="AB178" s="187">
        <f t="shared" si="68"/>
        <v>0</v>
      </c>
    </row>
    <row r="179" spans="2:28" x14ac:dyDescent="0.25">
      <c r="B179" s="62">
        <f t="shared" si="67"/>
        <v>17</v>
      </c>
      <c r="C179" s="204" t="str">
        <f t="shared" si="67"/>
        <v xml:space="preserve">- </v>
      </c>
      <c r="D179" s="58" t="str">
        <f t="shared" si="67"/>
        <v/>
      </c>
      <c r="E179" s="182">
        <f>IFERROR(COUNTIFS(CLIENTE!$BD:$BD,RESUMEN!$C179,CLIENTE!$AU:$AU,RESUMEN!E$161),0)</f>
        <v>0</v>
      </c>
      <c r="F179" s="183">
        <f>IFERROR(COUNTIFS(CLIENTE!$BD:$BD,RESUMEN!$C179,CLIENTE!$AU:$AU,RESUMEN!F$161),0)</f>
        <v>0</v>
      </c>
      <c r="G179" s="183">
        <f>IFERROR(COUNTIFS(CLIENTE!$BD:$BD,RESUMEN!$C179,CLIENTE!$AU:$AU,RESUMEN!G$161),0)</f>
        <v>0</v>
      </c>
      <c r="H179" s="183">
        <f>IFERROR(COUNTIFS(CLIENTE!$BD:$BD,RESUMEN!$C179,CLIENTE!$AU:$AU,RESUMEN!H$161),0)</f>
        <v>0</v>
      </c>
      <c r="I179" s="183">
        <f>IFERROR(COUNTIFS(CLIENTE!$BD:$BD,RESUMEN!$C179,CLIENTE!$AU:$AU,RESUMEN!I$161),0)</f>
        <v>0</v>
      </c>
      <c r="J179" s="183">
        <f>IFERROR(COUNTIFS(CLIENTE!$BD:$BD,RESUMEN!$C179,CLIENTE!$AU:$AU,RESUMEN!J$161),0)</f>
        <v>0</v>
      </c>
      <c r="K179" s="184">
        <f>IFERROR(COUNTIFS(CLIENTE!$BD:$BD,RESUMEN!$C179,CLIENTE!$AU:$AU,RESUMEN!K$161),0)</f>
        <v>0</v>
      </c>
      <c r="L179" s="185">
        <f t="shared" si="65"/>
        <v>0</v>
      </c>
      <c r="M179" s="62">
        <f>IFERROR(COUNTIFS(FACTURA!$AC:$AC,RESUMEN!M$161,FACTURA!$AA:$AA,RESUMEN!$C179,FACTURA!$AK:$AK,1),0)</f>
        <v>0</v>
      </c>
      <c r="N179" s="83">
        <f>IFERROR(COUNTIFS(FACTURA!$AC:$AC,RESUMEN!N$161,FACTURA!$AA:$AA,RESUMEN!$C179,FACTURA!$AK:$AK,1),0)</f>
        <v>0</v>
      </c>
      <c r="O179" s="83">
        <f>IFERROR(COUNTIFS(FACTURA!$AC:$AC,RESUMEN!O$161,FACTURA!$AA:$AA,RESUMEN!$C179,FACTURA!$AK:$AK,1),0)</f>
        <v>0</v>
      </c>
      <c r="P179" s="83">
        <f>IFERROR(COUNTIFS(FACTURA!$AC:$AC,RESUMEN!P$161,FACTURA!$AA:$AA,RESUMEN!$C179,FACTURA!$AK:$AK,1),0)</f>
        <v>0</v>
      </c>
      <c r="Q179" s="83">
        <f>IFERROR(COUNTIFS(FACTURA!$AC:$AC,RESUMEN!Q$161,FACTURA!$AA:$AA,RESUMEN!$C179,FACTURA!$AK:$AK,1),0)</f>
        <v>0</v>
      </c>
      <c r="R179" s="83">
        <f>IFERROR(COUNTIFS(FACTURA!$AC:$AC,RESUMEN!R$161,FACTURA!$AA:$AA,RESUMEN!$C179,FACTURA!$AK:$AK,1),0)</f>
        <v>0</v>
      </c>
      <c r="S179" s="186">
        <f>IFERROR(COUNTIFS(FACTURA!$AC:$AC,RESUMEN!S$161,FACTURA!$AA:$AA,RESUMEN!$C179,FACTURA!$AK:$AK,1),0)</f>
        <v>0</v>
      </c>
      <c r="T179" s="261">
        <f t="shared" si="66"/>
        <v>0</v>
      </c>
      <c r="U179" s="62">
        <f>IFERROR(COUNTIFS(PEDIDO!$AC:$AC,RESUMEN!M$161,PEDIDO!$AA:$AA,RESUMEN!$C179,PEDIDO!$AK:$AK,1),0)</f>
        <v>0</v>
      </c>
      <c r="V179" s="83">
        <f>IFERROR(COUNTIFS(PEDIDO!$AC:$AC,RESUMEN!N$161,PEDIDO!$AA:$AA,RESUMEN!$C179,PEDIDO!$AK:$AK,1),0)</f>
        <v>0</v>
      </c>
      <c r="W179" s="83">
        <f>IFERROR(COUNTIFS(PEDIDO!$AC:$AC,RESUMEN!O$161,PEDIDO!$AA:$AA,RESUMEN!$C179,PEDIDO!$AK:$AK,1),0)</f>
        <v>0</v>
      </c>
      <c r="X179" s="83">
        <f>IFERROR(COUNTIFS(PEDIDO!$AC:$AC,RESUMEN!P$161,PEDIDO!$AA:$AA,RESUMEN!$C179,PEDIDO!$AK:$AK,1),0)</f>
        <v>0</v>
      </c>
      <c r="Y179" s="83">
        <f>IFERROR(COUNTIFS(PEDIDO!$AC:$AC,RESUMEN!Q$161,PEDIDO!$AA:$AA,RESUMEN!$C179,PEDIDO!$AK:$AK,1),0)</f>
        <v>0</v>
      </c>
      <c r="Z179" s="83">
        <f>IFERROR(COUNTIFS(PEDIDO!$AC:$AC,RESUMEN!R$161,PEDIDO!$AA:$AA,RESUMEN!$C179,PEDIDO!$AK:$AK,1),0)</f>
        <v>0</v>
      </c>
      <c r="AA179" s="186">
        <f>IFERROR(COUNTIFS(PEDIDO!$AC:$AC,RESUMEN!S$161,PEDIDO!$AA:$AA,RESUMEN!$C179,PEDIDO!$AK:$AK,1),0)</f>
        <v>0</v>
      </c>
      <c r="AB179" s="187">
        <f t="shared" si="68"/>
        <v>0</v>
      </c>
    </row>
    <row r="180" spans="2:28" x14ac:dyDescent="0.25">
      <c r="B180" s="62">
        <f t="shared" si="67"/>
        <v>18</v>
      </c>
      <c r="C180" s="204" t="str">
        <f t="shared" si="67"/>
        <v xml:space="preserve">- </v>
      </c>
      <c r="D180" s="58" t="str">
        <f t="shared" si="67"/>
        <v/>
      </c>
      <c r="E180" s="182">
        <f>IFERROR(COUNTIFS(CLIENTE!$BD:$BD,RESUMEN!$C180,CLIENTE!$AU:$AU,RESUMEN!E$161),0)</f>
        <v>0</v>
      </c>
      <c r="F180" s="183">
        <f>IFERROR(COUNTIFS(CLIENTE!$BD:$BD,RESUMEN!$C180,CLIENTE!$AU:$AU,RESUMEN!F$161),0)</f>
        <v>0</v>
      </c>
      <c r="G180" s="183">
        <f>IFERROR(COUNTIFS(CLIENTE!$BD:$BD,RESUMEN!$C180,CLIENTE!$AU:$AU,RESUMEN!G$161),0)</f>
        <v>0</v>
      </c>
      <c r="H180" s="183">
        <f>IFERROR(COUNTIFS(CLIENTE!$BD:$BD,RESUMEN!$C180,CLIENTE!$AU:$AU,RESUMEN!H$161),0)</f>
        <v>0</v>
      </c>
      <c r="I180" s="183">
        <f>IFERROR(COUNTIFS(CLIENTE!$BD:$BD,RESUMEN!$C180,CLIENTE!$AU:$AU,RESUMEN!I$161),0)</f>
        <v>0</v>
      </c>
      <c r="J180" s="183">
        <f>IFERROR(COUNTIFS(CLIENTE!$BD:$BD,RESUMEN!$C180,CLIENTE!$AU:$AU,RESUMEN!J$161),0)</f>
        <v>0</v>
      </c>
      <c r="K180" s="184">
        <f>IFERROR(COUNTIFS(CLIENTE!$BD:$BD,RESUMEN!$C180,CLIENTE!$AU:$AU,RESUMEN!K$161),0)</f>
        <v>0</v>
      </c>
      <c r="L180" s="185">
        <f t="shared" si="65"/>
        <v>0</v>
      </c>
      <c r="M180" s="62">
        <f>IFERROR(COUNTIFS(FACTURA!$AC:$AC,RESUMEN!M$161,FACTURA!$AA:$AA,RESUMEN!$C180,FACTURA!$AK:$AK,1),0)</f>
        <v>0</v>
      </c>
      <c r="N180" s="83">
        <f>IFERROR(COUNTIFS(FACTURA!$AC:$AC,RESUMEN!N$161,FACTURA!$AA:$AA,RESUMEN!$C180,FACTURA!$AK:$AK,1),0)</f>
        <v>0</v>
      </c>
      <c r="O180" s="83">
        <f>IFERROR(COUNTIFS(FACTURA!$AC:$AC,RESUMEN!O$161,FACTURA!$AA:$AA,RESUMEN!$C180,FACTURA!$AK:$AK,1),0)</f>
        <v>0</v>
      </c>
      <c r="P180" s="83">
        <f>IFERROR(COUNTIFS(FACTURA!$AC:$AC,RESUMEN!P$161,FACTURA!$AA:$AA,RESUMEN!$C180,FACTURA!$AK:$AK,1),0)</f>
        <v>0</v>
      </c>
      <c r="Q180" s="83">
        <f>IFERROR(COUNTIFS(FACTURA!$AC:$AC,RESUMEN!Q$161,FACTURA!$AA:$AA,RESUMEN!$C180,FACTURA!$AK:$AK,1),0)</f>
        <v>0</v>
      </c>
      <c r="R180" s="83">
        <f>IFERROR(COUNTIFS(FACTURA!$AC:$AC,RESUMEN!R$161,FACTURA!$AA:$AA,RESUMEN!$C180,FACTURA!$AK:$AK,1),0)</f>
        <v>0</v>
      </c>
      <c r="S180" s="186">
        <f>IFERROR(COUNTIFS(FACTURA!$AC:$AC,RESUMEN!S$161,FACTURA!$AA:$AA,RESUMEN!$C180,FACTURA!$AK:$AK,1),0)</f>
        <v>0</v>
      </c>
      <c r="T180" s="261">
        <f t="shared" si="66"/>
        <v>0</v>
      </c>
      <c r="U180" s="62">
        <f>IFERROR(COUNTIFS(PEDIDO!$AC:$AC,RESUMEN!M$161,PEDIDO!$AA:$AA,RESUMEN!$C180,PEDIDO!$AK:$AK,1),0)</f>
        <v>0</v>
      </c>
      <c r="V180" s="83">
        <f>IFERROR(COUNTIFS(PEDIDO!$AC:$AC,RESUMEN!N$161,PEDIDO!$AA:$AA,RESUMEN!$C180,PEDIDO!$AK:$AK,1),0)</f>
        <v>0</v>
      </c>
      <c r="W180" s="83">
        <f>IFERROR(COUNTIFS(PEDIDO!$AC:$AC,RESUMEN!O$161,PEDIDO!$AA:$AA,RESUMEN!$C180,PEDIDO!$AK:$AK,1),0)</f>
        <v>0</v>
      </c>
      <c r="X180" s="83">
        <f>IFERROR(COUNTIFS(PEDIDO!$AC:$AC,RESUMEN!P$161,PEDIDO!$AA:$AA,RESUMEN!$C180,PEDIDO!$AK:$AK,1),0)</f>
        <v>0</v>
      </c>
      <c r="Y180" s="83">
        <f>IFERROR(COUNTIFS(PEDIDO!$AC:$AC,RESUMEN!Q$161,PEDIDO!$AA:$AA,RESUMEN!$C180,PEDIDO!$AK:$AK,1),0)</f>
        <v>0</v>
      </c>
      <c r="Z180" s="83">
        <f>IFERROR(COUNTIFS(PEDIDO!$AC:$AC,RESUMEN!R$161,PEDIDO!$AA:$AA,RESUMEN!$C180,PEDIDO!$AK:$AK,1),0)</f>
        <v>0</v>
      </c>
      <c r="AA180" s="186">
        <f>IFERROR(COUNTIFS(PEDIDO!$AC:$AC,RESUMEN!S$161,PEDIDO!$AA:$AA,RESUMEN!$C180,PEDIDO!$AK:$AK,1),0)</f>
        <v>0</v>
      </c>
      <c r="AB180" s="187">
        <f t="shared" si="68"/>
        <v>0</v>
      </c>
    </row>
    <row r="181" spans="2:28" x14ac:dyDescent="0.25">
      <c r="B181" s="62">
        <f t="shared" si="67"/>
        <v>19</v>
      </c>
      <c r="C181" s="204" t="str">
        <f t="shared" si="67"/>
        <v xml:space="preserve">- </v>
      </c>
      <c r="D181" s="58" t="str">
        <f t="shared" si="67"/>
        <v/>
      </c>
      <c r="E181" s="182">
        <f>IFERROR(COUNTIFS(CLIENTE!$BD:$BD,RESUMEN!$C181,CLIENTE!$AU:$AU,RESUMEN!E$161),0)</f>
        <v>0</v>
      </c>
      <c r="F181" s="183">
        <f>IFERROR(COUNTIFS(CLIENTE!$BD:$BD,RESUMEN!$C181,CLIENTE!$AU:$AU,RESUMEN!F$161),0)</f>
        <v>0</v>
      </c>
      <c r="G181" s="183">
        <f>IFERROR(COUNTIFS(CLIENTE!$BD:$BD,RESUMEN!$C181,CLIENTE!$AU:$AU,RESUMEN!G$161),0)</f>
        <v>0</v>
      </c>
      <c r="H181" s="183">
        <f>IFERROR(COUNTIFS(CLIENTE!$BD:$BD,RESUMEN!$C181,CLIENTE!$AU:$AU,RESUMEN!H$161),0)</f>
        <v>0</v>
      </c>
      <c r="I181" s="183">
        <f>IFERROR(COUNTIFS(CLIENTE!$BD:$BD,RESUMEN!$C181,CLIENTE!$AU:$AU,RESUMEN!I$161),0)</f>
        <v>0</v>
      </c>
      <c r="J181" s="183">
        <f>IFERROR(COUNTIFS(CLIENTE!$BD:$BD,RESUMEN!$C181,CLIENTE!$AU:$AU,RESUMEN!J$161),0)</f>
        <v>0</v>
      </c>
      <c r="K181" s="184">
        <f>IFERROR(COUNTIFS(CLIENTE!$BD:$BD,RESUMEN!$C181,CLIENTE!$AU:$AU,RESUMEN!K$161),0)</f>
        <v>0</v>
      </c>
      <c r="L181" s="185">
        <f t="shared" si="65"/>
        <v>0</v>
      </c>
      <c r="M181" s="62">
        <f>IFERROR(COUNTIFS(FACTURA!$AC:$AC,RESUMEN!M$161,FACTURA!$AA:$AA,RESUMEN!$C181,FACTURA!$AK:$AK,1),0)</f>
        <v>0</v>
      </c>
      <c r="N181" s="83">
        <f>IFERROR(COUNTIFS(FACTURA!$AC:$AC,RESUMEN!N$161,FACTURA!$AA:$AA,RESUMEN!$C181,FACTURA!$AK:$AK,1),0)</f>
        <v>0</v>
      </c>
      <c r="O181" s="83">
        <f>IFERROR(COUNTIFS(FACTURA!$AC:$AC,RESUMEN!O$161,FACTURA!$AA:$AA,RESUMEN!$C181,FACTURA!$AK:$AK,1),0)</f>
        <v>0</v>
      </c>
      <c r="P181" s="83">
        <f>IFERROR(COUNTIFS(FACTURA!$AC:$AC,RESUMEN!P$161,FACTURA!$AA:$AA,RESUMEN!$C181,FACTURA!$AK:$AK,1),0)</f>
        <v>0</v>
      </c>
      <c r="Q181" s="83">
        <f>IFERROR(COUNTIFS(FACTURA!$AC:$AC,RESUMEN!Q$161,FACTURA!$AA:$AA,RESUMEN!$C181,FACTURA!$AK:$AK,1),0)</f>
        <v>0</v>
      </c>
      <c r="R181" s="83">
        <f>IFERROR(COUNTIFS(FACTURA!$AC:$AC,RESUMEN!R$161,FACTURA!$AA:$AA,RESUMEN!$C181,FACTURA!$AK:$AK,1),0)</f>
        <v>0</v>
      </c>
      <c r="S181" s="186">
        <f>IFERROR(COUNTIFS(FACTURA!$AC:$AC,RESUMEN!S$161,FACTURA!$AA:$AA,RESUMEN!$C181,FACTURA!$AK:$AK,1),0)</f>
        <v>0</v>
      </c>
      <c r="T181" s="261">
        <f t="shared" si="66"/>
        <v>0</v>
      </c>
      <c r="U181" s="62">
        <f>IFERROR(COUNTIFS(PEDIDO!$AC:$AC,RESUMEN!M$161,PEDIDO!$AA:$AA,RESUMEN!$C181,PEDIDO!$AK:$AK,1),0)</f>
        <v>0</v>
      </c>
      <c r="V181" s="83">
        <f>IFERROR(COUNTIFS(PEDIDO!$AC:$AC,RESUMEN!N$161,PEDIDO!$AA:$AA,RESUMEN!$C181,PEDIDO!$AK:$AK,1),0)</f>
        <v>0</v>
      </c>
      <c r="W181" s="83">
        <f>IFERROR(COUNTIFS(PEDIDO!$AC:$AC,RESUMEN!O$161,PEDIDO!$AA:$AA,RESUMEN!$C181,PEDIDO!$AK:$AK,1),0)</f>
        <v>0</v>
      </c>
      <c r="X181" s="83">
        <f>IFERROR(COUNTIFS(PEDIDO!$AC:$AC,RESUMEN!P$161,PEDIDO!$AA:$AA,RESUMEN!$C181,PEDIDO!$AK:$AK,1),0)</f>
        <v>0</v>
      </c>
      <c r="Y181" s="83">
        <f>IFERROR(COUNTIFS(PEDIDO!$AC:$AC,RESUMEN!Q$161,PEDIDO!$AA:$AA,RESUMEN!$C181,PEDIDO!$AK:$AK,1),0)</f>
        <v>0</v>
      </c>
      <c r="Z181" s="83">
        <f>IFERROR(COUNTIFS(PEDIDO!$AC:$AC,RESUMEN!R$161,PEDIDO!$AA:$AA,RESUMEN!$C181,PEDIDO!$AK:$AK,1),0)</f>
        <v>0</v>
      </c>
      <c r="AA181" s="186">
        <f>IFERROR(COUNTIFS(PEDIDO!$AC:$AC,RESUMEN!S$161,PEDIDO!$AA:$AA,RESUMEN!$C181,PEDIDO!$AK:$AK,1),0)</f>
        <v>0</v>
      </c>
      <c r="AB181" s="187">
        <f t="shared" si="68"/>
        <v>0</v>
      </c>
    </row>
    <row r="182" spans="2:28" x14ac:dyDescent="0.25">
      <c r="B182" s="63">
        <f>B140</f>
        <v>20</v>
      </c>
      <c r="C182" s="205" t="str">
        <f>C140</f>
        <v xml:space="preserve">- </v>
      </c>
      <c r="D182" s="60" t="str">
        <f>D140</f>
        <v/>
      </c>
      <c r="E182" s="188">
        <f>IFERROR(COUNTIFS(CLIENTE!$BD:$BD,RESUMEN!$C182,CLIENTE!$AU:$AU,RESUMEN!E$161),0)</f>
        <v>0</v>
      </c>
      <c r="F182" s="189">
        <f>IFERROR(COUNTIFS(CLIENTE!$BD:$BD,RESUMEN!$C182,CLIENTE!$AU:$AU,RESUMEN!F$161),0)</f>
        <v>0</v>
      </c>
      <c r="G182" s="189">
        <f>IFERROR(COUNTIFS(CLIENTE!$BD:$BD,RESUMEN!$C182,CLIENTE!$AU:$AU,RESUMEN!G$161),0)</f>
        <v>0</v>
      </c>
      <c r="H182" s="189">
        <f>IFERROR(COUNTIFS(CLIENTE!$BD:$BD,RESUMEN!$C182,CLIENTE!$AU:$AU,RESUMEN!H$161),0)</f>
        <v>0</v>
      </c>
      <c r="I182" s="189">
        <f>IFERROR(COUNTIFS(CLIENTE!$BD:$BD,RESUMEN!$C182,CLIENTE!$AU:$AU,RESUMEN!I$161),0)</f>
        <v>0</v>
      </c>
      <c r="J182" s="189">
        <f>IFERROR(COUNTIFS(CLIENTE!$BD:$BD,RESUMEN!$C182,CLIENTE!$AU:$AU,RESUMEN!J$161),0)</f>
        <v>0</v>
      </c>
      <c r="K182" s="190">
        <f>IFERROR(COUNTIFS(CLIENTE!$BD:$BD,RESUMEN!$C182,CLIENTE!$AU:$AU,RESUMEN!K$161),0)</f>
        <v>0</v>
      </c>
      <c r="L182" s="191">
        <f t="shared" si="65"/>
        <v>0</v>
      </c>
      <c r="M182" s="63">
        <f>IFERROR(COUNTIFS(FACTURA!$AC:$AC,RESUMEN!M$161,FACTURA!$AA:$AA,RESUMEN!$C182,FACTURA!$AK:$AK,1),0)</f>
        <v>0</v>
      </c>
      <c r="N182" s="192">
        <f>IFERROR(COUNTIFS(FACTURA!$AC:$AC,RESUMEN!N$161,FACTURA!$AA:$AA,RESUMEN!$C182,FACTURA!$AK:$AK,1),0)</f>
        <v>0</v>
      </c>
      <c r="O182" s="192">
        <f>IFERROR(COUNTIFS(FACTURA!$AC:$AC,RESUMEN!O$161,FACTURA!$AA:$AA,RESUMEN!$C182,FACTURA!$AK:$AK,1),0)</f>
        <v>0</v>
      </c>
      <c r="P182" s="192">
        <f>IFERROR(COUNTIFS(FACTURA!$AC:$AC,RESUMEN!P$161,FACTURA!$AA:$AA,RESUMEN!$C182,FACTURA!$AK:$AK,1),0)</f>
        <v>0</v>
      </c>
      <c r="Q182" s="192">
        <f>IFERROR(COUNTIFS(FACTURA!$AC:$AC,RESUMEN!Q$161,FACTURA!$AA:$AA,RESUMEN!$C182,FACTURA!$AK:$AK,1),0)</f>
        <v>0</v>
      </c>
      <c r="R182" s="192">
        <f>IFERROR(COUNTIFS(FACTURA!$AC:$AC,RESUMEN!R$161,FACTURA!$AA:$AA,RESUMEN!$C182,FACTURA!$AK:$AK,1),0)</f>
        <v>0</v>
      </c>
      <c r="S182" s="193">
        <f>IFERROR(COUNTIFS(FACTURA!$AC:$AC,RESUMEN!S$161,FACTURA!$AA:$AA,RESUMEN!$C182,FACTURA!$AK:$AK,1),0)</f>
        <v>0</v>
      </c>
      <c r="T182" s="262">
        <f t="shared" si="66"/>
        <v>0</v>
      </c>
      <c r="U182" s="63">
        <f>IFERROR(COUNTIFS(PEDIDO!$AC:$AC,RESUMEN!M$161,PEDIDO!$AA:$AA,RESUMEN!$C182,PEDIDO!$AK:$AK,1),0)</f>
        <v>0</v>
      </c>
      <c r="V182" s="192">
        <f>IFERROR(COUNTIFS(PEDIDO!$AC:$AC,RESUMEN!N$161,PEDIDO!$AA:$AA,RESUMEN!$C182,PEDIDO!$AK:$AK,1),0)</f>
        <v>0</v>
      </c>
      <c r="W182" s="192">
        <f>IFERROR(COUNTIFS(PEDIDO!$AC:$AC,RESUMEN!O$161,PEDIDO!$AA:$AA,RESUMEN!$C182,PEDIDO!$AK:$AK,1),0)</f>
        <v>0</v>
      </c>
      <c r="X182" s="192">
        <f>IFERROR(COUNTIFS(PEDIDO!$AC:$AC,RESUMEN!P$161,PEDIDO!$AA:$AA,RESUMEN!$C182,PEDIDO!$AK:$AK,1),0)</f>
        <v>0</v>
      </c>
      <c r="Y182" s="192">
        <f>IFERROR(COUNTIFS(PEDIDO!$AC:$AC,RESUMEN!Q$161,PEDIDO!$AA:$AA,RESUMEN!$C182,PEDIDO!$AK:$AK,1),0)</f>
        <v>0</v>
      </c>
      <c r="Z182" s="192">
        <f>IFERROR(COUNTIFS(PEDIDO!$AC:$AC,RESUMEN!R$161,PEDIDO!$AA:$AA,RESUMEN!$C182,PEDIDO!$AK:$AK,1),0)</f>
        <v>0</v>
      </c>
      <c r="AA182" s="193">
        <f>IFERROR(COUNTIFS(PEDIDO!$AC:$AC,RESUMEN!S$161,PEDIDO!$AA:$AA,RESUMEN!$C182,PEDIDO!$AK:$AK,1),0)</f>
        <v>0</v>
      </c>
      <c r="AB182" s="262">
        <f t="shared" si="68"/>
        <v>0</v>
      </c>
    </row>
    <row r="183" spans="2:28" x14ac:dyDescent="0.25">
      <c r="B183" s="83"/>
      <c r="C183" s="204"/>
      <c r="D183" s="18"/>
      <c r="E183" s="18"/>
      <c r="J183" s="228"/>
      <c r="K183" s="7"/>
    </row>
    <row r="184" spans="2:28" x14ac:dyDescent="0.25">
      <c r="B184" s="6" t="s">
        <v>141</v>
      </c>
      <c r="C184" s="200"/>
      <c r="D184" s="18"/>
      <c r="E184" s="18"/>
      <c r="J184" s="228"/>
      <c r="K184" s="7"/>
    </row>
    <row r="185" spans="2:28" x14ac:dyDescent="0.25">
      <c r="F185" s="367" t="s">
        <v>93</v>
      </c>
      <c r="G185" s="367"/>
      <c r="H185" s="367"/>
      <c r="I185" s="367"/>
      <c r="J185" s="367"/>
      <c r="K185" s="367"/>
      <c r="L185" s="367"/>
      <c r="M185" s="367"/>
      <c r="N185" s="367" t="s">
        <v>94</v>
      </c>
      <c r="O185" s="367"/>
      <c r="P185" s="367"/>
      <c r="Q185" s="367"/>
      <c r="R185" s="367"/>
      <c r="S185" s="367"/>
      <c r="T185" s="367"/>
      <c r="U185" s="367"/>
    </row>
    <row r="186" spans="2:28" ht="15" customHeight="1" x14ac:dyDescent="0.25">
      <c r="E186" s="383" t="s">
        <v>134</v>
      </c>
      <c r="F186" s="419" t="s">
        <v>92</v>
      </c>
      <c r="G186" s="376" t="s">
        <v>99</v>
      </c>
      <c r="H186" s="377"/>
      <c r="I186" s="378"/>
      <c r="J186" s="383" t="s">
        <v>100</v>
      </c>
      <c r="K186" s="374" t="s">
        <v>96</v>
      </c>
      <c r="L186" s="370" t="s">
        <v>95</v>
      </c>
      <c r="M186" s="372" t="s">
        <v>136</v>
      </c>
      <c r="N186" s="370" t="s">
        <v>92</v>
      </c>
      <c r="O186" s="376" t="s">
        <v>99</v>
      </c>
      <c r="P186" s="377"/>
      <c r="Q186" s="378"/>
      <c r="R186" s="384" t="s">
        <v>100</v>
      </c>
      <c r="S186" s="370" t="s">
        <v>96</v>
      </c>
      <c r="T186" s="370" t="s">
        <v>95</v>
      </c>
      <c r="U186" s="372" t="s">
        <v>136</v>
      </c>
    </row>
    <row r="187" spans="2:28" x14ac:dyDescent="0.25">
      <c r="E187" s="384"/>
      <c r="F187" s="370"/>
      <c r="G187" s="23" t="s">
        <v>97</v>
      </c>
      <c r="H187" s="23" t="s">
        <v>98</v>
      </c>
      <c r="I187" s="251" t="s">
        <v>215</v>
      </c>
      <c r="J187" s="384"/>
      <c r="K187" s="375"/>
      <c r="L187" s="371"/>
      <c r="M187" s="373"/>
      <c r="N187" s="371"/>
      <c r="O187" s="252" t="s">
        <v>97</v>
      </c>
      <c r="P187" s="252" t="s">
        <v>98</v>
      </c>
      <c r="Q187" s="251" t="s">
        <v>215</v>
      </c>
      <c r="R187" s="413"/>
      <c r="S187" s="371"/>
      <c r="T187" s="371"/>
      <c r="U187" s="373"/>
    </row>
    <row r="188" spans="2:28" x14ac:dyDescent="0.25">
      <c r="D188" s="13" t="s">
        <v>70</v>
      </c>
      <c r="E188" s="263">
        <f>IFERROR(COUNTIF(CLIENTE!$AU:$AU,RESUMEN!D188),0)</f>
        <v>0</v>
      </c>
      <c r="F188" s="259">
        <f>IFERROR(SUMIFS(FACTURA!$S:$S,FACTURA!$AC:$AC,RESUMEN!D188),0)</f>
        <v>0</v>
      </c>
      <c r="G188" s="34">
        <f>IFERROR(SUMIFS(FACTURA!$T:$T,FACTURA!$AC:$AC,RESUMEN!D188,FACTURA!$AF:$AF,$G$187),0)</f>
        <v>0</v>
      </c>
      <c r="H188" s="35">
        <f>IFERROR(SUMIFS(FACTURA!$T:$T,FACTURA!$AC:$AC,RESUMEN!D188,FACTURA!$AF:$AF,$H$187),0)</f>
        <v>0</v>
      </c>
      <c r="I188" s="35">
        <f>IFERROR(SUMIFS(FACTURA!$T:$T,FACTURA!$AC:$AC,RESUMEN!D188,FACTURA!$AF:$AF,$I$187),0)</f>
        <v>0</v>
      </c>
      <c r="J188" s="35">
        <f>SUM(G188:I188)</f>
        <v>0</v>
      </c>
      <c r="K188" s="229" t="str">
        <f t="shared" ref="K188:K194" si="69">IFERROR(J188/F188,"")</f>
        <v/>
      </c>
      <c r="L188" s="268" t="str">
        <f>IFERROR(J188/$J$195,"")</f>
        <v/>
      </c>
      <c r="M188" s="73">
        <f>IFERROR(COUNTIFS(FACTURA!$AC:$AC,RESUMEN!$D188,FACTURA!$AK:$AK,1),0)</f>
        <v>0</v>
      </c>
      <c r="N188" s="259">
        <f>IFERROR(SUMIFS(PEDIDO!$S:$S,PEDIDO!$AC:$AC,RESUMEN!D188),0)</f>
        <v>0</v>
      </c>
      <c r="O188" s="34">
        <f>IFERROR(SUMIFS(PEDIDO!$T:$T,PEDIDO!$AC:$AC,RESUMEN!D188,PEDIDO!$AF:$AF,$O$187),0)</f>
        <v>0</v>
      </c>
      <c r="P188" s="35">
        <f>IFERROR(SUMIFS(PEDIDO!$T:$T,PEDIDO!$AC:$AC,RESUMEN!D188,PEDIDO!$AF:$AF,$P$187),0)</f>
        <v>0</v>
      </c>
      <c r="Q188" s="35">
        <f>IFERROR(SUMIFS(PEDIDO!$T:$T,PEDIDO!$AC:$AC,RESUMEN!D188,PEDIDO!$AF:$AF,$Q$187),0)</f>
        <v>0</v>
      </c>
      <c r="R188" s="35">
        <f>SUM(O188:Q188)</f>
        <v>0</v>
      </c>
      <c r="S188" s="43" t="str">
        <f t="shared" ref="S188:S194" si="70">IFERROR(R188/N188,"")</f>
        <v/>
      </c>
      <c r="T188" s="268" t="str">
        <f>IFERROR(R188/R$195,"")</f>
        <v/>
      </c>
      <c r="U188" s="73">
        <f>IFERROR(COUNTIFS(PEDIDO!$AC:$AC,RESUMEN!$D188,PEDIDO!$AK:$AK,1),0)</f>
        <v>0</v>
      </c>
    </row>
    <row r="189" spans="2:28" x14ac:dyDescent="0.25">
      <c r="D189" s="46" t="s">
        <v>74</v>
      </c>
      <c r="E189" s="264">
        <f>IFERROR(COUNTIF(CLIENTE!$AU:$AU,RESUMEN!D189),0)</f>
        <v>0</v>
      </c>
      <c r="F189" s="159">
        <f>IFERROR(SUMIFS(FACTURA!$S:$S,FACTURA!$AC:$AC,RESUMEN!D189),0)</f>
        <v>0</v>
      </c>
      <c r="G189" s="36">
        <f>IFERROR(SUMIFS(FACTURA!$T:$T,FACTURA!$AC:$AC,RESUMEN!D189,FACTURA!$AF:$AF,$G$187),0)</f>
        <v>0</v>
      </c>
      <c r="H189" s="31">
        <f>IFERROR(SUMIFS(FACTURA!$T:$T,FACTURA!$AC:$AC,RESUMEN!D189,FACTURA!$AF:$AF,$H$187),0)</f>
        <v>0</v>
      </c>
      <c r="I189" s="31">
        <f>IFERROR(SUMIFS(FACTURA!$T:$T,FACTURA!$AC:$AC,RESUMEN!D189,FACTURA!$AF:$AF,$I$187),0)</f>
        <v>0</v>
      </c>
      <c r="J189" s="31">
        <f t="shared" ref="J189:J194" si="71">SUM(G189:I189)</f>
        <v>0</v>
      </c>
      <c r="K189" s="230" t="str">
        <f t="shared" si="69"/>
        <v/>
      </c>
      <c r="L189" s="269" t="str">
        <f>IFERROR(J189/$J$195,"")</f>
        <v/>
      </c>
      <c r="M189" s="73">
        <f>IFERROR(COUNTIFS(FACTURA!$AC:$AC,RESUMEN!$D189,FACTURA!$AK:$AK,1),0)</f>
        <v>0</v>
      </c>
      <c r="N189" s="159">
        <f>IFERROR(SUMIFS(PEDIDO!$S:$S,PEDIDO!$AC:$AC,RESUMEN!D189),0)</f>
        <v>0</v>
      </c>
      <c r="O189" s="36">
        <f>IFERROR(SUMIFS(PEDIDO!$T:$T,PEDIDO!$AC:$AC,RESUMEN!D189,PEDIDO!$AF:$AF,$O$187),0)</f>
        <v>0</v>
      </c>
      <c r="P189" s="31">
        <f>IFERROR(SUMIFS(PEDIDO!$T:$T,PEDIDO!$AC:$AC,RESUMEN!D189,PEDIDO!$AF:$AF,$P$187),0)</f>
        <v>0</v>
      </c>
      <c r="Q189" s="31">
        <f>IFERROR(SUMIFS(PEDIDO!$T:$T,PEDIDO!$AC:$AC,RESUMEN!D189,PEDIDO!$AF:$AF,$Q$187),0)</f>
        <v>0</v>
      </c>
      <c r="R189" s="31">
        <f t="shared" ref="R189:R194" si="72">SUM(O189:Q189)</f>
        <v>0</v>
      </c>
      <c r="S189" s="33" t="str">
        <f t="shared" si="70"/>
        <v/>
      </c>
      <c r="T189" s="269" t="str">
        <f>IFERROR(R189/R$195,"")</f>
        <v/>
      </c>
      <c r="U189" s="73">
        <f>IFERROR(COUNTIFS(PEDIDO!$AC:$AC,RESUMEN!$D189,PEDIDO!$AK:$AK,1),0)</f>
        <v>0</v>
      </c>
    </row>
    <row r="190" spans="2:28" x14ac:dyDescent="0.25">
      <c r="D190" s="46" t="s">
        <v>71</v>
      </c>
      <c r="E190" s="264">
        <f>IFERROR(COUNTIF(CLIENTE!$AU:$AU,RESUMEN!D190),0)</f>
        <v>0</v>
      </c>
      <c r="F190" s="159">
        <f>IFERROR(SUMIFS(FACTURA!$S:$S,FACTURA!$AC:$AC,RESUMEN!D190),0)</f>
        <v>0</v>
      </c>
      <c r="G190" s="36">
        <f>IFERROR(SUMIFS(FACTURA!$T:$T,FACTURA!$AC:$AC,RESUMEN!D190,FACTURA!$AF:$AF,$G$187),0)</f>
        <v>0</v>
      </c>
      <c r="H190" s="31">
        <f>IFERROR(SUMIFS(FACTURA!$T:$T,FACTURA!$AC:$AC,RESUMEN!D190,FACTURA!$AF:$AF,$H$187),0)</f>
        <v>0</v>
      </c>
      <c r="I190" s="31">
        <f>IFERROR(SUMIFS(FACTURA!$T:$T,FACTURA!$AC:$AC,RESUMEN!D190,FACTURA!$AF:$AF,$I$187),0)</f>
        <v>0</v>
      </c>
      <c r="J190" s="31">
        <f t="shared" si="71"/>
        <v>0</v>
      </c>
      <c r="K190" s="230" t="str">
        <f t="shared" si="69"/>
        <v/>
      </c>
      <c r="L190" s="269" t="str">
        <f t="shared" ref="L190:L194" si="73">IFERROR(J190/$J$195,"")</f>
        <v/>
      </c>
      <c r="M190" s="73">
        <f>IFERROR(COUNTIFS(FACTURA!$AC:$AC,RESUMEN!$D190,FACTURA!$AK:$AK,1),0)</f>
        <v>0</v>
      </c>
      <c r="N190" s="159">
        <f>IFERROR(SUMIFS(PEDIDO!$S:$S,PEDIDO!$AC:$AC,RESUMEN!D190),0)</f>
        <v>0</v>
      </c>
      <c r="O190" s="36">
        <f>IFERROR(SUMIFS(PEDIDO!$T:$T,PEDIDO!$AC:$AC,RESUMEN!D190,PEDIDO!$AF:$AF,$O$187),0)</f>
        <v>0</v>
      </c>
      <c r="P190" s="31">
        <f>IFERROR(SUMIFS(PEDIDO!$T:$T,PEDIDO!$AC:$AC,RESUMEN!D190,PEDIDO!$AF:$AF,$P$187),0)</f>
        <v>0</v>
      </c>
      <c r="Q190" s="31">
        <f>IFERROR(SUMIFS(PEDIDO!$T:$T,PEDIDO!$AC:$AC,RESUMEN!D190,PEDIDO!$AF:$AF,$Q$187),0)</f>
        <v>0</v>
      </c>
      <c r="R190" s="31">
        <f t="shared" si="72"/>
        <v>0</v>
      </c>
      <c r="S190" s="33" t="str">
        <f t="shared" si="70"/>
        <v/>
      </c>
      <c r="T190" s="269" t="str">
        <f t="shared" ref="T190:T194" si="74">IFERROR(R190/R$195,"")</f>
        <v/>
      </c>
      <c r="U190" s="73">
        <f>IFERROR(COUNTIFS(PEDIDO!$AC:$AC,RESUMEN!$D190,PEDIDO!$AK:$AK,1),0)</f>
        <v>0</v>
      </c>
    </row>
    <row r="191" spans="2:28" x14ac:dyDescent="0.25">
      <c r="D191" s="46" t="s">
        <v>77</v>
      </c>
      <c r="E191" s="264">
        <f>IFERROR(COUNTIF(CLIENTE!$AU:$AU,RESUMEN!D191),0)</f>
        <v>0</v>
      </c>
      <c r="F191" s="159">
        <f>IFERROR(SUMIFS(FACTURA!$S:$S,FACTURA!$AC:$AC,RESUMEN!D191),0)</f>
        <v>0</v>
      </c>
      <c r="G191" s="36">
        <f>IFERROR(SUMIFS(FACTURA!$T:$T,FACTURA!$AC:$AC,RESUMEN!D191,FACTURA!$AF:$AF,$G$187),0)</f>
        <v>0</v>
      </c>
      <c r="H191" s="31">
        <f>IFERROR(SUMIFS(FACTURA!$T:$T,FACTURA!$AC:$AC,RESUMEN!D191,FACTURA!$AF:$AF,$H$187),0)</f>
        <v>0</v>
      </c>
      <c r="I191" s="31">
        <f>IFERROR(SUMIFS(FACTURA!$T:$T,FACTURA!$AC:$AC,RESUMEN!D191,FACTURA!$AF:$AF,$I$187),0)</f>
        <v>0</v>
      </c>
      <c r="J191" s="31">
        <f t="shared" si="71"/>
        <v>0</v>
      </c>
      <c r="K191" s="230" t="str">
        <f t="shared" si="69"/>
        <v/>
      </c>
      <c r="L191" s="269" t="str">
        <f t="shared" si="73"/>
        <v/>
      </c>
      <c r="M191" s="73">
        <f>IFERROR(COUNTIFS(FACTURA!$AC:$AC,RESUMEN!$D191,FACTURA!$AK:$AK,1),0)</f>
        <v>0</v>
      </c>
      <c r="N191" s="159">
        <f>IFERROR(SUMIFS(PEDIDO!$S:$S,PEDIDO!$AC:$AC,RESUMEN!D191),0)</f>
        <v>0</v>
      </c>
      <c r="O191" s="36">
        <f>IFERROR(SUMIFS(PEDIDO!$T:$T,PEDIDO!$AC:$AC,RESUMEN!D191,PEDIDO!$AF:$AF,$O$187),0)</f>
        <v>0</v>
      </c>
      <c r="P191" s="31">
        <f>IFERROR(SUMIFS(PEDIDO!$T:$T,PEDIDO!$AC:$AC,RESUMEN!D191,PEDIDO!$AF:$AF,$P$187),0)</f>
        <v>0</v>
      </c>
      <c r="Q191" s="31">
        <f>IFERROR(SUMIFS(PEDIDO!$T:$T,PEDIDO!$AC:$AC,RESUMEN!D191,PEDIDO!$AF:$AF,$Q$187),0)</f>
        <v>0</v>
      </c>
      <c r="R191" s="31">
        <f t="shared" si="72"/>
        <v>0</v>
      </c>
      <c r="S191" s="33" t="str">
        <f t="shared" si="70"/>
        <v/>
      </c>
      <c r="T191" s="269" t="str">
        <f t="shared" si="74"/>
        <v/>
      </c>
      <c r="U191" s="73">
        <f>IFERROR(COUNTIFS(PEDIDO!$AC:$AC,RESUMEN!$D191,PEDIDO!$AK:$AK,1),0)</f>
        <v>0</v>
      </c>
    </row>
    <row r="192" spans="2:28" x14ac:dyDescent="0.25">
      <c r="D192" s="46" t="s">
        <v>73</v>
      </c>
      <c r="E192" s="264">
        <f>IFERROR(COUNTIF(CLIENTE!$AU:$AU,RESUMEN!D192),0)</f>
        <v>0</v>
      </c>
      <c r="F192" s="159">
        <f>IFERROR(SUMIFS(FACTURA!$S:$S,FACTURA!$AC:$AC,RESUMEN!D192),0)</f>
        <v>0</v>
      </c>
      <c r="G192" s="36">
        <f>IFERROR(SUMIFS(FACTURA!$T:$T,FACTURA!$AC:$AC,RESUMEN!D192,FACTURA!$AF:$AF,$G$187),0)</f>
        <v>0</v>
      </c>
      <c r="H192" s="31">
        <f>IFERROR(SUMIFS(FACTURA!$T:$T,FACTURA!$AC:$AC,RESUMEN!D192,FACTURA!$AF:$AF,$H$187),0)</f>
        <v>0</v>
      </c>
      <c r="I192" s="31">
        <f>IFERROR(SUMIFS(FACTURA!$T:$T,FACTURA!$AC:$AC,RESUMEN!D192,FACTURA!$AF:$AF,$I$187),0)</f>
        <v>0</v>
      </c>
      <c r="J192" s="31">
        <f t="shared" si="71"/>
        <v>0</v>
      </c>
      <c r="K192" s="230" t="str">
        <f t="shared" si="69"/>
        <v/>
      </c>
      <c r="L192" s="269" t="str">
        <f t="shared" si="73"/>
        <v/>
      </c>
      <c r="M192" s="73">
        <f>IFERROR(COUNTIFS(FACTURA!$AC:$AC,RESUMEN!$D192,FACTURA!$AK:$AK,1),0)</f>
        <v>0</v>
      </c>
      <c r="N192" s="159">
        <f>IFERROR(SUMIFS(PEDIDO!$S:$S,PEDIDO!$AC:$AC,RESUMEN!D192),0)</f>
        <v>0</v>
      </c>
      <c r="O192" s="36">
        <f>IFERROR(SUMIFS(PEDIDO!$T:$T,PEDIDO!$AC:$AC,RESUMEN!D192,PEDIDO!$AF:$AF,$O$187),0)</f>
        <v>0</v>
      </c>
      <c r="P192" s="31">
        <f>IFERROR(SUMIFS(PEDIDO!$T:$T,PEDIDO!$AC:$AC,RESUMEN!D192,PEDIDO!$AF:$AF,$P$187),0)</f>
        <v>0</v>
      </c>
      <c r="Q192" s="31">
        <f>IFERROR(SUMIFS(PEDIDO!$T:$T,PEDIDO!$AC:$AC,RESUMEN!D192,PEDIDO!$AF:$AF,$Q$187),0)</f>
        <v>0</v>
      </c>
      <c r="R192" s="31">
        <f t="shared" si="72"/>
        <v>0</v>
      </c>
      <c r="S192" s="33" t="str">
        <f t="shared" si="70"/>
        <v/>
      </c>
      <c r="T192" s="269" t="str">
        <f t="shared" si="74"/>
        <v/>
      </c>
      <c r="U192" s="73">
        <f>IFERROR(COUNTIFS(PEDIDO!$AC:$AC,RESUMEN!$D192,PEDIDO!$AK:$AK,1),0)</f>
        <v>0</v>
      </c>
    </row>
    <row r="193" spans="2:24" x14ac:dyDescent="0.25">
      <c r="D193" s="46" t="s">
        <v>78</v>
      </c>
      <c r="E193" s="264">
        <f>IFERROR(COUNTIF(CLIENTE!$AU:$AU,RESUMEN!D193),0)</f>
        <v>0</v>
      </c>
      <c r="F193" s="159">
        <f>IFERROR(SUMIFS(FACTURA!$S:$S,FACTURA!$AC:$AC,RESUMEN!D193),0)</f>
        <v>0</v>
      </c>
      <c r="G193" s="36">
        <f>IFERROR(SUMIFS(FACTURA!$T:$T,FACTURA!$AC:$AC,RESUMEN!D193,FACTURA!$AF:$AF,$G$187),0)</f>
        <v>0</v>
      </c>
      <c r="H193" s="31">
        <f>IFERROR(SUMIFS(FACTURA!$T:$T,FACTURA!$AC:$AC,RESUMEN!D193,FACTURA!$AF:$AF,$H$187),0)</f>
        <v>0</v>
      </c>
      <c r="I193" s="31">
        <f>IFERROR(SUMIFS(FACTURA!$T:$T,FACTURA!$AC:$AC,RESUMEN!D193,FACTURA!$AF:$AF,$I$187),0)</f>
        <v>0</v>
      </c>
      <c r="J193" s="31">
        <f t="shared" si="71"/>
        <v>0</v>
      </c>
      <c r="K193" s="230" t="str">
        <f t="shared" si="69"/>
        <v/>
      </c>
      <c r="L193" s="269" t="str">
        <f t="shared" si="73"/>
        <v/>
      </c>
      <c r="M193" s="73">
        <f>IFERROR(COUNTIFS(FACTURA!$AC:$AC,RESUMEN!$D193,FACTURA!$AK:$AK,1),0)</f>
        <v>0</v>
      </c>
      <c r="N193" s="159">
        <f>IFERROR(SUMIFS(PEDIDO!$S:$S,PEDIDO!$AC:$AC,RESUMEN!D193),0)</f>
        <v>0</v>
      </c>
      <c r="O193" s="36">
        <f>IFERROR(SUMIFS(PEDIDO!$T:$T,PEDIDO!$AC:$AC,RESUMEN!D193,PEDIDO!$AF:$AF,$O$187),0)</f>
        <v>0</v>
      </c>
      <c r="P193" s="31">
        <f>IFERROR(SUMIFS(PEDIDO!$T:$T,PEDIDO!$AC:$AC,RESUMEN!D193,PEDIDO!$AF:$AF,$P$187),0)</f>
        <v>0</v>
      </c>
      <c r="Q193" s="31">
        <f>IFERROR(SUMIFS(PEDIDO!$T:$T,PEDIDO!$AC:$AC,RESUMEN!D193,PEDIDO!$AF:$AF,$Q$187),0)</f>
        <v>0</v>
      </c>
      <c r="R193" s="31">
        <f t="shared" si="72"/>
        <v>0</v>
      </c>
      <c r="S193" s="33" t="str">
        <f t="shared" si="70"/>
        <v/>
      </c>
      <c r="T193" s="269" t="str">
        <f t="shared" si="74"/>
        <v/>
      </c>
      <c r="U193" s="73">
        <f>IFERROR(COUNTIFS(PEDIDO!$AC:$AC,RESUMEN!$D193,PEDIDO!$AK:$AK,1),0)</f>
        <v>0</v>
      </c>
    </row>
    <row r="194" spans="2:24" x14ac:dyDescent="0.25">
      <c r="D194" s="47" t="s">
        <v>79</v>
      </c>
      <c r="E194" s="265">
        <f>IFERROR(COUNTIF(CLIENTE!$AU:$AU,RESUMEN!D194),0)</f>
        <v>0</v>
      </c>
      <c r="F194" s="160">
        <f>IFERROR(SUMIFS(FACTURA!$S:$S,FACTURA!$AC:$AC,RESUMEN!D194),0)</f>
        <v>0</v>
      </c>
      <c r="G194" s="37">
        <f>IFERROR(SUMIFS(FACTURA!$T:$T,FACTURA!$AC:$AC,RESUMEN!D194,FACTURA!$AF:$AF,$G$187),0)</f>
        <v>0</v>
      </c>
      <c r="H194" s="38">
        <f>IFERROR(SUMIFS(FACTURA!$T:$T,FACTURA!$AC:$AC,RESUMEN!D194,FACTURA!$AF:$AF,$H$187),0)</f>
        <v>0</v>
      </c>
      <c r="I194" s="38">
        <f>IFERROR(SUMIFS(FACTURA!$T:$T,FACTURA!$AC:$AC,RESUMEN!D194,FACTURA!$AF:$AF,$I$187),0)</f>
        <v>0</v>
      </c>
      <c r="J194" s="38">
        <f t="shared" si="71"/>
        <v>0</v>
      </c>
      <c r="K194" s="232" t="str">
        <f t="shared" si="69"/>
        <v/>
      </c>
      <c r="L194" s="270" t="str">
        <f t="shared" si="73"/>
        <v/>
      </c>
      <c r="M194" s="73">
        <f>IFERROR(COUNTIFS(FACTURA!$AC:$AC,RESUMEN!$D194,FACTURA!$AK:$AK,1),0)</f>
        <v>0</v>
      </c>
      <c r="N194" s="160">
        <f>IFERROR(SUMIFS(PEDIDO!$S:$S,PEDIDO!$AC:$AC,RESUMEN!D194),0)</f>
        <v>0</v>
      </c>
      <c r="O194" s="37">
        <f>IFERROR(SUMIFS(PEDIDO!$T:$T,PEDIDO!$AC:$AC,RESUMEN!D194,PEDIDO!$AF:$AF,$O$187),0)</f>
        <v>0</v>
      </c>
      <c r="P194" s="38">
        <f>IFERROR(SUMIFS(PEDIDO!$T:$T,PEDIDO!$AC:$AC,RESUMEN!D194,PEDIDO!$AF:$AF,$P$187),0)</f>
        <v>0</v>
      </c>
      <c r="Q194" s="38">
        <f>IFERROR(SUMIFS(PEDIDO!$T:$T,PEDIDO!$AC:$AC,RESUMEN!D194,PEDIDO!$AF:$AF,$Q$187),0)</f>
        <v>0</v>
      </c>
      <c r="R194" s="38">
        <f t="shared" si="72"/>
        <v>0</v>
      </c>
      <c r="S194" s="44" t="str">
        <f t="shared" si="70"/>
        <v/>
      </c>
      <c r="T194" s="270" t="str">
        <f t="shared" si="74"/>
        <v/>
      </c>
      <c r="U194" s="73">
        <f>IFERROR(COUNTIFS(PEDIDO!$AC:$AC,RESUMEN!$D194,PEDIDO!$AK:$AK,1),0)</f>
        <v>0</v>
      </c>
    </row>
    <row r="195" spans="2:24" x14ac:dyDescent="0.25">
      <c r="D195" s="45" t="s">
        <v>3</v>
      </c>
      <c r="E195" s="69">
        <f t="shared" ref="E195:J195" si="75">SUM(E188:E194)</f>
        <v>0</v>
      </c>
      <c r="F195" s="40">
        <f t="shared" si="75"/>
        <v>0</v>
      </c>
      <c r="G195" s="93">
        <f t="shared" si="75"/>
        <v>0</v>
      </c>
      <c r="H195" s="93">
        <f t="shared" si="75"/>
        <v>0</v>
      </c>
      <c r="I195" s="93">
        <f t="shared" si="75"/>
        <v>0</v>
      </c>
      <c r="J195" s="94">
        <f t="shared" si="75"/>
        <v>0</v>
      </c>
      <c r="K195" s="227"/>
      <c r="L195" s="14"/>
      <c r="M195" s="77">
        <f>SUM(M188:M194)</f>
        <v>0</v>
      </c>
      <c r="N195" s="40">
        <f>SUM(N188:N194)</f>
        <v>0</v>
      </c>
      <c r="O195" s="93">
        <f>SUM(O188:O194)</f>
        <v>0</v>
      </c>
      <c r="P195" s="93">
        <f t="shared" ref="P195:Q195" si="76">SUM(P188:P194)</f>
        <v>0</v>
      </c>
      <c r="Q195" s="93">
        <f t="shared" si="76"/>
        <v>0</v>
      </c>
      <c r="R195" s="94">
        <f>SUM(R188:R194)</f>
        <v>0</v>
      </c>
      <c r="S195" s="16"/>
      <c r="U195" s="77">
        <f>SUM(U188:U194)</f>
        <v>0</v>
      </c>
    </row>
    <row r="197" spans="2:24" x14ac:dyDescent="0.25">
      <c r="B197" s="6" t="s">
        <v>154</v>
      </c>
      <c r="C197" s="200"/>
    </row>
    <row r="199" spans="2:24" x14ac:dyDescent="0.25">
      <c r="B199" s="6" t="str">
        <f ca="1">F201</f>
        <v>Semana 5</v>
      </c>
      <c r="C199" s="200"/>
    </row>
    <row r="200" spans="2:24" hidden="1" x14ac:dyDescent="0.25">
      <c r="B200" s="6"/>
      <c r="C200" s="200"/>
      <c r="E200" s="416" t="s">
        <v>217</v>
      </c>
      <c r="F200" s="417"/>
      <c r="G200" s="418" t="s">
        <v>218</v>
      </c>
      <c r="H200" s="418"/>
      <c r="I200" s="418"/>
      <c r="L200" s="273" t="s">
        <v>219</v>
      </c>
      <c r="M200" s="274" t="s">
        <v>220</v>
      </c>
      <c r="N200" s="274" t="s">
        <v>221</v>
      </c>
      <c r="O200" s="274" t="s">
        <v>222</v>
      </c>
      <c r="P200" s="274" t="s">
        <v>223</v>
      </c>
    </row>
    <row r="201" spans="2:24" hidden="1" x14ac:dyDescent="0.25">
      <c r="B201" s="6"/>
      <c r="C201" s="200"/>
      <c r="E201" s="271">
        <f ca="1">1+INT(($A$2-($A$2-DAY($A$2)-WEEKDAY($A$2-DAY($A$2),2)+1))/7)</f>
        <v>5</v>
      </c>
      <c r="F201" s="271" t="str">
        <f ca="1">"Semana " &amp;E201</f>
        <v>Semana 5</v>
      </c>
      <c r="G201" s="275">
        <f ca="1">($A$2-WEEKDAY($A$2,2))+1</f>
        <v>42149</v>
      </c>
      <c r="H201" s="275">
        <f ca="1">IF(MONTH($A$2)&lt;&gt;MONTH($G$201),DATE(YEAR($A$2),MONTH($A$2),DAY($A$2)),$G$201)</f>
        <v>42149</v>
      </c>
      <c r="I201" s="275">
        <f ca="1">G201+6</f>
        <v>42155</v>
      </c>
      <c r="L201" s="272">
        <f ca="1">IF($H$201+0&lt;=$I$201,DAY($H$201+0),"-")</f>
        <v>25</v>
      </c>
      <c r="M201" s="272">
        <f ca="1">IF($H$201+1&lt;=$I$201,DAY($H$201+1),"-")</f>
        <v>26</v>
      </c>
      <c r="N201" s="272">
        <f ca="1">IF($H$201+2&lt;=$I$201,DAY($H$201+2),"-")</f>
        <v>27</v>
      </c>
      <c r="O201" s="272">
        <f ca="1">IF($H$201+3&lt;=$I$201,DAY($H$201+3),"-")</f>
        <v>28</v>
      </c>
      <c r="P201" s="272">
        <f ca="1">IF($H$201+4&lt;=$I$201,DAY($H$201+4),"-")</f>
        <v>29</v>
      </c>
    </row>
    <row r="203" spans="2:24" x14ac:dyDescent="0.25">
      <c r="E203" s="414">
        <f ca="1">L201</f>
        <v>25</v>
      </c>
      <c r="F203" s="415"/>
      <c r="G203" s="415"/>
      <c r="H203" s="415"/>
      <c r="I203" s="408">
        <f ca="1">M201</f>
        <v>26</v>
      </c>
      <c r="J203" s="408"/>
      <c r="K203" s="408"/>
      <c r="L203" s="408"/>
      <c r="M203" s="408">
        <f ca="1">N201</f>
        <v>27</v>
      </c>
      <c r="N203" s="408"/>
      <c r="O203" s="408"/>
      <c r="P203" s="408"/>
      <c r="Q203" s="408">
        <f ca="1">O201</f>
        <v>28</v>
      </c>
      <c r="R203" s="408"/>
      <c r="S203" s="408"/>
      <c r="T203" s="408"/>
      <c r="U203" s="408">
        <f ca="1">P201</f>
        <v>29</v>
      </c>
      <c r="V203" s="408"/>
      <c r="W203" s="408"/>
      <c r="X203" s="408"/>
    </row>
    <row r="204" spans="2:24" ht="45" x14ac:dyDescent="0.25">
      <c r="B204" s="52" t="s">
        <v>143</v>
      </c>
      <c r="C204" s="276" t="s">
        <v>216</v>
      </c>
      <c r="D204" s="64" t="s">
        <v>0</v>
      </c>
      <c r="E204" s="86" t="s">
        <v>144</v>
      </c>
      <c r="F204" s="86" t="s">
        <v>145</v>
      </c>
      <c r="G204" s="86" t="s">
        <v>146</v>
      </c>
      <c r="H204" s="86" t="s">
        <v>137</v>
      </c>
      <c r="I204" s="86" t="s">
        <v>144</v>
      </c>
      <c r="J204" s="231" t="s">
        <v>145</v>
      </c>
      <c r="K204" s="86" t="s">
        <v>146</v>
      </c>
      <c r="L204" s="86" t="s">
        <v>137</v>
      </c>
      <c r="M204" s="86" t="s">
        <v>144</v>
      </c>
      <c r="N204" s="86" t="s">
        <v>145</v>
      </c>
      <c r="O204" s="86" t="s">
        <v>146</v>
      </c>
      <c r="P204" s="86" t="s">
        <v>137</v>
      </c>
      <c r="Q204" s="86" t="s">
        <v>144</v>
      </c>
      <c r="R204" s="86" t="s">
        <v>145</v>
      </c>
      <c r="S204" s="86" t="s">
        <v>146</v>
      </c>
      <c r="T204" s="86" t="s">
        <v>137</v>
      </c>
      <c r="U204" s="86" t="s">
        <v>144</v>
      </c>
      <c r="V204" s="86" t="s">
        <v>145</v>
      </c>
      <c r="W204" s="86" t="s">
        <v>146</v>
      </c>
      <c r="X204" s="86" t="s">
        <v>137</v>
      </c>
    </row>
    <row r="205" spans="2:24" x14ac:dyDescent="0.25">
      <c r="B205" s="61">
        <f t="shared" ref="B205:D224" si="77">B19</f>
        <v>1</v>
      </c>
      <c r="C205" s="203" t="str">
        <f t="shared" si="77"/>
        <v xml:space="preserve">- </v>
      </c>
      <c r="D205" s="65" t="str">
        <f t="shared" si="77"/>
        <v/>
      </c>
      <c r="E205" s="55">
        <f ca="1">IFERROR(COUNTIFS(VISITA!$Q:$Q,"S",VISITA!$AK:$AK,RESUMEN!$C205,VISITA!$P:$P,RESUMEN!E$203),0)</f>
        <v>0</v>
      </c>
      <c r="F205" s="65">
        <f ca="1">IFERROR(COUNTIFS(VISITA!$AM:$AM,"SS",VISITA!$AK:$AK,RESUMEN!$C205,VISITA!$P:$P,RESUMEN!E$203),0)</f>
        <v>0</v>
      </c>
      <c r="G205" s="65">
        <f ca="1">IFERROR(COUNTIFS(VISITA!$AM:$AM,"NS",VISITA!$AK:$AK,RESUMEN!$C205,VISITA!$P:$P,RESUMEN!E$203),0)</f>
        <v>0</v>
      </c>
      <c r="H205" s="82" t="str">
        <f t="shared" ref="H205:H224" ca="1" si="78">IFERROR(F205/E205,"")</f>
        <v/>
      </c>
      <c r="I205" s="55">
        <f ca="1">IFERROR(COUNTIFS(VISITA!$Q:$Q,"S",VISITA!$AK:$AK,RESUMEN!$C205,VISITA!$P:$P,RESUMEN!I$203),0)</f>
        <v>0</v>
      </c>
      <c r="J205" s="65">
        <f ca="1">IFERROR(COUNTIFS(VISITA!$AM:$AM,"SS",VISITA!$AK:$AK,RESUMEN!$C205,VISITA!$P:$P,RESUMEN!I$203),0)</f>
        <v>0</v>
      </c>
      <c r="K205" s="65">
        <f ca="1">IFERROR(COUNTIFS(VISITA!$AM:$AM,"NS",VISITA!$AK:$AK,RESUMEN!$C205,VISITA!$P:$P,RESUMEN!I$203),0)</f>
        <v>0</v>
      </c>
      <c r="L205" s="82" t="str">
        <f t="shared" ref="L205:L224" ca="1" si="79">IFERROR(J205/I205,"")</f>
        <v/>
      </c>
      <c r="M205" s="55">
        <f ca="1">IFERROR(COUNTIFS(VISITA!$Q:$Q,"S",VISITA!$AK:$AK,RESUMEN!$C205,VISITA!$P:$P,RESUMEN!M$203),0)</f>
        <v>0</v>
      </c>
      <c r="N205" s="65">
        <f ca="1">IFERROR(COUNTIFS(VISITA!$AM:$AM,"SS",VISITA!$AK:$AK,RESUMEN!$C205,VISITA!$P:$P,RESUMEN!M$203),0)</f>
        <v>0</v>
      </c>
      <c r="O205" s="65">
        <f ca="1">IFERROR(COUNTIFS(VISITA!$AM:$AM,"NS",VISITA!$AK:$AK,RESUMEN!$C205,VISITA!$P:$P,RESUMEN!M$203),0)</f>
        <v>0</v>
      </c>
      <c r="P205" s="82" t="str">
        <f t="shared" ref="P205:P224" ca="1" si="80">IFERROR(N205/M205,"")</f>
        <v/>
      </c>
      <c r="Q205" s="55">
        <f ca="1">IFERROR(COUNTIFS(VISITA!$Q:$Q,"S",VISITA!$AK:$AK,RESUMEN!$C205,VISITA!$P:$P,RESUMEN!Q$203),0)</f>
        <v>0</v>
      </c>
      <c r="R205" s="65">
        <f ca="1">IFERROR(COUNTIFS(VISITA!$AM:$AM,"SS",VISITA!$AK:$AK,RESUMEN!$C205,VISITA!$P:$P,RESUMEN!Q$203),0)</f>
        <v>0</v>
      </c>
      <c r="S205" s="65">
        <f ca="1">IFERROR(COUNTIFS(VISITA!$AM:$AM,"NS",VISITA!$AK:$AK,RESUMEN!$C205,VISITA!$P:$P,RESUMEN!Q$203),0)</f>
        <v>0</v>
      </c>
      <c r="T205" s="82" t="str">
        <f t="shared" ref="T205:T224" ca="1" si="81">IFERROR(R205/Q205,"")</f>
        <v/>
      </c>
      <c r="U205" s="55">
        <f ca="1">IFERROR(COUNTIFS(VISITA!$Q:$Q,"S",VISITA!$AK:$AK,RESUMEN!$C205,VISITA!$P:$P,RESUMEN!U$203),0)</f>
        <v>0</v>
      </c>
      <c r="V205" s="65">
        <f ca="1">IFERROR(COUNTIFS(VISITA!$AM:$AM,"SS",VISITA!$AK:$AK,RESUMEN!$C205,VISITA!$P:$P,RESUMEN!U$203),0)</f>
        <v>0</v>
      </c>
      <c r="W205" s="65">
        <f ca="1">IFERROR(COUNTIFS(VISITA!$AM:$AM,"NS",VISITA!$AK:$AK,RESUMEN!$C205,VISITA!$P:$P,RESUMEN!U$203),0)</f>
        <v>0</v>
      </c>
      <c r="X205" s="82" t="str">
        <f t="shared" ref="X205:X224" ca="1" si="82">IFERROR(V205/U205,"")</f>
        <v/>
      </c>
    </row>
    <row r="206" spans="2:24" x14ac:dyDescent="0.25">
      <c r="B206" s="62">
        <f t="shared" si="77"/>
        <v>2</v>
      </c>
      <c r="C206" s="204" t="str">
        <f t="shared" si="77"/>
        <v xml:space="preserve">- </v>
      </c>
      <c r="D206" s="18" t="str">
        <f t="shared" si="77"/>
        <v/>
      </c>
      <c r="E206" s="57">
        <f ca="1">IFERROR(COUNTIFS(VISITA!$Q:$Q,"S",VISITA!$AK:$AK,RESUMEN!$C206,VISITA!$P:$P,RESUMEN!E$203),0)</f>
        <v>0</v>
      </c>
      <c r="F206" s="18">
        <f ca="1">IFERROR(COUNTIFS(VISITA!$AM:$AM,"SS",VISITA!$AK:$AK,RESUMEN!$C206,VISITA!$P:$P,RESUMEN!E$203),0)</f>
        <v>0</v>
      </c>
      <c r="G206" s="18">
        <f ca="1">IFERROR(COUNTIFS(VISITA!$AM:$AM,"NS",VISITA!$AK:$AK,RESUMEN!$C206,VISITA!$P:$P,RESUMEN!E$203),0)</f>
        <v>0</v>
      </c>
      <c r="H206" s="80" t="str">
        <f t="shared" ca="1" si="78"/>
        <v/>
      </c>
      <c r="I206" s="57">
        <f ca="1">IFERROR(COUNTIFS(VISITA!$Q:$Q,"S",VISITA!$AK:$AK,RESUMEN!$C206,VISITA!$P:$P,RESUMEN!I$203),0)</f>
        <v>0</v>
      </c>
      <c r="J206" s="18">
        <f ca="1">IFERROR(COUNTIFS(VISITA!$AM:$AM,"SS",VISITA!$AK:$AK,RESUMEN!$C206,VISITA!$P:$P,RESUMEN!I$203),0)</f>
        <v>0</v>
      </c>
      <c r="K206" s="18">
        <f ca="1">IFERROR(COUNTIFS(VISITA!$AM:$AM,"NS",VISITA!$AK:$AK,RESUMEN!$C206,VISITA!$P:$P,RESUMEN!I$203),0)</f>
        <v>0</v>
      </c>
      <c r="L206" s="80" t="str">
        <f t="shared" ca="1" si="79"/>
        <v/>
      </c>
      <c r="M206" s="57">
        <f ca="1">IFERROR(COUNTIFS(VISITA!$Q:$Q,"S",VISITA!$AK:$AK,RESUMEN!$C206,VISITA!$P:$P,RESUMEN!M$203),0)</f>
        <v>0</v>
      </c>
      <c r="N206" s="18">
        <f ca="1">IFERROR(COUNTIFS(VISITA!$AM:$AM,"SS",VISITA!$AK:$AK,RESUMEN!$C206,VISITA!$P:$P,RESUMEN!M$203),0)</f>
        <v>0</v>
      </c>
      <c r="O206" s="18">
        <f ca="1">IFERROR(COUNTIFS(VISITA!$AM:$AM,"NS",VISITA!$AK:$AK,RESUMEN!$C206,VISITA!$P:$P,RESUMEN!M$203),0)</f>
        <v>0</v>
      </c>
      <c r="P206" s="80" t="str">
        <f t="shared" ca="1" si="80"/>
        <v/>
      </c>
      <c r="Q206" s="57">
        <f ca="1">IFERROR(COUNTIFS(VISITA!$Q:$Q,"S",VISITA!$AK:$AK,RESUMEN!$C206,VISITA!$P:$P,RESUMEN!Q$203),0)</f>
        <v>0</v>
      </c>
      <c r="R206" s="18">
        <f ca="1">IFERROR(COUNTIFS(VISITA!$AM:$AM,"SS",VISITA!$AK:$AK,RESUMEN!$C206,VISITA!$P:$P,RESUMEN!Q$203),0)</f>
        <v>0</v>
      </c>
      <c r="S206" s="18">
        <f ca="1">IFERROR(COUNTIFS(VISITA!$AM:$AM,"NS",VISITA!$AK:$AK,RESUMEN!$C206,VISITA!$P:$P,RESUMEN!Q$203),0)</f>
        <v>0</v>
      </c>
      <c r="T206" s="80" t="str">
        <f t="shared" ca="1" si="81"/>
        <v/>
      </c>
      <c r="U206" s="57">
        <f ca="1">IFERROR(COUNTIFS(VISITA!$Q:$Q,"S",VISITA!$AK:$AK,RESUMEN!$C206,VISITA!$P:$P,RESUMEN!U$203),0)</f>
        <v>0</v>
      </c>
      <c r="V206" s="18">
        <f ca="1">IFERROR(COUNTIFS(VISITA!$AM:$AM,"SS",VISITA!$AK:$AK,RESUMEN!$C206,VISITA!$P:$P,RESUMEN!U$203),0)</f>
        <v>0</v>
      </c>
      <c r="W206" s="18">
        <f ca="1">IFERROR(COUNTIFS(VISITA!$AM:$AM,"NS",VISITA!$AK:$AK,RESUMEN!$C206,VISITA!$P:$P,RESUMEN!U$203),0)</f>
        <v>0</v>
      </c>
      <c r="X206" s="80" t="str">
        <f t="shared" ca="1" si="82"/>
        <v/>
      </c>
    </row>
    <row r="207" spans="2:24" x14ac:dyDescent="0.25">
      <c r="B207" s="62">
        <f t="shared" si="77"/>
        <v>3</v>
      </c>
      <c r="C207" s="204" t="str">
        <f t="shared" si="77"/>
        <v xml:space="preserve">- </v>
      </c>
      <c r="D207" s="18" t="str">
        <f t="shared" si="77"/>
        <v/>
      </c>
      <c r="E207" s="57">
        <f ca="1">IFERROR(COUNTIFS(VISITA!$Q:$Q,"S",VISITA!$AK:$AK,RESUMEN!$C207,VISITA!$P:$P,RESUMEN!E$203),0)</f>
        <v>0</v>
      </c>
      <c r="F207" s="18">
        <f ca="1">IFERROR(COUNTIFS(VISITA!$AM:$AM,"SS",VISITA!$AK:$AK,RESUMEN!$C207,VISITA!$P:$P,RESUMEN!E$203),0)</f>
        <v>0</v>
      </c>
      <c r="G207" s="18">
        <f ca="1">IFERROR(COUNTIFS(VISITA!$AM:$AM,"NS",VISITA!$AK:$AK,RESUMEN!$C207,VISITA!$P:$P,RESUMEN!E$203),0)</f>
        <v>0</v>
      </c>
      <c r="H207" s="80" t="str">
        <f t="shared" ca="1" si="78"/>
        <v/>
      </c>
      <c r="I207" s="57">
        <f ca="1">IFERROR(COUNTIFS(VISITA!$Q:$Q,"S",VISITA!$AK:$AK,RESUMEN!$C207,VISITA!$P:$P,RESUMEN!I$203),0)</f>
        <v>0</v>
      </c>
      <c r="J207" s="18">
        <f ca="1">IFERROR(COUNTIFS(VISITA!$AM:$AM,"SS",VISITA!$AK:$AK,RESUMEN!$C207,VISITA!$P:$P,RESUMEN!I$203),0)</f>
        <v>0</v>
      </c>
      <c r="K207" s="18">
        <f ca="1">IFERROR(COUNTIFS(VISITA!$AM:$AM,"NS",VISITA!$AK:$AK,RESUMEN!$C207,VISITA!$P:$P,RESUMEN!I$203),0)</f>
        <v>0</v>
      </c>
      <c r="L207" s="80" t="str">
        <f t="shared" ca="1" si="79"/>
        <v/>
      </c>
      <c r="M207" s="57">
        <f ca="1">IFERROR(COUNTIFS(VISITA!$Q:$Q,"S",VISITA!$AK:$AK,RESUMEN!$C207,VISITA!$P:$P,RESUMEN!M$203),0)</f>
        <v>0</v>
      </c>
      <c r="N207" s="18">
        <f ca="1">IFERROR(COUNTIFS(VISITA!$AM:$AM,"SS",VISITA!$AK:$AK,RESUMEN!$C207,VISITA!$P:$P,RESUMEN!M$203),0)</f>
        <v>0</v>
      </c>
      <c r="O207" s="18">
        <f ca="1">IFERROR(COUNTIFS(VISITA!$AM:$AM,"NS",VISITA!$AK:$AK,RESUMEN!$C207,VISITA!$P:$P,RESUMEN!M$203),0)</f>
        <v>0</v>
      </c>
      <c r="P207" s="80" t="str">
        <f t="shared" ca="1" si="80"/>
        <v/>
      </c>
      <c r="Q207" s="57">
        <f ca="1">IFERROR(COUNTIFS(VISITA!$Q:$Q,"S",VISITA!$AK:$AK,RESUMEN!$C207,VISITA!$P:$P,RESUMEN!Q$203),0)</f>
        <v>0</v>
      </c>
      <c r="R207" s="18">
        <f ca="1">IFERROR(COUNTIFS(VISITA!$AM:$AM,"SS",VISITA!$AK:$AK,RESUMEN!$C207,VISITA!$P:$P,RESUMEN!Q$203),0)</f>
        <v>0</v>
      </c>
      <c r="S207" s="18">
        <f ca="1">IFERROR(COUNTIFS(VISITA!$AM:$AM,"NS",VISITA!$AK:$AK,RESUMEN!$C207,VISITA!$P:$P,RESUMEN!Q$203),0)</f>
        <v>0</v>
      </c>
      <c r="T207" s="80" t="str">
        <f t="shared" ca="1" si="81"/>
        <v/>
      </c>
      <c r="U207" s="57">
        <f ca="1">IFERROR(COUNTIFS(VISITA!$Q:$Q,"S",VISITA!$AK:$AK,RESUMEN!$C207,VISITA!$P:$P,RESUMEN!U$203),0)</f>
        <v>0</v>
      </c>
      <c r="V207" s="18">
        <f ca="1">IFERROR(COUNTIFS(VISITA!$AM:$AM,"SS",VISITA!$AK:$AK,RESUMEN!$C207,VISITA!$P:$P,RESUMEN!U$203),0)</f>
        <v>0</v>
      </c>
      <c r="W207" s="18">
        <f ca="1">IFERROR(COUNTIFS(VISITA!$AM:$AM,"NS",VISITA!$AK:$AK,RESUMEN!$C207,VISITA!$P:$P,RESUMEN!U$203),0)</f>
        <v>0</v>
      </c>
      <c r="X207" s="80" t="str">
        <f t="shared" ca="1" si="82"/>
        <v/>
      </c>
    </row>
    <row r="208" spans="2:24" x14ac:dyDescent="0.25">
      <c r="B208" s="62">
        <f t="shared" si="77"/>
        <v>4</v>
      </c>
      <c r="C208" s="204" t="str">
        <f t="shared" si="77"/>
        <v xml:space="preserve">- </v>
      </c>
      <c r="D208" s="18" t="str">
        <f t="shared" si="77"/>
        <v/>
      </c>
      <c r="E208" s="57">
        <f ca="1">IFERROR(COUNTIFS(VISITA!$Q:$Q,"S",VISITA!$AK:$AK,RESUMEN!$C208,VISITA!$P:$P,RESUMEN!E$203),0)</f>
        <v>0</v>
      </c>
      <c r="F208" s="18">
        <f ca="1">IFERROR(COUNTIFS(VISITA!$AM:$AM,"SS",VISITA!$AK:$AK,RESUMEN!$C208,VISITA!$P:$P,RESUMEN!E$203),0)</f>
        <v>0</v>
      </c>
      <c r="G208" s="18">
        <f ca="1">IFERROR(COUNTIFS(VISITA!$AM:$AM,"NS",VISITA!$AK:$AK,RESUMEN!$C208,VISITA!$P:$P,RESUMEN!E$203),0)</f>
        <v>0</v>
      </c>
      <c r="H208" s="80" t="str">
        <f t="shared" ca="1" si="78"/>
        <v/>
      </c>
      <c r="I208" s="57">
        <f ca="1">IFERROR(COUNTIFS(VISITA!$Q:$Q,"S",VISITA!$AK:$AK,RESUMEN!$C208,VISITA!$P:$P,RESUMEN!I$203),0)</f>
        <v>0</v>
      </c>
      <c r="J208" s="18">
        <f ca="1">IFERROR(COUNTIFS(VISITA!$AM:$AM,"SS",VISITA!$AK:$AK,RESUMEN!$C208,VISITA!$P:$P,RESUMEN!I$203),0)</f>
        <v>0</v>
      </c>
      <c r="K208" s="18">
        <f ca="1">IFERROR(COUNTIFS(VISITA!$AM:$AM,"NS",VISITA!$AK:$AK,RESUMEN!$C208,VISITA!$P:$P,RESUMEN!I$203),0)</f>
        <v>0</v>
      </c>
      <c r="L208" s="80" t="str">
        <f t="shared" ca="1" si="79"/>
        <v/>
      </c>
      <c r="M208" s="57">
        <f ca="1">IFERROR(COUNTIFS(VISITA!$Q:$Q,"S",VISITA!$AK:$AK,RESUMEN!$C208,VISITA!$P:$P,RESUMEN!M$203),0)</f>
        <v>0</v>
      </c>
      <c r="N208" s="18">
        <f ca="1">IFERROR(COUNTIFS(VISITA!$AM:$AM,"SS",VISITA!$AK:$AK,RESUMEN!$C208,VISITA!$P:$P,RESUMEN!M$203),0)</f>
        <v>0</v>
      </c>
      <c r="O208" s="18">
        <f ca="1">IFERROR(COUNTIFS(VISITA!$AM:$AM,"NS",VISITA!$AK:$AK,RESUMEN!$C208,VISITA!$P:$P,RESUMEN!M$203),0)</f>
        <v>0</v>
      </c>
      <c r="P208" s="80" t="str">
        <f t="shared" ca="1" si="80"/>
        <v/>
      </c>
      <c r="Q208" s="57">
        <f ca="1">IFERROR(COUNTIFS(VISITA!$Q:$Q,"S",VISITA!$AK:$AK,RESUMEN!$C208,VISITA!$P:$P,RESUMEN!Q$203),0)</f>
        <v>0</v>
      </c>
      <c r="R208" s="18">
        <f ca="1">IFERROR(COUNTIFS(VISITA!$AM:$AM,"SS",VISITA!$AK:$AK,RESUMEN!$C208,VISITA!$P:$P,RESUMEN!Q$203),0)</f>
        <v>0</v>
      </c>
      <c r="S208" s="18">
        <f ca="1">IFERROR(COUNTIFS(VISITA!$AM:$AM,"NS",VISITA!$AK:$AK,RESUMEN!$C208,VISITA!$P:$P,RESUMEN!Q$203),0)</f>
        <v>0</v>
      </c>
      <c r="T208" s="80" t="str">
        <f t="shared" ca="1" si="81"/>
        <v/>
      </c>
      <c r="U208" s="57">
        <f ca="1">IFERROR(COUNTIFS(VISITA!$Q:$Q,"S",VISITA!$AK:$AK,RESUMEN!$C208,VISITA!$P:$P,RESUMEN!U$203),0)</f>
        <v>0</v>
      </c>
      <c r="V208" s="18">
        <f ca="1">IFERROR(COUNTIFS(VISITA!$AM:$AM,"SS",VISITA!$AK:$AK,RESUMEN!$C208,VISITA!$P:$P,RESUMEN!U$203),0)</f>
        <v>0</v>
      </c>
      <c r="W208" s="18">
        <f ca="1">IFERROR(COUNTIFS(VISITA!$AM:$AM,"NS",VISITA!$AK:$AK,RESUMEN!$C208,VISITA!$P:$P,RESUMEN!U$203),0)</f>
        <v>0</v>
      </c>
      <c r="X208" s="80" t="str">
        <f t="shared" ca="1" si="82"/>
        <v/>
      </c>
    </row>
    <row r="209" spans="2:24" x14ac:dyDescent="0.25">
      <c r="B209" s="62">
        <f t="shared" si="77"/>
        <v>5</v>
      </c>
      <c r="C209" s="204" t="str">
        <f t="shared" si="77"/>
        <v xml:space="preserve">- </v>
      </c>
      <c r="D209" s="18" t="str">
        <f t="shared" si="77"/>
        <v/>
      </c>
      <c r="E209" s="57">
        <f ca="1">IFERROR(COUNTIFS(VISITA!$Q:$Q,"S",VISITA!$AK:$AK,RESUMEN!$C209,VISITA!$P:$P,RESUMEN!E$203),0)</f>
        <v>0</v>
      </c>
      <c r="F209" s="18">
        <f ca="1">IFERROR(COUNTIFS(VISITA!$AM:$AM,"SS",VISITA!$AK:$AK,RESUMEN!$C209,VISITA!$P:$P,RESUMEN!E$203),0)</f>
        <v>0</v>
      </c>
      <c r="G209" s="18">
        <f ca="1">IFERROR(COUNTIFS(VISITA!$AM:$AM,"NS",VISITA!$AK:$AK,RESUMEN!$C209,VISITA!$P:$P,RESUMEN!E$203),0)</f>
        <v>0</v>
      </c>
      <c r="H209" s="80" t="str">
        <f t="shared" ca="1" si="78"/>
        <v/>
      </c>
      <c r="I209" s="57">
        <f ca="1">IFERROR(COUNTIFS(VISITA!$Q:$Q,"S",VISITA!$AK:$AK,RESUMEN!$C209,VISITA!$P:$P,RESUMEN!I$203),0)</f>
        <v>0</v>
      </c>
      <c r="J209" s="18">
        <f ca="1">IFERROR(COUNTIFS(VISITA!$AM:$AM,"SS",VISITA!$AK:$AK,RESUMEN!$C209,VISITA!$P:$P,RESUMEN!I$203),0)</f>
        <v>0</v>
      </c>
      <c r="K209" s="18">
        <f ca="1">IFERROR(COUNTIFS(VISITA!$AM:$AM,"NS",VISITA!$AK:$AK,RESUMEN!$C209,VISITA!$P:$P,RESUMEN!I$203),0)</f>
        <v>0</v>
      </c>
      <c r="L209" s="80" t="str">
        <f t="shared" ca="1" si="79"/>
        <v/>
      </c>
      <c r="M209" s="57">
        <f ca="1">IFERROR(COUNTIFS(VISITA!$Q:$Q,"S",VISITA!$AK:$AK,RESUMEN!$C209,VISITA!$P:$P,RESUMEN!M$203),0)</f>
        <v>0</v>
      </c>
      <c r="N209" s="18">
        <f ca="1">IFERROR(COUNTIFS(VISITA!$AM:$AM,"SS",VISITA!$AK:$AK,RESUMEN!$C209,VISITA!$P:$P,RESUMEN!M$203),0)</f>
        <v>0</v>
      </c>
      <c r="O209" s="18">
        <f ca="1">IFERROR(COUNTIFS(VISITA!$AM:$AM,"NS",VISITA!$AK:$AK,RESUMEN!$C209,VISITA!$P:$P,RESUMEN!M$203),0)</f>
        <v>0</v>
      </c>
      <c r="P209" s="80" t="str">
        <f t="shared" ca="1" si="80"/>
        <v/>
      </c>
      <c r="Q209" s="57">
        <f ca="1">IFERROR(COUNTIFS(VISITA!$Q:$Q,"S",VISITA!$AK:$AK,RESUMEN!$C209,VISITA!$P:$P,RESUMEN!Q$203),0)</f>
        <v>0</v>
      </c>
      <c r="R209" s="18">
        <f ca="1">IFERROR(COUNTIFS(VISITA!$AM:$AM,"SS",VISITA!$AK:$AK,RESUMEN!$C209,VISITA!$P:$P,RESUMEN!Q$203),0)</f>
        <v>0</v>
      </c>
      <c r="S209" s="18">
        <f ca="1">IFERROR(COUNTIFS(VISITA!$AM:$AM,"NS",VISITA!$AK:$AK,RESUMEN!$C209,VISITA!$P:$P,RESUMEN!Q$203),0)</f>
        <v>0</v>
      </c>
      <c r="T209" s="80" t="str">
        <f t="shared" ca="1" si="81"/>
        <v/>
      </c>
      <c r="U209" s="57">
        <f ca="1">IFERROR(COUNTIFS(VISITA!$Q:$Q,"S",VISITA!$AK:$AK,RESUMEN!$C209,VISITA!$P:$P,RESUMEN!U$203),0)</f>
        <v>0</v>
      </c>
      <c r="V209" s="18">
        <f ca="1">IFERROR(COUNTIFS(VISITA!$AM:$AM,"SS",VISITA!$AK:$AK,RESUMEN!$C209,VISITA!$P:$P,RESUMEN!U$203),0)</f>
        <v>0</v>
      </c>
      <c r="W209" s="18">
        <f ca="1">IFERROR(COUNTIFS(VISITA!$AM:$AM,"NS",VISITA!$AK:$AK,RESUMEN!$C209,VISITA!$P:$P,RESUMEN!U$203),0)</f>
        <v>0</v>
      </c>
      <c r="X209" s="80" t="str">
        <f t="shared" ca="1" si="82"/>
        <v/>
      </c>
    </row>
    <row r="210" spans="2:24" x14ac:dyDescent="0.25">
      <c r="B210" s="62">
        <f t="shared" si="77"/>
        <v>6</v>
      </c>
      <c r="C210" s="204" t="str">
        <f t="shared" si="77"/>
        <v xml:space="preserve">- </v>
      </c>
      <c r="D210" s="18" t="str">
        <f t="shared" si="77"/>
        <v/>
      </c>
      <c r="E210" s="57">
        <f ca="1">IFERROR(COUNTIFS(VISITA!$Q:$Q,"S",VISITA!$AK:$AK,RESUMEN!$C210,VISITA!$P:$P,RESUMEN!E$203),0)</f>
        <v>0</v>
      </c>
      <c r="F210" s="18">
        <f ca="1">IFERROR(COUNTIFS(VISITA!$AM:$AM,"SS",VISITA!$AK:$AK,RESUMEN!$C210,VISITA!$P:$P,RESUMEN!E$203),0)</f>
        <v>0</v>
      </c>
      <c r="G210" s="18">
        <f ca="1">IFERROR(COUNTIFS(VISITA!$AM:$AM,"NS",VISITA!$AK:$AK,RESUMEN!$C210,VISITA!$P:$P,RESUMEN!E$203),0)</f>
        <v>0</v>
      </c>
      <c r="H210" s="80" t="str">
        <f t="shared" ca="1" si="78"/>
        <v/>
      </c>
      <c r="I210" s="57">
        <f ca="1">IFERROR(COUNTIFS(VISITA!$Q:$Q,"S",VISITA!$AK:$AK,RESUMEN!$C210,VISITA!$P:$P,RESUMEN!I$203),0)</f>
        <v>0</v>
      </c>
      <c r="J210" s="18">
        <f ca="1">IFERROR(COUNTIFS(VISITA!$AM:$AM,"SS",VISITA!$AK:$AK,RESUMEN!$C210,VISITA!$P:$P,RESUMEN!I$203),0)</f>
        <v>0</v>
      </c>
      <c r="K210" s="18">
        <f ca="1">IFERROR(COUNTIFS(VISITA!$AM:$AM,"NS",VISITA!$AK:$AK,RESUMEN!$C210,VISITA!$P:$P,RESUMEN!I$203),0)</f>
        <v>0</v>
      </c>
      <c r="L210" s="80" t="str">
        <f t="shared" ca="1" si="79"/>
        <v/>
      </c>
      <c r="M210" s="57">
        <f ca="1">IFERROR(COUNTIFS(VISITA!$Q:$Q,"S",VISITA!$AK:$AK,RESUMEN!$C210,VISITA!$P:$P,RESUMEN!M$203),0)</f>
        <v>0</v>
      </c>
      <c r="N210" s="18">
        <f ca="1">IFERROR(COUNTIFS(VISITA!$AM:$AM,"SS",VISITA!$AK:$AK,RESUMEN!$C210,VISITA!$P:$P,RESUMEN!M$203),0)</f>
        <v>0</v>
      </c>
      <c r="O210" s="18">
        <f ca="1">IFERROR(COUNTIFS(VISITA!$AM:$AM,"NS",VISITA!$AK:$AK,RESUMEN!$C210,VISITA!$P:$P,RESUMEN!M$203),0)</f>
        <v>0</v>
      </c>
      <c r="P210" s="80" t="str">
        <f t="shared" ca="1" si="80"/>
        <v/>
      </c>
      <c r="Q210" s="57">
        <f ca="1">IFERROR(COUNTIFS(VISITA!$Q:$Q,"S",VISITA!$AK:$AK,RESUMEN!$C210,VISITA!$P:$P,RESUMEN!Q$203),0)</f>
        <v>0</v>
      </c>
      <c r="R210" s="18">
        <f ca="1">IFERROR(COUNTIFS(VISITA!$AM:$AM,"SS",VISITA!$AK:$AK,RESUMEN!$C210,VISITA!$P:$P,RESUMEN!Q$203),0)</f>
        <v>0</v>
      </c>
      <c r="S210" s="18">
        <f ca="1">IFERROR(COUNTIFS(VISITA!$AM:$AM,"NS",VISITA!$AK:$AK,RESUMEN!$C210,VISITA!$P:$P,RESUMEN!Q$203),0)</f>
        <v>0</v>
      </c>
      <c r="T210" s="80" t="str">
        <f t="shared" ca="1" si="81"/>
        <v/>
      </c>
      <c r="U210" s="57">
        <f ca="1">IFERROR(COUNTIFS(VISITA!$Q:$Q,"S",VISITA!$AK:$AK,RESUMEN!$C210,VISITA!$P:$P,RESUMEN!U$203),0)</f>
        <v>0</v>
      </c>
      <c r="V210" s="18">
        <f ca="1">IFERROR(COUNTIFS(VISITA!$AM:$AM,"SS",VISITA!$AK:$AK,RESUMEN!$C210,VISITA!$P:$P,RESUMEN!U$203),0)</f>
        <v>0</v>
      </c>
      <c r="W210" s="18">
        <f ca="1">IFERROR(COUNTIFS(VISITA!$AM:$AM,"NS",VISITA!$AK:$AK,RESUMEN!$C210,VISITA!$P:$P,RESUMEN!U$203),0)</f>
        <v>0</v>
      </c>
      <c r="X210" s="80" t="str">
        <f t="shared" ca="1" si="82"/>
        <v/>
      </c>
    </row>
    <row r="211" spans="2:24" x14ac:dyDescent="0.25">
      <c r="B211" s="62">
        <f t="shared" si="77"/>
        <v>7</v>
      </c>
      <c r="C211" s="204" t="str">
        <f t="shared" si="77"/>
        <v xml:space="preserve">- </v>
      </c>
      <c r="D211" s="18" t="str">
        <f t="shared" si="77"/>
        <v/>
      </c>
      <c r="E211" s="57">
        <f ca="1">IFERROR(COUNTIFS(VISITA!$Q:$Q,"S",VISITA!$AK:$AK,RESUMEN!$C211,VISITA!$P:$P,RESUMEN!E$203),0)</f>
        <v>0</v>
      </c>
      <c r="F211" s="18">
        <f ca="1">IFERROR(COUNTIFS(VISITA!$AM:$AM,"SS",VISITA!$AK:$AK,RESUMEN!$C211,VISITA!$P:$P,RESUMEN!E$203),0)</f>
        <v>0</v>
      </c>
      <c r="G211" s="18">
        <f ca="1">IFERROR(COUNTIFS(VISITA!$AM:$AM,"NS",VISITA!$AK:$AK,RESUMEN!$C211,VISITA!$P:$P,RESUMEN!E$203),0)</f>
        <v>0</v>
      </c>
      <c r="H211" s="80" t="str">
        <f t="shared" ca="1" si="78"/>
        <v/>
      </c>
      <c r="I211" s="57">
        <f ca="1">IFERROR(COUNTIFS(VISITA!$Q:$Q,"S",VISITA!$AK:$AK,RESUMEN!$C211,VISITA!$P:$P,RESUMEN!I$203),0)</f>
        <v>0</v>
      </c>
      <c r="J211" s="18">
        <f ca="1">IFERROR(COUNTIFS(VISITA!$AM:$AM,"SS",VISITA!$AK:$AK,RESUMEN!$C211,VISITA!$P:$P,RESUMEN!I$203),0)</f>
        <v>0</v>
      </c>
      <c r="K211" s="18">
        <f ca="1">IFERROR(COUNTIFS(VISITA!$AM:$AM,"NS",VISITA!$AK:$AK,RESUMEN!$C211,VISITA!$P:$P,RESUMEN!I$203),0)</f>
        <v>0</v>
      </c>
      <c r="L211" s="80" t="str">
        <f t="shared" ca="1" si="79"/>
        <v/>
      </c>
      <c r="M211" s="57">
        <f ca="1">IFERROR(COUNTIFS(VISITA!$Q:$Q,"S",VISITA!$AK:$AK,RESUMEN!$C211,VISITA!$P:$P,RESUMEN!M$203),0)</f>
        <v>0</v>
      </c>
      <c r="N211" s="18">
        <f ca="1">IFERROR(COUNTIFS(VISITA!$AM:$AM,"SS",VISITA!$AK:$AK,RESUMEN!$C211,VISITA!$P:$P,RESUMEN!M$203),0)</f>
        <v>0</v>
      </c>
      <c r="O211" s="18">
        <f ca="1">IFERROR(COUNTIFS(VISITA!$AM:$AM,"NS",VISITA!$AK:$AK,RESUMEN!$C211,VISITA!$P:$P,RESUMEN!M$203),0)</f>
        <v>0</v>
      </c>
      <c r="P211" s="80" t="str">
        <f t="shared" ca="1" si="80"/>
        <v/>
      </c>
      <c r="Q211" s="57">
        <f ca="1">IFERROR(COUNTIFS(VISITA!$Q:$Q,"S",VISITA!$AK:$AK,RESUMEN!$C211,VISITA!$P:$P,RESUMEN!Q$203),0)</f>
        <v>0</v>
      </c>
      <c r="R211" s="18">
        <f ca="1">IFERROR(COUNTIFS(VISITA!$AM:$AM,"SS",VISITA!$AK:$AK,RESUMEN!$C211,VISITA!$P:$P,RESUMEN!Q$203),0)</f>
        <v>0</v>
      </c>
      <c r="S211" s="18">
        <f ca="1">IFERROR(COUNTIFS(VISITA!$AM:$AM,"NS",VISITA!$AK:$AK,RESUMEN!$C211,VISITA!$P:$P,RESUMEN!Q$203),0)</f>
        <v>0</v>
      </c>
      <c r="T211" s="80" t="str">
        <f t="shared" ca="1" si="81"/>
        <v/>
      </c>
      <c r="U211" s="57">
        <f ca="1">IFERROR(COUNTIFS(VISITA!$Q:$Q,"S",VISITA!$AK:$AK,RESUMEN!$C211,VISITA!$P:$P,RESUMEN!U$203),0)</f>
        <v>0</v>
      </c>
      <c r="V211" s="18">
        <f ca="1">IFERROR(COUNTIFS(VISITA!$AM:$AM,"SS",VISITA!$AK:$AK,RESUMEN!$C211,VISITA!$P:$P,RESUMEN!U$203),0)</f>
        <v>0</v>
      </c>
      <c r="W211" s="18">
        <f ca="1">IFERROR(COUNTIFS(VISITA!$AM:$AM,"NS",VISITA!$AK:$AK,RESUMEN!$C211,VISITA!$P:$P,RESUMEN!U$203),0)</f>
        <v>0</v>
      </c>
      <c r="X211" s="80" t="str">
        <f t="shared" ca="1" si="82"/>
        <v/>
      </c>
    </row>
    <row r="212" spans="2:24" x14ac:dyDescent="0.25">
      <c r="B212" s="62">
        <f t="shared" si="77"/>
        <v>8</v>
      </c>
      <c r="C212" s="204" t="str">
        <f t="shared" si="77"/>
        <v xml:space="preserve">- </v>
      </c>
      <c r="D212" s="18" t="str">
        <f t="shared" si="77"/>
        <v/>
      </c>
      <c r="E212" s="57">
        <f ca="1">IFERROR(COUNTIFS(VISITA!$Q:$Q,"S",VISITA!$AK:$AK,RESUMEN!$C212,VISITA!$P:$P,RESUMEN!E$203),0)</f>
        <v>0</v>
      </c>
      <c r="F212" s="18">
        <f ca="1">IFERROR(COUNTIFS(VISITA!$AM:$AM,"SS",VISITA!$AK:$AK,RESUMEN!$C212,VISITA!$P:$P,RESUMEN!E$203),0)</f>
        <v>0</v>
      </c>
      <c r="G212" s="18">
        <f ca="1">IFERROR(COUNTIFS(VISITA!$AM:$AM,"NS",VISITA!$AK:$AK,RESUMEN!$C212,VISITA!$P:$P,RESUMEN!E$203),0)</f>
        <v>0</v>
      </c>
      <c r="H212" s="80" t="str">
        <f t="shared" ca="1" si="78"/>
        <v/>
      </c>
      <c r="I212" s="57">
        <f ca="1">IFERROR(COUNTIFS(VISITA!$Q:$Q,"S",VISITA!$AK:$AK,RESUMEN!$C212,VISITA!$P:$P,RESUMEN!I$203),0)</f>
        <v>0</v>
      </c>
      <c r="J212" s="18">
        <f ca="1">IFERROR(COUNTIFS(VISITA!$AM:$AM,"SS",VISITA!$AK:$AK,RESUMEN!$C212,VISITA!$P:$P,RESUMEN!I$203),0)</f>
        <v>0</v>
      </c>
      <c r="K212" s="18">
        <f ca="1">IFERROR(COUNTIFS(VISITA!$AM:$AM,"NS",VISITA!$AK:$AK,RESUMEN!$C212,VISITA!$P:$P,RESUMEN!I$203),0)</f>
        <v>0</v>
      </c>
      <c r="L212" s="80" t="str">
        <f t="shared" ca="1" si="79"/>
        <v/>
      </c>
      <c r="M212" s="57">
        <f ca="1">IFERROR(COUNTIFS(VISITA!$Q:$Q,"S",VISITA!$AK:$AK,RESUMEN!$C212,VISITA!$P:$P,RESUMEN!M$203),0)</f>
        <v>0</v>
      </c>
      <c r="N212" s="18">
        <f ca="1">IFERROR(COUNTIFS(VISITA!$AM:$AM,"SS",VISITA!$AK:$AK,RESUMEN!$C212,VISITA!$P:$P,RESUMEN!M$203),0)</f>
        <v>0</v>
      </c>
      <c r="O212" s="18">
        <f ca="1">IFERROR(COUNTIFS(VISITA!$AM:$AM,"NS",VISITA!$AK:$AK,RESUMEN!$C212,VISITA!$P:$P,RESUMEN!M$203),0)</f>
        <v>0</v>
      </c>
      <c r="P212" s="80" t="str">
        <f t="shared" ca="1" si="80"/>
        <v/>
      </c>
      <c r="Q212" s="57">
        <f ca="1">IFERROR(COUNTIFS(VISITA!$Q:$Q,"S",VISITA!$AK:$AK,RESUMEN!$C212,VISITA!$P:$P,RESUMEN!Q$203),0)</f>
        <v>0</v>
      </c>
      <c r="R212" s="18">
        <f ca="1">IFERROR(COUNTIFS(VISITA!$AM:$AM,"SS",VISITA!$AK:$AK,RESUMEN!$C212,VISITA!$P:$P,RESUMEN!Q$203),0)</f>
        <v>0</v>
      </c>
      <c r="S212" s="18">
        <f ca="1">IFERROR(COUNTIFS(VISITA!$AM:$AM,"NS",VISITA!$AK:$AK,RESUMEN!$C212,VISITA!$P:$P,RESUMEN!Q$203),0)</f>
        <v>0</v>
      </c>
      <c r="T212" s="80" t="str">
        <f t="shared" ca="1" si="81"/>
        <v/>
      </c>
      <c r="U212" s="57">
        <f ca="1">IFERROR(COUNTIFS(VISITA!$Q:$Q,"S",VISITA!$AK:$AK,RESUMEN!$C212,VISITA!$P:$P,RESUMEN!U$203),0)</f>
        <v>0</v>
      </c>
      <c r="V212" s="18">
        <f ca="1">IFERROR(COUNTIFS(VISITA!$AM:$AM,"SS",VISITA!$AK:$AK,RESUMEN!$C212,VISITA!$P:$P,RESUMEN!U$203),0)</f>
        <v>0</v>
      </c>
      <c r="W212" s="18">
        <f ca="1">IFERROR(COUNTIFS(VISITA!$AM:$AM,"NS",VISITA!$AK:$AK,RESUMEN!$C212,VISITA!$P:$P,RESUMEN!U$203),0)</f>
        <v>0</v>
      </c>
      <c r="X212" s="80" t="str">
        <f t="shared" ca="1" si="82"/>
        <v/>
      </c>
    </row>
    <row r="213" spans="2:24" x14ac:dyDescent="0.25">
      <c r="B213" s="62">
        <f t="shared" si="77"/>
        <v>9</v>
      </c>
      <c r="C213" s="204" t="str">
        <f t="shared" si="77"/>
        <v xml:space="preserve">- </v>
      </c>
      <c r="D213" s="18" t="str">
        <f t="shared" si="77"/>
        <v/>
      </c>
      <c r="E213" s="57">
        <f ca="1">IFERROR(COUNTIFS(VISITA!$Q:$Q,"S",VISITA!$AK:$AK,RESUMEN!$C213,VISITA!$P:$P,RESUMEN!E$203),0)</f>
        <v>0</v>
      </c>
      <c r="F213" s="18">
        <f ca="1">IFERROR(COUNTIFS(VISITA!$AM:$AM,"SS",VISITA!$AK:$AK,RESUMEN!$C213,VISITA!$P:$P,RESUMEN!E$203),0)</f>
        <v>0</v>
      </c>
      <c r="G213" s="18">
        <f ca="1">IFERROR(COUNTIFS(VISITA!$AM:$AM,"NS",VISITA!$AK:$AK,RESUMEN!$C213,VISITA!$P:$P,RESUMEN!E$203),0)</f>
        <v>0</v>
      </c>
      <c r="H213" s="80" t="str">
        <f t="shared" ca="1" si="78"/>
        <v/>
      </c>
      <c r="I213" s="57">
        <f ca="1">IFERROR(COUNTIFS(VISITA!$Q:$Q,"S",VISITA!$AK:$AK,RESUMEN!$C213,VISITA!$P:$P,RESUMEN!I$203),0)</f>
        <v>0</v>
      </c>
      <c r="J213" s="18">
        <f ca="1">IFERROR(COUNTIFS(VISITA!$AM:$AM,"SS",VISITA!$AK:$AK,RESUMEN!$C213,VISITA!$P:$P,RESUMEN!I$203),0)</f>
        <v>0</v>
      </c>
      <c r="K213" s="18">
        <f ca="1">IFERROR(COUNTIFS(VISITA!$AM:$AM,"NS",VISITA!$AK:$AK,RESUMEN!$C213,VISITA!$P:$P,RESUMEN!I$203),0)</f>
        <v>0</v>
      </c>
      <c r="L213" s="80" t="str">
        <f t="shared" ca="1" si="79"/>
        <v/>
      </c>
      <c r="M213" s="57">
        <f ca="1">IFERROR(COUNTIFS(VISITA!$Q:$Q,"S",VISITA!$AK:$AK,RESUMEN!$C213,VISITA!$P:$P,RESUMEN!M$203),0)</f>
        <v>0</v>
      </c>
      <c r="N213" s="18">
        <f ca="1">IFERROR(COUNTIFS(VISITA!$AM:$AM,"SS",VISITA!$AK:$AK,RESUMEN!$C213,VISITA!$P:$P,RESUMEN!M$203),0)</f>
        <v>0</v>
      </c>
      <c r="O213" s="18">
        <f ca="1">IFERROR(COUNTIFS(VISITA!$AM:$AM,"NS",VISITA!$AK:$AK,RESUMEN!$C213,VISITA!$P:$P,RESUMEN!M$203),0)</f>
        <v>0</v>
      </c>
      <c r="P213" s="80" t="str">
        <f t="shared" ca="1" si="80"/>
        <v/>
      </c>
      <c r="Q213" s="57">
        <f ca="1">IFERROR(COUNTIFS(VISITA!$Q:$Q,"S",VISITA!$AK:$AK,RESUMEN!$C213,VISITA!$P:$P,RESUMEN!Q$203),0)</f>
        <v>0</v>
      </c>
      <c r="R213" s="18">
        <f ca="1">IFERROR(COUNTIFS(VISITA!$AM:$AM,"SS",VISITA!$AK:$AK,RESUMEN!$C213,VISITA!$P:$P,RESUMEN!Q$203),0)</f>
        <v>0</v>
      </c>
      <c r="S213" s="18">
        <f ca="1">IFERROR(COUNTIFS(VISITA!$AM:$AM,"NS",VISITA!$AK:$AK,RESUMEN!$C213,VISITA!$P:$P,RESUMEN!Q$203),0)</f>
        <v>0</v>
      </c>
      <c r="T213" s="80" t="str">
        <f t="shared" ca="1" si="81"/>
        <v/>
      </c>
      <c r="U213" s="57">
        <f ca="1">IFERROR(COUNTIFS(VISITA!$Q:$Q,"S",VISITA!$AK:$AK,RESUMEN!$C213,VISITA!$P:$P,RESUMEN!U$203),0)</f>
        <v>0</v>
      </c>
      <c r="V213" s="18">
        <f ca="1">IFERROR(COUNTIFS(VISITA!$AM:$AM,"SS",VISITA!$AK:$AK,RESUMEN!$C213,VISITA!$P:$P,RESUMEN!U$203),0)</f>
        <v>0</v>
      </c>
      <c r="W213" s="18">
        <f ca="1">IFERROR(COUNTIFS(VISITA!$AM:$AM,"NS",VISITA!$AK:$AK,RESUMEN!$C213,VISITA!$P:$P,RESUMEN!U$203),0)</f>
        <v>0</v>
      </c>
      <c r="X213" s="80" t="str">
        <f t="shared" ca="1" si="82"/>
        <v/>
      </c>
    </row>
    <row r="214" spans="2:24" x14ac:dyDescent="0.25">
      <c r="B214" s="62">
        <f t="shared" si="77"/>
        <v>10</v>
      </c>
      <c r="C214" s="204" t="str">
        <f t="shared" si="77"/>
        <v xml:space="preserve">- </v>
      </c>
      <c r="D214" s="18" t="str">
        <f t="shared" si="77"/>
        <v/>
      </c>
      <c r="E214" s="57">
        <f ca="1">IFERROR(COUNTIFS(VISITA!$Q:$Q,"S",VISITA!$AK:$AK,RESUMEN!$C214,VISITA!$P:$P,RESUMEN!E$203),0)</f>
        <v>0</v>
      </c>
      <c r="F214" s="18">
        <f ca="1">IFERROR(COUNTIFS(VISITA!$AM:$AM,"SS",VISITA!$AK:$AK,RESUMEN!$C214,VISITA!$P:$P,RESUMEN!E$203),0)</f>
        <v>0</v>
      </c>
      <c r="G214" s="18">
        <f ca="1">IFERROR(COUNTIFS(VISITA!$AM:$AM,"NS",VISITA!$AK:$AK,RESUMEN!$C214,VISITA!$P:$P,RESUMEN!E$203),0)</f>
        <v>0</v>
      </c>
      <c r="H214" s="80" t="str">
        <f t="shared" ca="1" si="78"/>
        <v/>
      </c>
      <c r="I214" s="57">
        <f ca="1">IFERROR(COUNTIFS(VISITA!$Q:$Q,"S",VISITA!$AK:$AK,RESUMEN!$C214,VISITA!$P:$P,RESUMEN!I$203),0)</f>
        <v>0</v>
      </c>
      <c r="J214" s="18">
        <f ca="1">IFERROR(COUNTIFS(VISITA!$AM:$AM,"SS",VISITA!$AK:$AK,RESUMEN!$C214,VISITA!$P:$P,RESUMEN!I$203),0)</f>
        <v>0</v>
      </c>
      <c r="K214" s="18">
        <f ca="1">IFERROR(COUNTIFS(VISITA!$AM:$AM,"NS",VISITA!$AK:$AK,RESUMEN!$C214,VISITA!$P:$P,RESUMEN!I$203),0)</f>
        <v>0</v>
      </c>
      <c r="L214" s="80" t="str">
        <f t="shared" ca="1" si="79"/>
        <v/>
      </c>
      <c r="M214" s="57">
        <f ca="1">IFERROR(COUNTIFS(VISITA!$Q:$Q,"S",VISITA!$AK:$AK,RESUMEN!$C214,VISITA!$P:$P,RESUMEN!M$203),0)</f>
        <v>0</v>
      </c>
      <c r="N214" s="18">
        <f ca="1">IFERROR(COUNTIFS(VISITA!$AM:$AM,"SS",VISITA!$AK:$AK,RESUMEN!$C214,VISITA!$P:$P,RESUMEN!M$203),0)</f>
        <v>0</v>
      </c>
      <c r="O214" s="18">
        <f ca="1">IFERROR(COUNTIFS(VISITA!$AM:$AM,"NS",VISITA!$AK:$AK,RESUMEN!$C214,VISITA!$P:$P,RESUMEN!M$203),0)</f>
        <v>0</v>
      </c>
      <c r="P214" s="80" t="str">
        <f t="shared" ca="1" si="80"/>
        <v/>
      </c>
      <c r="Q214" s="57">
        <f ca="1">IFERROR(COUNTIFS(VISITA!$Q:$Q,"S",VISITA!$AK:$AK,RESUMEN!$C214,VISITA!$P:$P,RESUMEN!Q$203),0)</f>
        <v>0</v>
      </c>
      <c r="R214" s="18">
        <f ca="1">IFERROR(COUNTIFS(VISITA!$AM:$AM,"SS",VISITA!$AK:$AK,RESUMEN!$C214,VISITA!$P:$P,RESUMEN!Q$203),0)</f>
        <v>0</v>
      </c>
      <c r="S214" s="18">
        <f ca="1">IFERROR(COUNTIFS(VISITA!$AM:$AM,"NS",VISITA!$AK:$AK,RESUMEN!$C214,VISITA!$P:$P,RESUMEN!Q$203),0)</f>
        <v>0</v>
      </c>
      <c r="T214" s="80" t="str">
        <f t="shared" ca="1" si="81"/>
        <v/>
      </c>
      <c r="U214" s="57">
        <f ca="1">IFERROR(COUNTIFS(VISITA!$Q:$Q,"S",VISITA!$AK:$AK,RESUMEN!$C214,VISITA!$P:$P,RESUMEN!U$203),0)</f>
        <v>0</v>
      </c>
      <c r="V214" s="18">
        <f ca="1">IFERROR(COUNTIFS(VISITA!$AM:$AM,"SS",VISITA!$AK:$AK,RESUMEN!$C214,VISITA!$P:$P,RESUMEN!U$203),0)</f>
        <v>0</v>
      </c>
      <c r="W214" s="18">
        <f ca="1">IFERROR(COUNTIFS(VISITA!$AM:$AM,"NS",VISITA!$AK:$AK,RESUMEN!$C214,VISITA!$P:$P,RESUMEN!U$203),0)</f>
        <v>0</v>
      </c>
      <c r="X214" s="80" t="str">
        <f t="shared" ca="1" si="82"/>
        <v/>
      </c>
    </row>
    <row r="215" spans="2:24" x14ac:dyDescent="0.25">
      <c r="B215" s="62">
        <f t="shared" si="77"/>
        <v>11</v>
      </c>
      <c r="C215" s="204" t="str">
        <f t="shared" si="77"/>
        <v xml:space="preserve">- </v>
      </c>
      <c r="D215" s="18" t="str">
        <f t="shared" si="77"/>
        <v/>
      </c>
      <c r="E215" s="57">
        <f ca="1">IFERROR(COUNTIFS(VISITA!$Q:$Q,"S",VISITA!$AK:$AK,RESUMEN!$C215,VISITA!$P:$P,RESUMEN!E$203),0)</f>
        <v>0</v>
      </c>
      <c r="F215" s="18">
        <f ca="1">IFERROR(COUNTIFS(VISITA!$AM:$AM,"SS",VISITA!$AK:$AK,RESUMEN!$C215,VISITA!$P:$P,RESUMEN!E$203),0)</f>
        <v>0</v>
      </c>
      <c r="G215" s="18">
        <f ca="1">IFERROR(COUNTIFS(VISITA!$AM:$AM,"NS",VISITA!$AK:$AK,RESUMEN!$C215,VISITA!$P:$P,RESUMEN!E$203),0)</f>
        <v>0</v>
      </c>
      <c r="H215" s="80" t="str">
        <f t="shared" ca="1" si="78"/>
        <v/>
      </c>
      <c r="I215" s="57">
        <f ca="1">IFERROR(COUNTIFS(VISITA!$Q:$Q,"S",VISITA!$AK:$AK,RESUMEN!$C215,VISITA!$P:$P,RESUMEN!I$203),0)</f>
        <v>0</v>
      </c>
      <c r="J215" s="18">
        <f ca="1">IFERROR(COUNTIFS(VISITA!$AM:$AM,"SS",VISITA!$AK:$AK,RESUMEN!$C215,VISITA!$P:$P,RESUMEN!I$203),0)</f>
        <v>0</v>
      </c>
      <c r="K215" s="18">
        <f ca="1">IFERROR(COUNTIFS(VISITA!$AM:$AM,"NS",VISITA!$AK:$AK,RESUMEN!$C215,VISITA!$P:$P,RESUMEN!I$203),0)</f>
        <v>0</v>
      </c>
      <c r="L215" s="80" t="str">
        <f t="shared" ca="1" si="79"/>
        <v/>
      </c>
      <c r="M215" s="57">
        <f ca="1">IFERROR(COUNTIFS(VISITA!$Q:$Q,"S",VISITA!$AK:$AK,RESUMEN!$C215,VISITA!$P:$P,RESUMEN!M$203),0)</f>
        <v>0</v>
      </c>
      <c r="N215" s="18">
        <f ca="1">IFERROR(COUNTIFS(VISITA!$AM:$AM,"SS",VISITA!$AK:$AK,RESUMEN!$C215,VISITA!$P:$P,RESUMEN!M$203),0)</f>
        <v>0</v>
      </c>
      <c r="O215" s="18">
        <f ca="1">IFERROR(COUNTIFS(VISITA!$AM:$AM,"NS",VISITA!$AK:$AK,RESUMEN!$C215,VISITA!$P:$P,RESUMEN!M$203),0)</f>
        <v>0</v>
      </c>
      <c r="P215" s="80" t="str">
        <f t="shared" ca="1" si="80"/>
        <v/>
      </c>
      <c r="Q215" s="57">
        <f ca="1">IFERROR(COUNTIFS(VISITA!$Q:$Q,"S",VISITA!$AK:$AK,RESUMEN!$C215,VISITA!$P:$P,RESUMEN!Q$203),0)</f>
        <v>0</v>
      </c>
      <c r="R215" s="18">
        <f ca="1">IFERROR(COUNTIFS(VISITA!$AM:$AM,"SS",VISITA!$AK:$AK,RESUMEN!$C215,VISITA!$P:$P,RESUMEN!Q$203),0)</f>
        <v>0</v>
      </c>
      <c r="S215" s="18">
        <f ca="1">IFERROR(COUNTIFS(VISITA!$AM:$AM,"NS",VISITA!$AK:$AK,RESUMEN!$C215,VISITA!$P:$P,RESUMEN!Q$203),0)</f>
        <v>0</v>
      </c>
      <c r="T215" s="80" t="str">
        <f t="shared" ca="1" si="81"/>
        <v/>
      </c>
      <c r="U215" s="57">
        <f ca="1">IFERROR(COUNTIFS(VISITA!$Q:$Q,"S",VISITA!$AK:$AK,RESUMEN!$C215,VISITA!$P:$P,RESUMEN!U$203),0)</f>
        <v>0</v>
      </c>
      <c r="V215" s="18">
        <f ca="1">IFERROR(COUNTIFS(VISITA!$AM:$AM,"SS",VISITA!$AK:$AK,RESUMEN!$C215,VISITA!$P:$P,RESUMEN!U$203),0)</f>
        <v>0</v>
      </c>
      <c r="W215" s="18">
        <f ca="1">IFERROR(COUNTIFS(VISITA!$AM:$AM,"NS",VISITA!$AK:$AK,RESUMEN!$C215,VISITA!$P:$P,RESUMEN!U$203),0)</f>
        <v>0</v>
      </c>
      <c r="X215" s="80" t="str">
        <f t="shared" ca="1" si="82"/>
        <v/>
      </c>
    </row>
    <row r="216" spans="2:24" x14ac:dyDescent="0.25">
      <c r="B216" s="62">
        <f t="shared" si="77"/>
        <v>12</v>
      </c>
      <c r="C216" s="204" t="str">
        <f t="shared" si="77"/>
        <v xml:space="preserve">- </v>
      </c>
      <c r="D216" s="18" t="str">
        <f t="shared" si="77"/>
        <v/>
      </c>
      <c r="E216" s="57">
        <f ca="1">IFERROR(COUNTIFS(VISITA!$Q:$Q,"S",VISITA!$AK:$AK,RESUMEN!$C216,VISITA!$P:$P,RESUMEN!E$203),0)</f>
        <v>0</v>
      </c>
      <c r="F216" s="18">
        <f ca="1">IFERROR(COUNTIFS(VISITA!$AM:$AM,"SS",VISITA!$AK:$AK,RESUMEN!$C216,VISITA!$P:$P,RESUMEN!E$203),0)</f>
        <v>0</v>
      </c>
      <c r="G216" s="18">
        <f ca="1">IFERROR(COUNTIFS(VISITA!$AM:$AM,"NS",VISITA!$AK:$AK,RESUMEN!$C216,VISITA!$P:$P,RESUMEN!E$203),0)</f>
        <v>0</v>
      </c>
      <c r="H216" s="80" t="str">
        <f t="shared" ca="1" si="78"/>
        <v/>
      </c>
      <c r="I216" s="57">
        <f ca="1">IFERROR(COUNTIFS(VISITA!$Q:$Q,"S",VISITA!$AK:$AK,RESUMEN!$C216,VISITA!$P:$P,RESUMEN!I$203),0)</f>
        <v>0</v>
      </c>
      <c r="J216" s="18">
        <f ca="1">IFERROR(COUNTIFS(VISITA!$AM:$AM,"SS",VISITA!$AK:$AK,RESUMEN!$C216,VISITA!$P:$P,RESUMEN!I$203),0)</f>
        <v>0</v>
      </c>
      <c r="K216" s="18">
        <f ca="1">IFERROR(COUNTIFS(VISITA!$AM:$AM,"NS",VISITA!$AK:$AK,RESUMEN!$C216,VISITA!$P:$P,RESUMEN!I$203),0)</f>
        <v>0</v>
      </c>
      <c r="L216" s="80" t="str">
        <f t="shared" ca="1" si="79"/>
        <v/>
      </c>
      <c r="M216" s="57">
        <f ca="1">IFERROR(COUNTIFS(VISITA!$Q:$Q,"S",VISITA!$AK:$AK,RESUMEN!$C216,VISITA!$P:$P,RESUMEN!M$203),0)</f>
        <v>0</v>
      </c>
      <c r="N216" s="18">
        <f ca="1">IFERROR(COUNTIFS(VISITA!$AM:$AM,"SS",VISITA!$AK:$AK,RESUMEN!$C216,VISITA!$P:$P,RESUMEN!M$203),0)</f>
        <v>0</v>
      </c>
      <c r="O216" s="18">
        <f ca="1">IFERROR(COUNTIFS(VISITA!$AM:$AM,"NS",VISITA!$AK:$AK,RESUMEN!$C216,VISITA!$P:$P,RESUMEN!M$203),0)</f>
        <v>0</v>
      </c>
      <c r="P216" s="80" t="str">
        <f t="shared" ca="1" si="80"/>
        <v/>
      </c>
      <c r="Q216" s="57">
        <f ca="1">IFERROR(COUNTIFS(VISITA!$Q:$Q,"S",VISITA!$AK:$AK,RESUMEN!$C216,VISITA!$P:$P,RESUMEN!Q$203),0)</f>
        <v>0</v>
      </c>
      <c r="R216" s="18">
        <f ca="1">IFERROR(COUNTIFS(VISITA!$AM:$AM,"SS",VISITA!$AK:$AK,RESUMEN!$C216,VISITA!$P:$P,RESUMEN!Q$203),0)</f>
        <v>0</v>
      </c>
      <c r="S216" s="18">
        <f ca="1">IFERROR(COUNTIFS(VISITA!$AM:$AM,"NS",VISITA!$AK:$AK,RESUMEN!$C216,VISITA!$P:$P,RESUMEN!Q$203),0)</f>
        <v>0</v>
      </c>
      <c r="T216" s="80" t="str">
        <f t="shared" ca="1" si="81"/>
        <v/>
      </c>
      <c r="U216" s="57">
        <f ca="1">IFERROR(COUNTIFS(VISITA!$Q:$Q,"S",VISITA!$AK:$AK,RESUMEN!$C216,VISITA!$P:$P,RESUMEN!U$203),0)</f>
        <v>0</v>
      </c>
      <c r="V216" s="18">
        <f ca="1">IFERROR(COUNTIFS(VISITA!$AM:$AM,"SS",VISITA!$AK:$AK,RESUMEN!$C216,VISITA!$P:$P,RESUMEN!U$203),0)</f>
        <v>0</v>
      </c>
      <c r="W216" s="18">
        <f ca="1">IFERROR(COUNTIFS(VISITA!$AM:$AM,"NS",VISITA!$AK:$AK,RESUMEN!$C216,VISITA!$P:$P,RESUMEN!U$203),0)</f>
        <v>0</v>
      </c>
      <c r="X216" s="80" t="str">
        <f t="shared" ca="1" si="82"/>
        <v/>
      </c>
    </row>
    <row r="217" spans="2:24" x14ac:dyDescent="0.25">
      <c r="B217" s="62">
        <f t="shared" si="77"/>
        <v>13</v>
      </c>
      <c r="C217" s="204" t="str">
        <f t="shared" si="77"/>
        <v xml:space="preserve">- </v>
      </c>
      <c r="D217" s="18" t="str">
        <f t="shared" si="77"/>
        <v/>
      </c>
      <c r="E217" s="57">
        <f ca="1">IFERROR(COUNTIFS(VISITA!$Q:$Q,"S",VISITA!$AK:$AK,RESUMEN!$C217,VISITA!$P:$P,RESUMEN!E$203),0)</f>
        <v>0</v>
      </c>
      <c r="F217" s="18">
        <f ca="1">IFERROR(COUNTIFS(VISITA!$AM:$AM,"SS",VISITA!$AK:$AK,RESUMEN!$C217,VISITA!$P:$P,RESUMEN!E$203),0)</f>
        <v>0</v>
      </c>
      <c r="G217" s="18">
        <f ca="1">IFERROR(COUNTIFS(VISITA!$AM:$AM,"NS",VISITA!$AK:$AK,RESUMEN!$C217,VISITA!$P:$P,RESUMEN!E$203),0)</f>
        <v>0</v>
      </c>
      <c r="H217" s="80" t="str">
        <f t="shared" ca="1" si="78"/>
        <v/>
      </c>
      <c r="I217" s="57">
        <f ca="1">IFERROR(COUNTIFS(VISITA!$Q:$Q,"S",VISITA!$AK:$AK,RESUMEN!$C217,VISITA!$P:$P,RESUMEN!I$203),0)</f>
        <v>0</v>
      </c>
      <c r="J217" s="18">
        <f ca="1">IFERROR(COUNTIFS(VISITA!$AM:$AM,"SS",VISITA!$AK:$AK,RESUMEN!$C217,VISITA!$P:$P,RESUMEN!I$203),0)</f>
        <v>0</v>
      </c>
      <c r="K217" s="18">
        <f ca="1">IFERROR(COUNTIFS(VISITA!$AM:$AM,"NS",VISITA!$AK:$AK,RESUMEN!$C217,VISITA!$P:$P,RESUMEN!I$203),0)</f>
        <v>0</v>
      </c>
      <c r="L217" s="80" t="str">
        <f t="shared" ca="1" si="79"/>
        <v/>
      </c>
      <c r="M217" s="57">
        <f ca="1">IFERROR(COUNTIFS(VISITA!$Q:$Q,"S",VISITA!$AK:$AK,RESUMEN!$C217,VISITA!$P:$P,RESUMEN!M$203),0)</f>
        <v>0</v>
      </c>
      <c r="N217" s="18">
        <f ca="1">IFERROR(COUNTIFS(VISITA!$AM:$AM,"SS",VISITA!$AK:$AK,RESUMEN!$C217,VISITA!$P:$P,RESUMEN!M$203),0)</f>
        <v>0</v>
      </c>
      <c r="O217" s="18">
        <f ca="1">IFERROR(COUNTIFS(VISITA!$AM:$AM,"NS",VISITA!$AK:$AK,RESUMEN!$C217,VISITA!$P:$P,RESUMEN!M$203),0)</f>
        <v>0</v>
      </c>
      <c r="P217" s="80" t="str">
        <f t="shared" ca="1" si="80"/>
        <v/>
      </c>
      <c r="Q217" s="57">
        <f ca="1">IFERROR(COUNTIFS(VISITA!$Q:$Q,"S",VISITA!$AK:$AK,RESUMEN!$C217,VISITA!$P:$P,RESUMEN!Q$203),0)</f>
        <v>0</v>
      </c>
      <c r="R217" s="18">
        <f ca="1">IFERROR(COUNTIFS(VISITA!$AM:$AM,"SS",VISITA!$AK:$AK,RESUMEN!$C217,VISITA!$P:$P,RESUMEN!Q$203),0)</f>
        <v>0</v>
      </c>
      <c r="S217" s="18">
        <f ca="1">IFERROR(COUNTIFS(VISITA!$AM:$AM,"NS",VISITA!$AK:$AK,RESUMEN!$C217,VISITA!$P:$P,RESUMEN!Q$203),0)</f>
        <v>0</v>
      </c>
      <c r="T217" s="80" t="str">
        <f t="shared" ca="1" si="81"/>
        <v/>
      </c>
      <c r="U217" s="57">
        <f ca="1">IFERROR(COUNTIFS(VISITA!$Q:$Q,"S",VISITA!$AK:$AK,RESUMEN!$C217,VISITA!$P:$P,RESUMEN!U$203),0)</f>
        <v>0</v>
      </c>
      <c r="V217" s="18">
        <f ca="1">IFERROR(COUNTIFS(VISITA!$AM:$AM,"SS",VISITA!$AK:$AK,RESUMEN!$C217,VISITA!$P:$P,RESUMEN!U$203),0)</f>
        <v>0</v>
      </c>
      <c r="W217" s="18">
        <f ca="1">IFERROR(COUNTIFS(VISITA!$AM:$AM,"NS",VISITA!$AK:$AK,RESUMEN!$C217,VISITA!$P:$P,RESUMEN!U$203),0)</f>
        <v>0</v>
      </c>
      <c r="X217" s="80" t="str">
        <f t="shared" ca="1" si="82"/>
        <v/>
      </c>
    </row>
    <row r="218" spans="2:24" x14ac:dyDescent="0.25">
      <c r="B218" s="62">
        <f t="shared" si="77"/>
        <v>14</v>
      </c>
      <c r="C218" s="204" t="str">
        <f t="shared" si="77"/>
        <v xml:space="preserve">- </v>
      </c>
      <c r="D218" s="18" t="str">
        <f t="shared" si="77"/>
        <v/>
      </c>
      <c r="E218" s="57">
        <f ca="1">IFERROR(COUNTIFS(VISITA!$Q:$Q,"S",VISITA!$AK:$AK,RESUMEN!$C218,VISITA!$P:$P,RESUMEN!E$203),0)</f>
        <v>0</v>
      </c>
      <c r="F218" s="18">
        <f ca="1">IFERROR(COUNTIFS(VISITA!$AM:$AM,"SS",VISITA!$AK:$AK,RESUMEN!$C218,VISITA!$P:$P,RESUMEN!E$203),0)</f>
        <v>0</v>
      </c>
      <c r="G218" s="18">
        <f ca="1">IFERROR(COUNTIFS(VISITA!$AM:$AM,"NS",VISITA!$AK:$AK,RESUMEN!$C218,VISITA!$P:$P,RESUMEN!E$203),0)</f>
        <v>0</v>
      </c>
      <c r="H218" s="80" t="str">
        <f t="shared" ca="1" si="78"/>
        <v/>
      </c>
      <c r="I218" s="57">
        <f ca="1">IFERROR(COUNTIFS(VISITA!$Q:$Q,"S",VISITA!$AK:$AK,RESUMEN!$C218,VISITA!$P:$P,RESUMEN!I$203),0)</f>
        <v>0</v>
      </c>
      <c r="J218" s="18">
        <f ca="1">IFERROR(COUNTIFS(VISITA!$AM:$AM,"SS",VISITA!$AK:$AK,RESUMEN!$C218,VISITA!$P:$P,RESUMEN!I$203),0)</f>
        <v>0</v>
      </c>
      <c r="K218" s="18">
        <f ca="1">IFERROR(COUNTIFS(VISITA!$AM:$AM,"NS",VISITA!$AK:$AK,RESUMEN!$C218,VISITA!$P:$P,RESUMEN!I$203),0)</f>
        <v>0</v>
      </c>
      <c r="L218" s="80" t="str">
        <f t="shared" ca="1" si="79"/>
        <v/>
      </c>
      <c r="M218" s="57">
        <f ca="1">IFERROR(COUNTIFS(VISITA!$Q:$Q,"S",VISITA!$AK:$AK,RESUMEN!$C218,VISITA!$P:$P,RESUMEN!M$203),0)</f>
        <v>0</v>
      </c>
      <c r="N218" s="18">
        <f ca="1">IFERROR(COUNTIFS(VISITA!$AM:$AM,"SS",VISITA!$AK:$AK,RESUMEN!$C218,VISITA!$P:$P,RESUMEN!M$203),0)</f>
        <v>0</v>
      </c>
      <c r="O218" s="18">
        <f ca="1">IFERROR(COUNTIFS(VISITA!$AM:$AM,"NS",VISITA!$AK:$AK,RESUMEN!$C218,VISITA!$P:$P,RESUMEN!M$203),0)</f>
        <v>0</v>
      </c>
      <c r="P218" s="80" t="str">
        <f t="shared" ca="1" si="80"/>
        <v/>
      </c>
      <c r="Q218" s="57">
        <f ca="1">IFERROR(COUNTIFS(VISITA!$Q:$Q,"S",VISITA!$AK:$AK,RESUMEN!$C218,VISITA!$P:$P,RESUMEN!Q$203),0)</f>
        <v>0</v>
      </c>
      <c r="R218" s="18">
        <f ca="1">IFERROR(COUNTIFS(VISITA!$AM:$AM,"SS",VISITA!$AK:$AK,RESUMEN!$C218,VISITA!$P:$P,RESUMEN!Q$203),0)</f>
        <v>0</v>
      </c>
      <c r="S218" s="18">
        <f ca="1">IFERROR(COUNTIFS(VISITA!$AM:$AM,"NS",VISITA!$AK:$AK,RESUMEN!$C218,VISITA!$P:$P,RESUMEN!Q$203),0)</f>
        <v>0</v>
      </c>
      <c r="T218" s="80" t="str">
        <f t="shared" ca="1" si="81"/>
        <v/>
      </c>
      <c r="U218" s="57">
        <f ca="1">IFERROR(COUNTIFS(VISITA!$Q:$Q,"S",VISITA!$AK:$AK,RESUMEN!$C218,VISITA!$P:$P,RESUMEN!U$203),0)</f>
        <v>0</v>
      </c>
      <c r="V218" s="18">
        <f ca="1">IFERROR(COUNTIFS(VISITA!$AM:$AM,"SS",VISITA!$AK:$AK,RESUMEN!$C218,VISITA!$P:$P,RESUMEN!U$203),0)</f>
        <v>0</v>
      </c>
      <c r="W218" s="18">
        <f ca="1">IFERROR(COUNTIFS(VISITA!$AM:$AM,"NS",VISITA!$AK:$AK,RESUMEN!$C218,VISITA!$P:$P,RESUMEN!U$203),0)</f>
        <v>0</v>
      </c>
      <c r="X218" s="80" t="str">
        <f t="shared" ca="1" si="82"/>
        <v/>
      </c>
    </row>
    <row r="219" spans="2:24" x14ac:dyDescent="0.25">
      <c r="B219" s="62">
        <f t="shared" si="77"/>
        <v>15</v>
      </c>
      <c r="C219" s="204" t="str">
        <f t="shared" si="77"/>
        <v xml:space="preserve">- </v>
      </c>
      <c r="D219" s="18" t="str">
        <f t="shared" si="77"/>
        <v/>
      </c>
      <c r="E219" s="57">
        <f ca="1">IFERROR(COUNTIFS(VISITA!$Q:$Q,"S",VISITA!$AK:$AK,RESUMEN!$C219,VISITA!$P:$P,RESUMEN!E$203),0)</f>
        <v>0</v>
      </c>
      <c r="F219" s="18">
        <f ca="1">IFERROR(COUNTIFS(VISITA!$AM:$AM,"SS",VISITA!$AK:$AK,RESUMEN!$C219,VISITA!$P:$P,RESUMEN!E$203),0)</f>
        <v>0</v>
      </c>
      <c r="G219" s="18">
        <f ca="1">IFERROR(COUNTIFS(VISITA!$AM:$AM,"NS",VISITA!$AK:$AK,RESUMEN!$C219,VISITA!$P:$P,RESUMEN!E$203),0)</f>
        <v>0</v>
      </c>
      <c r="H219" s="80" t="str">
        <f t="shared" ca="1" si="78"/>
        <v/>
      </c>
      <c r="I219" s="57">
        <f ca="1">IFERROR(COUNTIFS(VISITA!$Q:$Q,"S",VISITA!$AK:$AK,RESUMEN!$C219,VISITA!$P:$P,RESUMEN!I$203),0)</f>
        <v>0</v>
      </c>
      <c r="J219" s="18">
        <f ca="1">IFERROR(COUNTIFS(VISITA!$AM:$AM,"SS",VISITA!$AK:$AK,RESUMEN!$C219,VISITA!$P:$P,RESUMEN!I$203),0)</f>
        <v>0</v>
      </c>
      <c r="K219" s="18">
        <f ca="1">IFERROR(COUNTIFS(VISITA!$AM:$AM,"NS",VISITA!$AK:$AK,RESUMEN!$C219,VISITA!$P:$P,RESUMEN!I$203),0)</f>
        <v>0</v>
      </c>
      <c r="L219" s="80" t="str">
        <f t="shared" ca="1" si="79"/>
        <v/>
      </c>
      <c r="M219" s="57">
        <f ca="1">IFERROR(COUNTIFS(VISITA!$Q:$Q,"S",VISITA!$AK:$AK,RESUMEN!$C219,VISITA!$P:$P,RESUMEN!M$203),0)</f>
        <v>0</v>
      </c>
      <c r="N219" s="18">
        <f ca="1">IFERROR(COUNTIFS(VISITA!$AM:$AM,"SS",VISITA!$AK:$AK,RESUMEN!$C219,VISITA!$P:$P,RESUMEN!M$203),0)</f>
        <v>0</v>
      </c>
      <c r="O219" s="18">
        <f ca="1">IFERROR(COUNTIFS(VISITA!$AM:$AM,"NS",VISITA!$AK:$AK,RESUMEN!$C219,VISITA!$P:$P,RESUMEN!M$203),0)</f>
        <v>0</v>
      </c>
      <c r="P219" s="80" t="str">
        <f t="shared" ca="1" si="80"/>
        <v/>
      </c>
      <c r="Q219" s="57">
        <f ca="1">IFERROR(COUNTIFS(VISITA!$Q:$Q,"S",VISITA!$AK:$AK,RESUMEN!$C219,VISITA!$P:$P,RESUMEN!Q$203),0)</f>
        <v>0</v>
      </c>
      <c r="R219" s="18">
        <f ca="1">IFERROR(COUNTIFS(VISITA!$AM:$AM,"SS",VISITA!$AK:$AK,RESUMEN!$C219,VISITA!$P:$P,RESUMEN!Q$203),0)</f>
        <v>0</v>
      </c>
      <c r="S219" s="18">
        <f ca="1">IFERROR(COUNTIFS(VISITA!$AM:$AM,"NS",VISITA!$AK:$AK,RESUMEN!$C219,VISITA!$P:$P,RESUMEN!Q$203),0)</f>
        <v>0</v>
      </c>
      <c r="T219" s="80" t="str">
        <f t="shared" ca="1" si="81"/>
        <v/>
      </c>
      <c r="U219" s="57">
        <f ca="1">IFERROR(COUNTIFS(VISITA!$Q:$Q,"S",VISITA!$AK:$AK,RESUMEN!$C219,VISITA!$P:$P,RESUMEN!U$203),0)</f>
        <v>0</v>
      </c>
      <c r="V219" s="18">
        <f ca="1">IFERROR(COUNTIFS(VISITA!$AM:$AM,"SS",VISITA!$AK:$AK,RESUMEN!$C219,VISITA!$P:$P,RESUMEN!U$203),0)</f>
        <v>0</v>
      </c>
      <c r="W219" s="18">
        <f ca="1">IFERROR(COUNTIFS(VISITA!$AM:$AM,"NS",VISITA!$AK:$AK,RESUMEN!$C219,VISITA!$P:$P,RESUMEN!U$203),0)</f>
        <v>0</v>
      </c>
      <c r="X219" s="80" t="str">
        <f t="shared" ca="1" si="82"/>
        <v/>
      </c>
    </row>
    <row r="220" spans="2:24" x14ac:dyDescent="0.25">
      <c r="B220" s="62">
        <f t="shared" si="77"/>
        <v>16</v>
      </c>
      <c r="C220" s="204" t="str">
        <f t="shared" si="77"/>
        <v xml:space="preserve">- </v>
      </c>
      <c r="D220" s="18" t="str">
        <f t="shared" si="77"/>
        <v/>
      </c>
      <c r="E220" s="57">
        <f ca="1">IFERROR(COUNTIFS(VISITA!$Q:$Q,"S",VISITA!$AK:$AK,RESUMEN!$C220,VISITA!$P:$P,RESUMEN!E$203),0)</f>
        <v>0</v>
      </c>
      <c r="F220" s="18">
        <f ca="1">IFERROR(COUNTIFS(VISITA!$AM:$AM,"SS",VISITA!$AK:$AK,RESUMEN!$C220,VISITA!$P:$P,RESUMEN!E$203),0)</f>
        <v>0</v>
      </c>
      <c r="G220" s="18">
        <f ca="1">IFERROR(COUNTIFS(VISITA!$AM:$AM,"NS",VISITA!$AK:$AK,RESUMEN!$C220,VISITA!$P:$P,RESUMEN!E$203),0)</f>
        <v>0</v>
      </c>
      <c r="H220" s="80" t="str">
        <f t="shared" ca="1" si="78"/>
        <v/>
      </c>
      <c r="I220" s="57">
        <f ca="1">IFERROR(COUNTIFS(VISITA!$Q:$Q,"S",VISITA!$AK:$AK,RESUMEN!$C220,VISITA!$P:$P,RESUMEN!I$203),0)</f>
        <v>0</v>
      </c>
      <c r="J220" s="18">
        <f ca="1">IFERROR(COUNTIFS(VISITA!$AM:$AM,"SS",VISITA!$AK:$AK,RESUMEN!$C220,VISITA!$P:$P,RESUMEN!I$203),0)</f>
        <v>0</v>
      </c>
      <c r="K220" s="18">
        <f ca="1">IFERROR(COUNTIFS(VISITA!$AM:$AM,"NS",VISITA!$AK:$AK,RESUMEN!$C220,VISITA!$P:$P,RESUMEN!I$203),0)</f>
        <v>0</v>
      </c>
      <c r="L220" s="80" t="str">
        <f t="shared" ca="1" si="79"/>
        <v/>
      </c>
      <c r="M220" s="57">
        <f ca="1">IFERROR(COUNTIFS(VISITA!$Q:$Q,"S",VISITA!$AK:$AK,RESUMEN!$C220,VISITA!$P:$P,RESUMEN!M$203),0)</f>
        <v>0</v>
      </c>
      <c r="N220" s="18">
        <f ca="1">IFERROR(COUNTIFS(VISITA!$AM:$AM,"SS",VISITA!$AK:$AK,RESUMEN!$C220,VISITA!$P:$P,RESUMEN!M$203),0)</f>
        <v>0</v>
      </c>
      <c r="O220" s="18">
        <f ca="1">IFERROR(COUNTIFS(VISITA!$AM:$AM,"NS",VISITA!$AK:$AK,RESUMEN!$C220,VISITA!$P:$P,RESUMEN!M$203),0)</f>
        <v>0</v>
      </c>
      <c r="P220" s="80" t="str">
        <f t="shared" ca="1" si="80"/>
        <v/>
      </c>
      <c r="Q220" s="57">
        <f ca="1">IFERROR(COUNTIFS(VISITA!$Q:$Q,"S",VISITA!$AK:$AK,RESUMEN!$C220,VISITA!$P:$P,RESUMEN!Q$203),0)</f>
        <v>0</v>
      </c>
      <c r="R220" s="18">
        <f ca="1">IFERROR(COUNTIFS(VISITA!$AM:$AM,"SS",VISITA!$AK:$AK,RESUMEN!$C220,VISITA!$P:$P,RESUMEN!Q$203),0)</f>
        <v>0</v>
      </c>
      <c r="S220" s="18">
        <f ca="1">IFERROR(COUNTIFS(VISITA!$AM:$AM,"NS",VISITA!$AK:$AK,RESUMEN!$C220,VISITA!$P:$P,RESUMEN!Q$203),0)</f>
        <v>0</v>
      </c>
      <c r="T220" s="80" t="str">
        <f t="shared" ca="1" si="81"/>
        <v/>
      </c>
      <c r="U220" s="57">
        <f ca="1">IFERROR(COUNTIFS(VISITA!$Q:$Q,"S",VISITA!$AK:$AK,RESUMEN!$C220,VISITA!$P:$P,RESUMEN!U$203),0)</f>
        <v>0</v>
      </c>
      <c r="V220" s="18">
        <f ca="1">IFERROR(COUNTIFS(VISITA!$AM:$AM,"SS",VISITA!$AK:$AK,RESUMEN!$C220,VISITA!$P:$P,RESUMEN!U$203),0)</f>
        <v>0</v>
      </c>
      <c r="W220" s="18">
        <f ca="1">IFERROR(COUNTIFS(VISITA!$AM:$AM,"NS",VISITA!$AK:$AK,RESUMEN!$C220,VISITA!$P:$P,RESUMEN!U$203),0)</f>
        <v>0</v>
      </c>
      <c r="X220" s="80" t="str">
        <f t="shared" ca="1" si="82"/>
        <v/>
      </c>
    </row>
    <row r="221" spans="2:24" x14ac:dyDescent="0.25">
      <c r="B221" s="62">
        <f t="shared" si="77"/>
        <v>17</v>
      </c>
      <c r="C221" s="204" t="str">
        <f t="shared" si="77"/>
        <v xml:space="preserve">- </v>
      </c>
      <c r="D221" s="18" t="str">
        <f t="shared" si="77"/>
        <v/>
      </c>
      <c r="E221" s="57">
        <f ca="1">IFERROR(COUNTIFS(VISITA!$Q:$Q,"S",VISITA!$AK:$AK,RESUMEN!$C221,VISITA!$P:$P,RESUMEN!E$203),0)</f>
        <v>0</v>
      </c>
      <c r="F221" s="18">
        <f ca="1">IFERROR(COUNTIFS(VISITA!$AM:$AM,"SS",VISITA!$AK:$AK,RESUMEN!$C221,VISITA!$P:$P,RESUMEN!E$203),0)</f>
        <v>0</v>
      </c>
      <c r="G221" s="18">
        <f ca="1">IFERROR(COUNTIFS(VISITA!$AM:$AM,"NS",VISITA!$AK:$AK,RESUMEN!$C221,VISITA!$P:$P,RESUMEN!E$203),0)</f>
        <v>0</v>
      </c>
      <c r="H221" s="80" t="str">
        <f t="shared" ca="1" si="78"/>
        <v/>
      </c>
      <c r="I221" s="57">
        <f ca="1">IFERROR(COUNTIFS(VISITA!$Q:$Q,"S",VISITA!$AK:$AK,RESUMEN!$C221,VISITA!$P:$P,RESUMEN!I$203),0)</f>
        <v>0</v>
      </c>
      <c r="J221" s="18">
        <f ca="1">IFERROR(COUNTIFS(VISITA!$AM:$AM,"SS",VISITA!$AK:$AK,RESUMEN!$C221,VISITA!$P:$P,RESUMEN!I$203),0)</f>
        <v>0</v>
      </c>
      <c r="K221" s="18">
        <f ca="1">IFERROR(COUNTIFS(VISITA!$AM:$AM,"NS",VISITA!$AK:$AK,RESUMEN!$C221,VISITA!$P:$P,RESUMEN!I$203),0)</f>
        <v>0</v>
      </c>
      <c r="L221" s="80" t="str">
        <f t="shared" ca="1" si="79"/>
        <v/>
      </c>
      <c r="M221" s="57">
        <f ca="1">IFERROR(COUNTIFS(VISITA!$Q:$Q,"S",VISITA!$AK:$AK,RESUMEN!$C221,VISITA!$P:$P,RESUMEN!M$203),0)</f>
        <v>0</v>
      </c>
      <c r="N221" s="18">
        <f ca="1">IFERROR(COUNTIFS(VISITA!$AM:$AM,"SS",VISITA!$AK:$AK,RESUMEN!$C221,VISITA!$P:$P,RESUMEN!M$203),0)</f>
        <v>0</v>
      </c>
      <c r="O221" s="18">
        <f ca="1">IFERROR(COUNTIFS(VISITA!$AM:$AM,"NS",VISITA!$AK:$AK,RESUMEN!$C221,VISITA!$P:$P,RESUMEN!M$203),0)</f>
        <v>0</v>
      </c>
      <c r="P221" s="80" t="str">
        <f t="shared" ca="1" si="80"/>
        <v/>
      </c>
      <c r="Q221" s="57">
        <f ca="1">IFERROR(COUNTIFS(VISITA!$Q:$Q,"S",VISITA!$AK:$AK,RESUMEN!$C221,VISITA!$P:$P,RESUMEN!Q$203),0)</f>
        <v>0</v>
      </c>
      <c r="R221" s="18">
        <f ca="1">IFERROR(COUNTIFS(VISITA!$AM:$AM,"SS",VISITA!$AK:$AK,RESUMEN!$C221,VISITA!$P:$P,RESUMEN!Q$203),0)</f>
        <v>0</v>
      </c>
      <c r="S221" s="18">
        <f ca="1">IFERROR(COUNTIFS(VISITA!$AM:$AM,"NS",VISITA!$AK:$AK,RESUMEN!$C221,VISITA!$P:$P,RESUMEN!Q$203),0)</f>
        <v>0</v>
      </c>
      <c r="T221" s="80" t="str">
        <f t="shared" ca="1" si="81"/>
        <v/>
      </c>
      <c r="U221" s="57">
        <f ca="1">IFERROR(COUNTIFS(VISITA!$Q:$Q,"S",VISITA!$AK:$AK,RESUMEN!$C221,VISITA!$P:$P,RESUMEN!U$203),0)</f>
        <v>0</v>
      </c>
      <c r="V221" s="18">
        <f ca="1">IFERROR(COUNTIFS(VISITA!$AM:$AM,"SS",VISITA!$AK:$AK,RESUMEN!$C221,VISITA!$P:$P,RESUMEN!U$203),0)</f>
        <v>0</v>
      </c>
      <c r="W221" s="18">
        <f ca="1">IFERROR(COUNTIFS(VISITA!$AM:$AM,"NS",VISITA!$AK:$AK,RESUMEN!$C221,VISITA!$P:$P,RESUMEN!U$203),0)</f>
        <v>0</v>
      </c>
      <c r="X221" s="80" t="str">
        <f t="shared" ca="1" si="82"/>
        <v/>
      </c>
    </row>
    <row r="222" spans="2:24" x14ac:dyDescent="0.25">
      <c r="B222" s="62">
        <f t="shared" si="77"/>
        <v>18</v>
      </c>
      <c r="C222" s="204" t="str">
        <f t="shared" si="77"/>
        <v xml:space="preserve">- </v>
      </c>
      <c r="D222" s="18" t="str">
        <f t="shared" si="77"/>
        <v/>
      </c>
      <c r="E222" s="57">
        <f ca="1">IFERROR(COUNTIFS(VISITA!$Q:$Q,"S",VISITA!$AK:$AK,RESUMEN!$C222,VISITA!$P:$P,RESUMEN!E$203),0)</f>
        <v>0</v>
      </c>
      <c r="F222" s="18">
        <f ca="1">IFERROR(COUNTIFS(VISITA!$AM:$AM,"SS",VISITA!$AK:$AK,RESUMEN!$C222,VISITA!$P:$P,RESUMEN!E$203),0)</f>
        <v>0</v>
      </c>
      <c r="G222" s="18">
        <f ca="1">IFERROR(COUNTIFS(VISITA!$AM:$AM,"NS",VISITA!$AK:$AK,RESUMEN!$C222,VISITA!$P:$P,RESUMEN!E$203),0)</f>
        <v>0</v>
      </c>
      <c r="H222" s="80" t="str">
        <f t="shared" ca="1" si="78"/>
        <v/>
      </c>
      <c r="I222" s="57">
        <f ca="1">IFERROR(COUNTIFS(VISITA!$Q:$Q,"S",VISITA!$AK:$AK,RESUMEN!$C222,VISITA!$P:$P,RESUMEN!I$203),0)</f>
        <v>0</v>
      </c>
      <c r="J222" s="18">
        <f ca="1">IFERROR(COUNTIFS(VISITA!$AM:$AM,"SS",VISITA!$AK:$AK,RESUMEN!$C222,VISITA!$P:$P,RESUMEN!I$203),0)</f>
        <v>0</v>
      </c>
      <c r="K222" s="18">
        <f ca="1">IFERROR(COUNTIFS(VISITA!$AM:$AM,"NS",VISITA!$AK:$AK,RESUMEN!$C222,VISITA!$P:$P,RESUMEN!I$203),0)</f>
        <v>0</v>
      </c>
      <c r="L222" s="80" t="str">
        <f t="shared" ca="1" si="79"/>
        <v/>
      </c>
      <c r="M222" s="57">
        <f ca="1">IFERROR(COUNTIFS(VISITA!$Q:$Q,"S",VISITA!$AK:$AK,RESUMEN!$C222,VISITA!$P:$P,RESUMEN!M$203),0)</f>
        <v>0</v>
      </c>
      <c r="N222" s="18">
        <f ca="1">IFERROR(COUNTIFS(VISITA!$AM:$AM,"SS",VISITA!$AK:$AK,RESUMEN!$C222,VISITA!$P:$P,RESUMEN!M$203),0)</f>
        <v>0</v>
      </c>
      <c r="O222" s="18">
        <f ca="1">IFERROR(COUNTIFS(VISITA!$AM:$AM,"NS",VISITA!$AK:$AK,RESUMEN!$C222,VISITA!$P:$P,RESUMEN!M$203),0)</f>
        <v>0</v>
      </c>
      <c r="P222" s="80" t="str">
        <f t="shared" ca="1" si="80"/>
        <v/>
      </c>
      <c r="Q222" s="57">
        <f ca="1">IFERROR(COUNTIFS(VISITA!$Q:$Q,"S",VISITA!$AK:$AK,RESUMEN!$C222,VISITA!$P:$P,RESUMEN!Q$203),0)</f>
        <v>0</v>
      </c>
      <c r="R222" s="18">
        <f ca="1">IFERROR(COUNTIFS(VISITA!$AM:$AM,"SS",VISITA!$AK:$AK,RESUMEN!$C222,VISITA!$P:$P,RESUMEN!Q$203),0)</f>
        <v>0</v>
      </c>
      <c r="S222" s="18">
        <f ca="1">IFERROR(COUNTIFS(VISITA!$AM:$AM,"NS",VISITA!$AK:$AK,RESUMEN!$C222,VISITA!$P:$P,RESUMEN!Q$203),0)</f>
        <v>0</v>
      </c>
      <c r="T222" s="80" t="str">
        <f t="shared" ca="1" si="81"/>
        <v/>
      </c>
      <c r="U222" s="57">
        <f ca="1">IFERROR(COUNTIFS(VISITA!$Q:$Q,"S",VISITA!$AK:$AK,RESUMEN!$C222,VISITA!$P:$P,RESUMEN!U$203),0)</f>
        <v>0</v>
      </c>
      <c r="V222" s="18">
        <f ca="1">IFERROR(COUNTIFS(VISITA!$AM:$AM,"SS",VISITA!$AK:$AK,RESUMEN!$C222,VISITA!$P:$P,RESUMEN!U$203),0)</f>
        <v>0</v>
      </c>
      <c r="W222" s="18">
        <f ca="1">IFERROR(COUNTIFS(VISITA!$AM:$AM,"NS",VISITA!$AK:$AK,RESUMEN!$C222,VISITA!$P:$P,RESUMEN!U$203),0)</f>
        <v>0</v>
      </c>
      <c r="X222" s="80" t="str">
        <f t="shared" ca="1" si="82"/>
        <v/>
      </c>
    </row>
    <row r="223" spans="2:24" x14ac:dyDescent="0.25">
      <c r="B223" s="62">
        <f t="shared" si="77"/>
        <v>19</v>
      </c>
      <c r="C223" s="204" t="str">
        <f t="shared" si="77"/>
        <v xml:space="preserve">- </v>
      </c>
      <c r="D223" s="18" t="str">
        <f t="shared" si="77"/>
        <v/>
      </c>
      <c r="E223" s="57">
        <f ca="1">IFERROR(COUNTIFS(VISITA!$Q:$Q,"S",VISITA!$AK:$AK,RESUMEN!$C223,VISITA!$P:$P,RESUMEN!E$203),0)</f>
        <v>0</v>
      </c>
      <c r="F223" s="18">
        <f ca="1">IFERROR(COUNTIFS(VISITA!$AM:$AM,"SS",VISITA!$AK:$AK,RESUMEN!$C223,VISITA!$P:$P,RESUMEN!E$203),0)</f>
        <v>0</v>
      </c>
      <c r="G223" s="18">
        <f ca="1">IFERROR(COUNTIFS(VISITA!$AM:$AM,"NS",VISITA!$AK:$AK,RESUMEN!$C223,VISITA!$P:$P,RESUMEN!E$203),0)</f>
        <v>0</v>
      </c>
      <c r="H223" s="80" t="str">
        <f t="shared" ca="1" si="78"/>
        <v/>
      </c>
      <c r="I223" s="57">
        <f ca="1">IFERROR(COUNTIFS(VISITA!$Q:$Q,"S",VISITA!$AK:$AK,RESUMEN!$C223,VISITA!$P:$P,RESUMEN!I$203),0)</f>
        <v>0</v>
      </c>
      <c r="J223" s="18">
        <f ca="1">IFERROR(COUNTIFS(VISITA!$AM:$AM,"SS",VISITA!$AK:$AK,RESUMEN!$C223,VISITA!$P:$P,RESUMEN!I$203),0)</f>
        <v>0</v>
      </c>
      <c r="K223" s="18">
        <f ca="1">IFERROR(COUNTIFS(VISITA!$AM:$AM,"NS",VISITA!$AK:$AK,RESUMEN!$C223,VISITA!$P:$P,RESUMEN!I$203),0)</f>
        <v>0</v>
      </c>
      <c r="L223" s="80" t="str">
        <f t="shared" ca="1" si="79"/>
        <v/>
      </c>
      <c r="M223" s="57">
        <f ca="1">IFERROR(COUNTIFS(VISITA!$Q:$Q,"S",VISITA!$AK:$AK,RESUMEN!$C223,VISITA!$P:$P,RESUMEN!M$203),0)</f>
        <v>0</v>
      </c>
      <c r="N223" s="18">
        <f ca="1">IFERROR(COUNTIFS(VISITA!$AM:$AM,"SS",VISITA!$AK:$AK,RESUMEN!$C223,VISITA!$P:$P,RESUMEN!M$203),0)</f>
        <v>0</v>
      </c>
      <c r="O223" s="18">
        <f ca="1">IFERROR(COUNTIFS(VISITA!$AM:$AM,"NS",VISITA!$AK:$AK,RESUMEN!$C223,VISITA!$P:$P,RESUMEN!M$203),0)</f>
        <v>0</v>
      </c>
      <c r="P223" s="80" t="str">
        <f t="shared" ca="1" si="80"/>
        <v/>
      </c>
      <c r="Q223" s="57">
        <f ca="1">IFERROR(COUNTIFS(VISITA!$Q:$Q,"S",VISITA!$AK:$AK,RESUMEN!$C223,VISITA!$P:$P,RESUMEN!Q$203),0)</f>
        <v>0</v>
      </c>
      <c r="R223" s="18">
        <f ca="1">IFERROR(COUNTIFS(VISITA!$AM:$AM,"SS",VISITA!$AK:$AK,RESUMEN!$C223,VISITA!$P:$P,RESUMEN!Q$203),0)</f>
        <v>0</v>
      </c>
      <c r="S223" s="18">
        <f ca="1">IFERROR(COUNTIFS(VISITA!$AM:$AM,"NS",VISITA!$AK:$AK,RESUMEN!$C223,VISITA!$P:$P,RESUMEN!Q$203),0)</f>
        <v>0</v>
      </c>
      <c r="T223" s="80" t="str">
        <f t="shared" ca="1" si="81"/>
        <v/>
      </c>
      <c r="U223" s="57">
        <f ca="1">IFERROR(COUNTIFS(VISITA!$Q:$Q,"S",VISITA!$AK:$AK,RESUMEN!$C223,VISITA!$P:$P,RESUMEN!U$203),0)</f>
        <v>0</v>
      </c>
      <c r="V223" s="18">
        <f ca="1">IFERROR(COUNTIFS(VISITA!$AM:$AM,"SS",VISITA!$AK:$AK,RESUMEN!$C223,VISITA!$P:$P,RESUMEN!U$203),0)</f>
        <v>0</v>
      </c>
      <c r="W223" s="18">
        <f ca="1">IFERROR(COUNTIFS(VISITA!$AM:$AM,"NS",VISITA!$AK:$AK,RESUMEN!$C223,VISITA!$P:$P,RESUMEN!U$203),0)</f>
        <v>0</v>
      </c>
      <c r="X223" s="80" t="str">
        <f t="shared" ca="1" si="82"/>
        <v/>
      </c>
    </row>
    <row r="224" spans="2:24" x14ac:dyDescent="0.25">
      <c r="B224" s="63">
        <f t="shared" si="77"/>
        <v>20</v>
      </c>
      <c r="C224" s="205" t="str">
        <f t="shared" si="77"/>
        <v xml:space="preserve">- </v>
      </c>
      <c r="D224" s="72" t="str">
        <f t="shared" si="77"/>
        <v/>
      </c>
      <c r="E224" s="59">
        <f ca="1">IFERROR(COUNTIFS(VISITA!$Q:$Q,"S",VISITA!$AK:$AK,RESUMEN!$C224,VISITA!$P:$P,RESUMEN!E$203),0)</f>
        <v>0</v>
      </c>
      <c r="F224" s="72">
        <f ca="1">IFERROR(COUNTIFS(VISITA!$AM:$AM,"SS",VISITA!$AK:$AK,RESUMEN!$C224,VISITA!$P:$P,RESUMEN!E$203),0)</f>
        <v>0</v>
      </c>
      <c r="G224" s="72">
        <f ca="1">IFERROR(COUNTIFS(VISITA!$AM:$AM,"NS",VISITA!$AK:$AK,RESUMEN!$C224,VISITA!$P:$P,RESUMEN!E$203),0)</f>
        <v>0</v>
      </c>
      <c r="H224" s="81" t="str">
        <f t="shared" ca="1" si="78"/>
        <v/>
      </c>
      <c r="I224" s="59">
        <f ca="1">IFERROR(COUNTIFS(VISITA!$Q:$Q,"S",VISITA!$AK:$AK,RESUMEN!$C224,VISITA!$P:$P,RESUMEN!I$203),0)</f>
        <v>0</v>
      </c>
      <c r="J224" s="72">
        <f ca="1">IFERROR(COUNTIFS(VISITA!$AM:$AM,"SS",VISITA!$AK:$AK,RESUMEN!$C224,VISITA!$P:$P,RESUMEN!I$203),0)</f>
        <v>0</v>
      </c>
      <c r="K224" s="72">
        <f ca="1">IFERROR(COUNTIFS(VISITA!$AM:$AM,"NS",VISITA!$AK:$AK,RESUMEN!$C224,VISITA!$P:$P,RESUMEN!I$203),0)</f>
        <v>0</v>
      </c>
      <c r="L224" s="81" t="str">
        <f t="shared" ca="1" si="79"/>
        <v/>
      </c>
      <c r="M224" s="59">
        <f ca="1">IFERROR(COUNTIFS(VISITA!$Q:$Q,"S",VISITA!$AK:$AK,RESUMEN!$C224,VISITA!$P:$P,RESUMEN!M$203),0)</f>
        <v>0</v>
      </c>
      <c r="N224" s="72">
        <f ca="1">IFERROR(COUNTIFS(VISITA!$AM:$AM,"SS",VISITA!$AK:$AK,RESUMEN!$C224,VISITA!$P:$P,RESUMEN!M$203),0)</f>
        <v>0</v>
      </c>
      <c r="O224" s="72">
        <f ca="1">IFERROR(COUNTIFS(VISITA!$AM:$AM,"NS",VISITA!$AK:$AK,RESUMEN!$C224,VISITA!$P:$P,RESUMEN!M$203),0)</f>
        <v>0</v>
      </c>
      <c r="P224" s="81" t="str">
        <f t="shared" ca="1" si="80"/>
        <v/>
      </c>
      <c r="Q224" s="59">
        <f ca="1">IFERROR(COUNTIFS(VISITA!$Q:$Q,"S",VISITA!$AK:$AK,RESUMEN!$C224,VISITA!$P:$P,RESUMEN!Q$203),0)</f>
        <v>0</v>
      </c>
      <c r="R224" s="72">
        <f ca="1">IFERROR(COUNTIFS(VISITA!$AM:$AM,"SS",VISITA!$AK:$AK,RESUMEN!$C224,VISITA!$P:$P,RESUMEN!Q$203),0)</f>
        <v>0</v>
      </c>
      <c r="S224" s="72">
        <f ca="1">IFERROR(COUNTIFS(VISITA!$AM:$AM,"NS",VISITA!$AK:$AK,RESUMEN!$C224,VISITA!$P:$P,RESUMEN!Q$203),0)</f>
        <v>0</v>
      </c>
      <c r="T224" s="81" t="str">
        <f t="shared" ca="1" si="81"/>
        <v/>
      </c>
      <c r="U224" s="59">
        <f ca="1">IFERROR(COUNTIFS(VISITA!$Q:$Q,"S",VISITA!$AK:$AK,RESUMEN!$C224,VISITA!$P:$P,RESUMEN!U$203),0)</f>
        <v>0</v>
      </c>
      <c r="V224" s="72">
        <f ca="1">IFERROR(COUNTIFS(VISITA!$AM:$AM,"SS",VISITA!$AK:$AK,RESUMEN!$C224,VISITA!$P:$P,RESUMEN!U$203),0)</f>
        <v>0</v>
      </c>
      <c r="W224" s="72">
        <f ca="1">IFERROR(COUNTIFS(VISITA!$AM:$AM,"NS",VISITA!$AK:$AK,RESUMEN!$C224,VISITA!$P:$P,RESUMEN!U$203),0)</f>
        <v>0</v>
      </c>
      <c r="X224" s="81" t="str">
        <f t="shared" ca="1" si="82"/>
        <v/>
      </c>
    </row>
    <row r="225" spans="2:14" x14ac:dyDescent="0.25">
      <c r="I225" s="7"/>
      <c r="J225" s="228"/>
    </row>
    <row r="226" spans="2:14" x14ac:dyDescent="0.25">
      <c r="B226" s="6" t="s">
        <v>155</v>
      </c>
      <c r="C226" s="200"/>
    </row>
    <row r="227" spans="2:14" x14ac:dyDescent="0.25">
      <c r="B227" s="6"/>
      <c r="C227" s="200"/>
    </row>
    <row r="228" spans="2:14" x14ac:dyDescent="0.25">
      <c r="E228" s="406" t="s">
        <v>149</v>
      </c>
      <c r="F228" s="407"/>
      <c r="G228" s="406" t="s">
        <v>150</v>
      </c>
      <c r="H228" s="406"/>
      <c r="I228" s="406"/>
      <c r="J228" s="406"/>
      <c r="K228" s="406" t="s">
        <v>153</v>
      </c>
      <c r="L228" s="406"/>
      <c r="M228" s="406"/>
      <c r="N228" s="406"/>
    </row>
    <row r="229" spans="2:14" x14ac:dyDescent="0.25">
      <c r="B229" s="87" t="s">
        <v>143</v>
      </c>
      <c r="C229" s="276" t="s">
        <v>216</v>
      </c>
      <c r="D229" s="64" t="s">
        <v>0</v>
      </c>
      <c r="E229" s="98" t="s">
        <v>147</v>
      </c>
      <c r="F229" s="99" t="s">
        <v>148</v>
      </c>
      <c r="G229" s="100" t="s">
        <v>147</v>
      </c>
      <c r="H229" s="100" t="s">
        <v>148</v>
      </c>
      <c r="I229" s="100" t="s">
        <v>151</v>
      </c>
      <c r="J229" s="233" t="s">
        <v>152</v>
      </c>
      <c r="K229" s="100" t="s">
        <v>147</v>
      </c>
      <c r="L229" s="100" t="s">
        <v>148</v>
      </c>
      <c r="M229" s="100" t="s">
        <v>151</v>
      </c>
      <c r="N229" s="100" t="s">
        <v>152</v>
      </c>
    </row>
    <row r="230" spans="2:14" x14ac:dyDescent="0.25">
      <c r="B230" s="61">
        <f t="shared" ref="B230:D241" si="83">B19</f>
        <v>1</v>
      </c>
      <c r="C230" s="203" t="str">
        <f t="shared" si="83"/>
        <v xml:space="preserve">- </v>
      </c>
      <c r="D230" s="56" t="str">
        <f t="shared" si="83"/>
        <v/>
      </c>
      <c r="E230" s="104" t="str">
        <f>IFERROR(INDEX(RESX!$M:$M,MATCH(C230,RESX!$C:$C,0),1),"")</f>
        <v/>
      </c>
      <c r="F230" s="105" t="str">
        <f>IFERROR(INDEX(RESX!$N:$N,MATCH(C230,RESX!$C:$C,0),1),"")</f>
        <v/>
      </c>
      <c r="G230" s="34">
        <f>IFERROR(SUMIFS(FACTURA!$S:$S,FACTURA!AA:AA,RESUMEN!C230),"")</f>
        <v>0</v>
      </c>
      <c r="H230" s="35">
        <f>IFERROR(COUNTIFS(FACTURA!$AA:$AA,RESUMEN!C230,FACTURA!$AM:$AM,1),"")</f>
        <v>0</v>
      </c>
      <c r="I230" s="101" t="str">
        <f>IFERROR(G230/E230,"")</f>
        <v/>
      </c>
      <c r="J230" s="110" t="str">
        <f>IFERROR(H230/F230,"")</f>
        <v/>
      </c>
      <c r="K230" s="34">
        <f>IFERROR(SUMIFS(PEDIDO!$S:$S,PEDIDO!AA:AA,RESUMEN!C230),"")</f>
        <v>0</v>
      </c>
      <c r="L230" s="35">
        <f>IFERROR(COUNTIFS(PEDIDO!$AA:$AA,RESUMEN!C230,PEDIDO!$AM:$AM,1),"")</f>
        <v>0</v>
      </c>
      <c r="M230" s="101" t="str">
        <f>IFERROR(K230/E230,"")</f>
        <v/>
      </c>
      <c r="N230" s="110" t="str">
        <f>IFERROR(L230/F230,"")</f>
        <v/>
      </c>
    </row>
    <row r="231" spans="2:14" x14ac:dyDescent="0.25">
      <c r="B231" s="62">
        <f t="shared" si="83"/>
        <v>2</v>
      </c>
      <c r="C231" s="204" t="str">
        <f t="shared" si="83"/>
        <v xml:space="preserve">- </v>
      </c>
      <c r="D231" s="58" t="str">
        <f t="shared" si="83"/>
        <v/>
      </c>
      <c r="E231" s="106" t="str">
        <f>IFERROR(INDEX(RESX!$M:$M,MATCH(C231,RESX!$C:$C,0),1),"")</f>
        <v/>
      </c>
      <c r="F231" s="107" t="str">
        <f>IFERROR(INDEX(RESX!$N:$N,MATCH(C231,RESX!$C:$C,0),1),"")</f>
        <v/>
      </c>
      <c r="G231" s="36">
        <f>IFERROR(SUMIFS(FACTURA!$S:$S,FACTURA!AA:AA,RESUMEN!C231),"")</f>
        <v>0</v>
      </c>
      <c r="H231" s="31">
        <f>IFERROR(COUNTIFS(FACTURA!$AA:$AA,RESUMEN!C231,FACTURA!$AM:$AM,1),"")</f>
        <v>0</v>
      </c>
      <c r="I231" s="102" t="str">
        <f>IFERROR(G231/E231,"")</f>
        <v/>
      </c>
      <c r="J231" s="111" t="str">
        <f>IFERROR(H231/F231,"")</f>
        <v/>
      </c>
      <c r="K231" s="36">
        <f>IFERROR(SUMIFS(PEDIDO!$S:$S,PEDIDO!AA:AA,RESUMEN!C231),"")</f>
        <v>0</v>
      </c>
      <c r="L231" s="31">
        <f>IFERROR(COUNTIFS(PEDIDO!$AA:$AA,RESUMEN!C231,PEDIDO!$AM:$AM,1),"")</f>
        <v>0</v>
      </c>
      <c r="M231" s="102" t="str">
        <f>IFERROR(K231/E231,"")</f>
        <v/>
      </c>
      <c r="N231" s="111" t="str">
        <f>IFERROR(L231/F231,"")</f>
        <v/>
      </c>
    </row>
    <row r="232" spans="2:14" x14ac:dyDescent="0.25">
      <c r="B232" s="62">
        <f t="shared" si="83"/>
        <v>3</v>
      </c>
      <c r="C232" s="204" t="str">
        <f t="shared" si="83"/>
        <v xml:space="preserve">- </v>
      </c>
      <c r="D232" s="58" t="str">
        <f t="shared" si="83"/>
        <v/>
      </c>
      <c r="E232" s="106" t="str">
        <f>IFERROR(INDEX(RESX!$M:$M,MATCH(C232,RESX!$C:$C,0),1),"")</f>
        <v/>
      </c>
      <c r="F232" s="107" t="str">
        <f>IFERROR(INDEX(RESX!$N:$N,MATCH(C232,RESX!$C:$C,0),1),"")</f>
        <v/>
      </c>
      <c r="G232" s="36">
        <f>IFERROR(SUMIFS(FACTURA!$S:$S,FACTURA!AA:AA,RESUMEN!C232),"")</f>
        <v>0</v>
      </c>
      <c r="H232" s="31">
        <f>IFERROR(COUNTIFS(FACTURA!$AA:$AA,RESUMEN!C232,FACTURA!$AM:$AM,1),"")</f>
        <v>0</v>
      </c>
      <c r="I232" s="102" t="str">
        <f t="shared" ref="I232:I249" si="84">IFERROR(G232/E232,"")</f>
        <v/>
      </c>
      <c r="J232" s="111" t="str">
        <f t="shared" ref="J232:J249" si="85">IFERROR(H232/F232,"")</f>
        <v/>
      </c>
      <c r="K232" s="36">
        <f>IFERROR(SUMIFS(PEDIDO!$S:$S,PEDIDO!AA:AA,RESUMEN!C232),"")</f>
        <v>0</v>
      </c>
      <c r="L232" s="31">
        <f>IFERROR(COUNTIFS(PEDIDO!$AA:$AA,RESUMEN!C232,PEDIDO!$AM:$AM,1),"")</f>
        <v>0</v>
      </c>
      <c r="M232" s="102" t="str">
        <f t="shared" ref="M232:M249" si="86">IFERROR(K232/E232,"")</f>
        <v/>
      </c>
      <c r="N232" s="111" t="str">
        <f t="shared" ref="N232:N249" si="87">IFERROR(L232/F232,"")</f>
        <v/>
      </c>
    </row>
    <row r="233" spans="2:14" x14ac:dyDescent="0.25">
      <c r="B233" s="62">
        <f t="shared" si="83"/>
        <v>4</v>
      </c>
      <c r="C233" s="204" t="str">
        <f t="shared" si="83"/>
        <v xml:space="preserve">- </v>
      </c>
      <c r="D233" s="58" t="str">
        <f t="shared" si="83"/>
        <v/>
      </c>
      <c r="E233" s="106" t="str">
        <f>IFERROR(INDEX(RESX!$M:$M,MATCH(C233,RESX!$C:$C,0),1),"")</f>
        <v/>
      </c>
      <c r="F233" s="107" t="str">
        <f>IFERROR(INDEX(RESX!$N:$N,MATCH(C233,RESX!$C:$C,0),1),"")</f>
        <v/>
      </c>
      <c r="G233" s="36">
        <f>IFERROR(SUMIFS(FACTURA!$S:$S,FACTURA!AA:AA,RESUMEN!C233),"")</f>
        <v>0</v>
      </c>
      <c r="H233" s="31">
        <f>IFERROR(COUNTIFS(FACTURA!$AA:$AA,RESUMEN!C233,FACTURA!$AM:$AM,1),"")</f>
        <v>0</v>
      </c>
      <c r="I233" s="102" t="str">
        <f t="shared" si="84"/>
        <v/>
      </c>
      <c r="J233" s="111" t="str">
        <f t="shared" si="85"/>
        <v/>
      </c>
      <c r="K233" s="36">
        <f>IFERROR(SUMIFS(PEDIDO!$S:$S,PEDIDO!AA:AA,RESUMEN!C233),"")</f>
        <v>0</v>
      </c>
      <c r="L233" s="31">
        <f>IFERROR(COUNTIFS(PEDIDO!$AA:$AA,RESUMEN!C233,PEDIDO!$AM:$AM,1),"")</f>
        <v>0</v>
      </c>
      <c r="M233" s="102" t="str">
        <f t="shared" si="86"/>
        <v/>
      </c>
      <c r="N233" s="111" t="str">
        <f t="shared" si="87"/>
        <v/>
      </c>
    </row>
    <row r="234" spans="2:14" x14ac:dyDescent="0.25">
      <c r="B234" s="62">
        <f t="shared" si="83"/>
        <v>5</v>
      </c>
      <c r="C234" s="204" t="str">
        <f t="shared" si="83"/>
        <v xml:space="preserve">- </v>
      </c>
      <c r="D234" s="58" t="str">
        <f t="shared" si="83"/>
        <v/>
      </c>
      <c r="E234" s="106" t="str">
        <f>IFERROR(INDEX(RESX!$M:$M,MATCH(C234,RESX!$C:$C,0),1),"")</f>
        <v/>
      </c>
      <c r="F234" s="107" t="str">
        <f>IFERROR(INDEX(RESX!$N:$N,MATCH(C234,RESX!$C:$C,0),1),"")</f>
        <v/>
      </c>
      <c r="G234" s="36">
        <f>IFERROR(SUMIFS(FACTURA!$S:$S,FACTURA!AA:AA,RESUMEN!C234),"")</f>
        <v>0</v>
      </c>
      <c r="H234" s="31">
        <f>IFERROR(COUNTIFS(FACTURA!$AA:$AA,RESUMEN!C234,FACTURA!$AM:$AM,1),"")</f>
        <v>0</v>
      </c>
      <c r="I234" s="102" t="str">
        <f t="shared" si="84"/>
        <v/>
      </c>
      <c r="J234" s="111" t="str">
        <f t="shared" si="85"/>
        <v/>
      </c>
      <c r="K234" s="36">
        <f>IFERROR(SUMIFS(PEDIDO!$S:$S,PEDIDO!AA:AA,RESUMEN!C234),"")</f>
        <v>0</v>
      </c>
      <c r="L234" s="31">
        <f>IFERROR(COUNTIFS(PEDIDO!$AA:$AA,RESUMEN!C234,PEDIDO!$AM:$AM,1),"")</f>
        <v>0</v>
      </c>
      <c r="M234" s="102" t="str">
        <f t="shared" si="86"/>
        <v/>
      </c>
      <c r="N234" s="111" t="str">
        <f t="shared" si="87"/>
        <v/>
      </c>
    </row>
    <row r="235" spans="2:14" x14ac:dyDescent="0.25">
      <c r="B235" s="62">
        <f t="shared" si="83"/>
        <v>6</v>
      </c>
      <c r="C235" s="204" t="str">
        <f t="shared" si="83"/>
        <v xml:space="preserve">- </v>
      </c>
      <c r="D235" s="58" t="str">
        <f t="shared" si="83"/>
        <v/>
      </c>
      <c r="E235" s="106" t="str">
        <f>IFERROR(INDEX(RESX!$M:$M,MATCH(C235,RESX!$C:$C,0),1),"")</f>
        <v/>
      </c>
      <c r="F235" s="107" t="str">
        <f>IFERROR(INDEX(RESX!$N:$N,MATCH(C235,RESX!$C:$C,0),1),"")</f>
        <v/>
      </c>
      <c r="G235" s="36">
        <f>IFERROR(SUMIFS(FACTURA!$S:$S,FACTURA!AA:AA,RESUMEN!C235),"")</f>
        <v>0</v>
      </c>
      <c r="H235" s="31">
        <f>IFERROR(COUNTIFS(FACTURA!$AA:$AA,RESUMEN!C235,FACTURA!$AM:$AM,1),"")</f>
        <v>0</v>
      </c>
      <c r="I235" s="102" t="str">
        <f t="shared" si="84"/>
        <v/>
      </c>
      <c r="J235" s="111" t="str">
        <f t="shared" si="85"/>
        <v/>
      </c>
      <c r="K235" s="36">
        <f>IFERROR(SUMIFS(PEDIDO!$S:$S,PEDIDO!AA:AA,RESUMEN!C235),"")</f>
        <v>0</v>
      </c>
      <c r="L235" s="31">
        <f>IFERROR(COUNTIFS(PEDIDO!$AA:$AA,RESUMEN!C235,PEDIDO!$AM:$AM,1),"")</f>
        <v>0</v>
      </c>
      <c r="M235" s="102" t="str">
        <f t="shared" si="86"/>
        <v/>
      </c>
      <c r="N235" s="111" t="str">
        <f t="shared" si="87"/>
        <v/>
      </c>
    </row>
    <row r="236" spans="2:14" x14ac:dyDescent="0.25">
      <c r="B236" s="62">
        <f t="shared" si="83"/>
        <v>7</v>
      </c>
      <c r="C236" s="204" t="str">
        <f t="shared" si="83"/>
        <v xml:space="preserve">- </v>
      </c>
      <c r="D236" s="58" t="str">
        <f t="shared" si="83"/>
        <v/>
      </c>
      <c r="E236" s="106" t="str">
        <f>IFERROR(INDEX(RESX!$M:$M,MATCH(C236,RESX!$C:$C,0),1),"")</f>
        <v/>
      </c>
      <c r="F236" s="107" t="str">
        <f>IFERROR(INDEX(RESX!$N:$N,MATCH(C236,RESX!$C:$C,0),1),"")</f>
        <v/>
      </c>
      <c r="G236" s="36">
        <f>IFERROR(SUMIFS(FACTURA!$S:$S,FACTURA!AA:AA,RESUMEN!C236),"")</f>
        <v>0</v>
      </c>
      <c r="H236" s="31">
        <f>IFERROR(COUNTIFS(FACTURA!$AA:$AA,RESUMEN!C236,FACTURA!$AM:$AM,1),"")</f>
        <v>0</v>
      </c>
      <c r="I236" s="102" t="str">
        <f t="shared" si="84"/>
        <v/>
      </c>
      <c r="J236" s="111" t="str">
        <f t="shared" si="85"/>
        <v/>
      </c>
      <c r="K236" s="36">
        <f>IFERROR(SUMIFS(PEDIDO!$S:$S,PEDIDO!AA:AA,RESUMEN!C236),"")</f>
        <v>0</v>
      </c>
      <c r="L236" s="31">
        <f>IFERROR(COUNTIFS(PEDIDO!$AA:$AA,RESUMEN!C236,PEDIDO!$AM:$AM,1),"")</f>
        <v>0</v>
      </c>
      <c r="M236" s="102" t="str">
        <f t="shared" si="86"/>
        <v/>
      </c>
      <c r="N236" s="111" t="str">
        <f t="shared" si="87"/>
        <v/>
      </c>
    </row>
    <row r="237" spans="2:14" x14ac:dyDescent="0.25">
      <c r="B237" s="62">
        <f t="shared" si="83"/>
        <v>8</v>
      </c>
      <c r="C237" s="204" t="str">
        <f t="shared" si="83"/>
        <v xml:space="preserve">- </v>
      </c>
      <c r="D237" s="58" t="str">
        <f t="shared" si="83"/>
        <v/>
      </c>
      <c r="E237" s="106" t="str">
        <f>IFERROR(INDEX(RESX!$M:$M,MATCH(C237,RESX!$C:$C,0),1),"")</f>
        <v/>
      </c>
      <c r="F237" s="107" t="str">
        <f>IFERROR(INDEX(RESX!$N:$N,MATCH(C237,RESX!$C:$C,0),1),"")</f>
        <v/>
      </c>
      <c r="G237" s="36">
        <f>IFERROR(SUMIFS(FACTURA!$S:$S,FACTURA!AA:AA,RESUMEN!C237),"")</f>
        <v>0</v>
      </c>
      <c r="H237" s="31">
        <f>IFERROR(COUNTIFS(FACTURA!$AA:$AA,RESUMEN!C237,FACTURA!$AM:$AM,1),"")</f>
        <v>0</v>
      </c>
      <c r="I237" s="102" t="str">
        <f t="shared" si="84"/>
        <v/>
      </c>
      <c r="J237" s="111" t="str">
        <f t="shared" si="85"/>
        <v/>
      </c>
      <c r="K237" s="36">
        <f>IFERROR(SUMIFS(PEDIDO!$S:$S,PEDIDO!AA:AA,RESUMEN!C237),"")</f>
        <v>0</v>
      </c>
      <c r="L237" s="31">
        <f>IFERROR(COUNTIFS(PEDIDO!$AA:$AA,RESUMEN!C237,PEDIDO!$AM:$AM,1),"")</f>
        <v>0</v>
      </c>
      <c r="M237" s="102" t="str">
        <f t="shared" si="86"/>
        <v/>
      </c>
      <c r="N237" s="111" t="str">
        <f t="shared" si="87"/>
        <v/>
      </c>
    </row>
    <row r="238" spans="2:14" x14ac:dyDescent="0.25">
      <c r="B238" s="62">
        <f t="shared" si="83"/>
        <v>9</v>
      </c>
      <c r="C238" s="204" t="str">
        <f t="shared" si="83"/>
        <v xml:space="preserve">- </v>
      </c>
      <c r="D238" s="58" t="str">
        <f t="shared" si="83"/>
        <v/>
      </c>
      <c r="E238" s="106" t="str">
        <f>IFERROR(INDEX(RESX!$M:$M,MATCH(C238,RESX!$C:$C,0),1),"")</f>
        <v/>
      </c>
      <c r="F238" s="107" t="str">
        <f>IFERROR(INDEX(RESX!$N:$N,MATCH(C238,RESX!$C:$C,0),1),"")</f>
        <v/>
      </c>
      <c r="G238" s="36">
        <f>IFERROR(SUMIFS(FACTURA!$S:$S,FACTURA!AA:AA,RESUMEN!C238),"")</f>
        <v>0</v>
      </c>
      <c r="H238" s="31">
        <f>IFERROR(COUNTIFS(FACTURA!$AA:$AA,RESUMEN!C238,FACTURA!$AM:$AM,1),"")</f>
        <v>0</v>
      </c>
      <c r="I238" s="102" t="str">
        <f t="shared" si="84"/>
        <v/>
      </c>
      <c r="J238" s="111" t="str">
        <f t="shared" si="85"/>
        <v/>
      </c>
      <c r="K238" s="36">
        <f>IFERROR(SUMIFS(PEDIDO!$S:$S,PEDIDO!AA:AA,RESUMEN!C238),"")</f>
        <v>0</v>
      </c>
      <c r="L238" s="31">
        <f>IFERROR(COUNTIFS(PEDIDO!$AA:$AA,RESUMEN!C238,PEDIDO!$AM:$AM,1),"")</f>
        <v>0</v>
      </c>
      <c r="M238" s="102" t="str">
        <f t="shared" si="86"/>
        <v/>
      </c>
      <c r="N238" s="111" t="str">
        <f t="shared" si="87"/>
        <v/>
      </c>
    </row>
    <row r="239" spans="2:14" x14ac:dyDescent="0.25">
      <c r="B239" s="62">
        <f t="shared" si="83"/>
        <v>10</v>
      </c>
      <c r="C239" s="204" t="str">
        <f t="shared" si="83"/>
        <v xml:space="preserve">- </v>
      </c>
      <c r="D239" s="58" t="str">
        <f t="shared" si="83"/>
        <v/>
      </c>
      <c r="E239" s="106" t="str">
        <f>IFERROR(INDEX(RESX!$M:$M,MATCH(C239,RESX!$C:$C,0),1),"")</f>
        <v/>
      </c>
      <c r="F239" s="107" t="str">
        <f>IFERROR(INDEX(RESX!$N:$N,MATCH(C239,RESX!$C:$C,0),1),"")</f>
        <v/>
      </c>
      <c r="G239" s="36">
        <f>IFERROR(SUMIFS(FACTURA!$S:$S,FACTURA!AA:AA,RESUMEN!C239),"")</f>
        <v>0</v>
      </c>
      <c r="H239" s="31">
        <f>IFERROR(COUNTIFS(FACTURA!$AA:$AA,RESUMEN!C239,FACTURA!$AM:$AM,1),"")</f>
        <v>0</v>
      </c>
      <c r="I239" s="102" t="str">
        <f t="shared" si="84"/>
        <v/>
      </c>
      <c r="J239" s="111" t="str">
        <f t="shared" si="85"/>
        <v/>
      </c>
      <c r="K239" s="36">
        <f>IFERROR(SUMIFS(PEDIDO!$S:$S,PEDIDO!AA:AA,RESUMEN!C239),"")</f>
        <v>0</v>
      </c>
      <c r="L239" s="31">
        <f>IFERROR(COUNTIFS(PEDIDO!$AA:$AA,RESUMEN!C239,PEDIDO!$AM:$AM,1),"")</f>
        <v>0</v>
      </c>
      <c r="M239" s="102" t="str">
        <f t="shared" si="86"/>
        <v/>
      </c>
      <c r="N239" s="111" t="str">
        <f t="shared" si="87"/>
        <v/>
      </c>
    </row>
    <row r="240" spans="2:14" x14ac:dyDescent="0.25">
      <c r="B240" s="62">
        <f t="shared" si="83"/>
        <v>11</v>
      </c>
      <c r="C240" s="204" t="str">
        <f t="shared" si="83"/>
        <v xml:space="preserve">- </v>
      </c>
      <c r="D240" s="58" t="str">
        <f t="shared" si="83"/>
        <v/>
      </c>
      <c r="E240" s="106" t="str">
        <f>IFERROR(INDEX(RESX!$M:$M,MATCH(C240,RESX!$C:$C,0),1),"")</f>
        <v/>
      </c>
      <c r="F240" s="107" t="str">
        <f>IFERROR(INDEX(RESX!$N:$N,MATCH(C240,RESX!$C:$C,0),1),"")</f>
        <v/>
      </c>
      <c r="G240" s="36">
        <f>IFERROR(SUMIFS(FACTURA!$S:$S,FACTURA!AA:AA,RESUMEN!C240),"")</f>
        <v>0</v>
      </c>
      <c r="H240" s="31">
        <f>IFERROR(COUNTIFS(FACTURA!$AA:$AA,RESUMEN!C240,FACTURA!$AM:$AM,1),"")</f>
        <v>0</v>
      </c>
      <c r="I240" s="102" t="str">
        <f t="shared" si="84"/>
        <v/>
      </c>
      <c r="J240" s="111" t="str">
        <f t="shared" si="85"/>
        <v/>
      </c>
      <c r="K240" s="36">
        <f>IFERROR(SUMIFS(PEDIDO!$S:$S,PEDIDO!AA:AA,RESUMEN!C240),"")</f>
        <v>0</v>
      </c>
      <c r="L240" s="31">
        <f>IFERROR(COUNTIFS(PEDIDO!$AA:$AA,RESUMEN!C240,PEDIDO!$AM:$AM,1),"")</f>
        <v>0</v>
      </c>
      <c r="M240" s="102" t="str">
        <f t="shared" si="86"/>
        <v/>
      </c>
      <c r="N240" s="111" t="str">
        <f t="shared" si="87"/>
        <v/>
      </c>
    </row>
    <row r="241" spans="2:14" x14ac:dyDescent="0.25">
      <c r="B241" s="62">
        <f t="shared" si="83"/>
        <v>12</v>
      </c>
      <c r="C241" s="204" t="str">
        <f t="shared" si="83"/>
        <v xml:space="preserve">- </v>
      </c>
      <c r="D241" s="58" t="str">
        <f t="shared" si="83"/>
        <v/>
      </c>
      <c r="E241" s="106" t="str">
        <f>IFERROR(INDEX(RESX!$M:$M,MATCH(C241,RESX!$C:$C,0),1),"")</f>
        <v/>
      </c>
      <c r="F241" s="107" t="str">
        <f>IFERROR(INDEX(RESX!$N:$N,MATCH(C241,RESX!$C:$C,0),1),"")</f>
        <v/>
      </c>
      <c r="G241" s="36">
        <f>IFERROR(SUMIFS(FACTURA!$S:$S,FACTURA!AA:AA,RESUMEN!C241),"")</f>
        <v>0</v>
      </c>
      <c r="H241" s="31">
        <f>IFERROR(COUNTIFS(FACTURA!$AA:$AA,RESUMEN!C241,FACTURA!$AM:$AM,1),"")</f>
        <v>0</v>
      </c>
      <c r="I241" s="102" t="str">
        <f t="shared" si="84"/>
        <v/>
      </c>
      <c r="J241" s="111" t="str">
        <f t="shared" si="85"/>
        <v/>
      </c>
      <c r="K241" s="36">
        <f>IFERROR(SUMIFS(PEDIDO!$S:$S,PEDIDO!AA:AA,RESUMEN!C241),"")</f>
        <v>0</v>
      </c>
      <c r="L241" s="31">
        <f>IFERROR(COUNTIFS(PEDIDO!$AA:$AA,RESUMEN!C241,PEDIDO!$AM:$AM,1),"")</f>
        <v>0</v>
      </c>
      <c r="M241" s="102" t="str">
        <f t="shared" si="86"/>
        <v/>
      </c>
      <c r="N241" s="111" t="str">
        <f t="shared" si="87"/>
        <v/>
      </c>
    </row>
    <row r="242" spans="2:14" x14ac:dyDescent="0.25">
      <c r="B242" s="62">
        <f t="shared" ref="B242:D242" si="88">B31</f>
        <v>13</v>
      </c>
      <c r="C242" s="204" t="str">
        <f t="shared" si="88"/>
        <v xml:space="preserve">- </v>
      </c>
      <c r="D242" s="58" t="str">
        <f t="shared" si="88"/>
        <v/>
      </c>
      <c r="E242" s="106" t="str">
        <f>IFERROR(INDEX(RESX!$M:$M,MATCH(C242,RESX!$C:$C,0),1),"")</f>
        <v/>
      </c>
      <c r="F242" s="107" t="str">
        <f>IFERROR(INDEX(RESX!$N:$N,MATCH(C242,RESX!$C:$C,0),1),"")</f>
        <v/>
      </c>
      <c r="G242" s="36">
        <f>IFERROR(SUMIFS(FACTURA!$S:$S,FACTURA!AA:AA,RESUMEN!C242),"")</f>
        <v>0</v>
      </c>
      <c r="H242" s="31">
        <f>IFERROR(COUNTIFS(FACTURA!$AA:$AA,RESUMEN!C242,FACTURA!$AM:$AM,1),"")</f>
        <v>0</v>
      </c>
      <c r="I242" s="102" t="str">
        <f t="shared" si="84"/>
        <v/>
      </c>
      <c r="J242" s="111" t="str">
        <f t="shared" si="85"/>
        <v/>
      </c>
      <c r="K242" s="36">
        <f>IFERROR(SUMIFS(PEDIDO!$S:$S,PEDIDO!AA:AA,RESUMEN!C242),"")</f>
        <v>0</v>
      </c>
      <c r="L242" s="31">
        <f>IFERROR(COUNTIFS(PEDIDO!$AA:$AA,RESUMEN!C242,PEDIDO!$AM:$AM,1),"")</f>
        <v>0</v>
      </c>
      <c r="M242" s="102" t="str">
        <f t="shared" si="86"/>
        <v/>
      </c>
      <c r="N242" s="111" t="str">
        <f t="shared" si="87"/>
        <v/>
      </c>
    </row>
    <row r="243" spans="2:14" x14ac:dyDescent="0.25">
      <c r="B243" s="62">
        <f t="shared" ref="B243:D243" si="89">B32</f>
        <v>14</v>
      </c>
      <c r="C243" s="204" t="str">
        <f t="shared" si="89"/>
        <v xml:space="preserve">- </v>
      </c>
      <c r="D243" s="58" t="str">
        <f t="shared" si="89"/>
        <v/>
      </c>
      <c r="E243" s="106" t="str">
        <f>IFERROR(INDEX(RESX!$M:$M,MATCH(C243,RESX!$C:$C,0),1),"")</f>
        <v/>
      </c>
      <c r="F243" s="107" t="str">
        <f>IFERROR(INDEX(RESX!$N:$N,MATCH(C243,RESX!$C:$C,0),1),"")</f>
        <v/>
      </c>
      <c r="G243" s="36">
        <f>IFERROR(SUMIFS(FACTURA!$S:$S,FACTURA!AA:AA,RESUMEN!C243),"")</f>
        <v>0</v>
      </c>
      <c r="H243" s="31">
        <f>IFERROR(COUNTIFS(FACTURA!$AA:$AA,RESUMEN!C243,FACTURA!$AM:$AM,1),"")</f>
        <v>0</v>
      </c>
      <c r="I243" s="102" t="str">
        <f t="shared" si="84"/>
        <v/>
      </c>
      <c r="J243" s="111" t="str">
        <f t="shared" si="85"/>
        <v/>
      </c>
      <c r="K243" s="36">
        <f>IFERROR(SUMIFS(PEDIDO!$S:$S,PEDIDO!AA:AA,RESUMEN!C243),"")</f>
        <v>0</v>
      </c>
      <c r="L243" s="31">
        <f>IFERROR(COUNTIFS(PEDIDO!$AA:$AA,RESUMEN!C243,PEDIDO!$AM:$AM,1),"")</f>
        <v>0</v>
      </c>
      <c r="M243" s="102" t="str">
        <f t="shared" si="86"/>
        <v/>
      </c>
      <c r="N243" s="111" t="str">
        <f t="shared" si="87"/>
        <v/>
      </c>
    </row>
    <row r="244" spans="2:14" x14ac:dyDescent="0.25">
      <c r="B244" s="62">
        <f t="shared" ref="B244:D244" si="90">B33</f>
        <v>15</v>
      </c>
      <c r="C244" s="204" t="str">
        <f t="shared" si="90"/>
        <v xml:space="preserve">- </v>
      </c>
      <c r="D244" s="58" t="str">
        <f t="shared" si="90"/>
        <v/>
      </c>
      <c r="E244" s="106" t="str">
        <f>IFERROR(INDEX(RESX!$M:$M,MATCH(C244,RESX!$C:$C,0),1),"")</f>
        <v/>
      </c>
      <c r="F244" s="107" t="str">
        <f>IFERROR(INDEX(RESX!$N:$N,MATCH(C244,RESX!$C:$C,0),1),"")</f>
        <v/>
      </c>
      <c r="G244" s="36">
        <f>IFERROR(SUMIFS(FACTURA!$S:$S,FACTURA!AA:AA,RESUMEN!C244),"")</f>
        <v>0</v>
      </c>
      <c r="H244" s="31">
        <f>IFERROR(COUNTIFS(FACTURA!$AA:$AA,RESUMEN!C244,FACTURA!$AM:$AM,1),"")</f>
        <v>0</v>
      </c>
      <c r="I244" s="102" t="str">
        <f t="shared" si="84"/>
        <v/>
      </c>
      <c r="J244" s="111" t="str">
        <f t="shared" si="85"/>
        <v/>
      </c>
      <c r="K244" s="36">
        <f>IFERROR(SUMIFS(PEDIDO!$S:$S,PEDIDO!AA:AA,RESUMEN!C244),"")</f>
        <v>0</v>
      </c>
      <c r="L244" s="31">
        <f>IFERROR(COUNTIFS(PEDIDO!$AA:$AA,RESUMEN!C244,PEDIDO!$AM:$AM,1),"")</f>
        <v>0</v>
      </c>
      <c r="M244" s="102" t="str">
        <f t="shared" si="86"/>
        <v/>
      </c>
      <c r="N244" s="111" t="str">
        <f t="shared" si="87"/>
        <v/>
      </c>
    </row>
    <row r="245" spans="2:14" x14ac:dyDescent="0.25">
      <c r="B245" s="62">
        <f t="shared" ref="B245:D245" si="91">B34</f>
        <v>16</v>
      </c>
      <c r="C245" s="204" t="str">
        <f t="shared" si="91"/>
        <v xml:space="preserve">- </v>
      </c>
      <c r="D245" s="58" t="str">
        <f t="shared" si="91"/>
        <v/>
      </c>
      <c r="E245" s="106" t="str">
        <f>IFERROR(INDEX(RESX!$M:$M,MATCH(C245,RESX!$C:$C,0),1),"")</f>
        <v/>
      </c>
      <c r="F245" s="107" t="str">
        <f>IFERROR(INDEX(RESX!$N:$N,MATCH(C245,RESX!$C:$C,0),1),"")</f>
        <v/>
      </c>
      <c r="G245" s="36">
        <f>IFERROR(SUMIFS(FACTURA!$S:$S,FACTURA!AA:AA,RESUMEN!C245),"")</f>
        <v>0</v>
      </c>
      <c r="H245" s="31">
        <f>IFERROR(COUNTIFS(FACTURA!$AA:$AA,RESUMEN!C245,FACTURA!$AM:$AM,1),"")</f>
        <v>0</v>
      </c>
      <c r="I245" s="102" t="str">
        <f t="shared" si="84"/>
        <v/>
      </c>
      <c r="J245" s="111" t="str">
        <f t="shared" si="85"/>
        <v/>
      </c>
      <c r="K245" s="36">
        <f>IFERROR(SUMIFS(PEDIDO!$S:$S,PEDIDO!AA:AA,RESUMEN!C245),"")</f>
        <v>0</v>
      </c>
      <c r="L245" s="31">
        <f>IFERROR(COUNTIFS(PEDIDO!$AA:$AA,RESUMEN!C245,PEDIDO!$AM:$AM,1),"")</f>
        <v>0</v>
      </c>
      <c r="M245" s="102" t="str">
        <f t="shared" si="86"/>
        <v/>
      </c>
      <c r="N245" s="111" t="str">
        <f t="shared" si="87"/>
        <v/>
      </c>
    </row>
    <row r="246" spans="2:14" x14ac:dyDescent="0.25">
      <c r="B246" s="62">
        <f t="shared" ref="B246:D246" si="92">B35</f>
        <v>17</v>
      </c>
      <c r="C246" s="204" t="str">
        <f t="shared" si="92"/>
        <v xml:space="preserve">- </v>
      </c>
      <c r="D246" s="58" t="str">
        <f t="shared" si="92"/>
        <v/>
      </c>
      <c r="E246" s="106" t="str">
        <f>IFERROR(INDEX(RESX!$M:$M,MATCH(C246,RESX!$C:$C,0),1),"")</f>
        <v/>
      </c>
      <c r="F246" s="107" t="str">
        <f>IFERROR(INDEX(RESX!$N:$N,MATCH(C246,RESX!$C:$C,0),1),"")</f>
        <v/>
      </c>
      <c r="G246" s="36">
        <f>IFERROR(SUMIFS(FACTURA!$S:$S,FACTURA!AA:AA,RESUMEN!C246),"")</f>
        <v>0</v>
      </c>
      <c r="H246" s="31">
        <f>IFERROR(COUNTIFS(FACTURA!$AA:$AA,RESUMEN!C246,FACTURA!$AM:$AM,1),"")</f>
        <v>0</v>
      </c>
      <c r="I246" s="102" t="str">
        <f t="shared" si="84"/>
        <v/>
      </c>
      <c r="J246" s="111" t="str">
        <f t="shared" si="85"/>
        <v/>
      </c>
      <c r="K246" s="36">
        <f>IFERROR(SUMIFS(PEDIDO!$S:$S,PEDIDO!AA:AA,RESUMEN!C246),"")</f>
        <v>0</v>
      </c>
      <c r="L246" s="31">
        <f>IFERROR(COUNTIFS(PEDIDO!$AA:$AA,RESUMEN!C246,PEDIDO!$AM:$AM,1),"")</f>
        <v>0</v>
      </c>
      <c r="M246" s="102" t="str">
        <f t="shared" si="86"/>
        <v/>
      </c>
      <c r="N246" s="111" t="str">
        <f t="shared" si="87"/>
        <v/>
      </c>
    </row>
    <row r="247" spans="2:14" x14ac:dyDescent="0.25">
      <c r="B247" s="62">
        <f t="shared" ref="B247:D247" si="93">B36</f>
        <v>18</v>
      </c>
      <c r="C247" s="204" t="str">
        <f t="shared" si="93"/>
        <v xml:space="preserve">- </v>
      </c>
      <c r="D247" s="58" t="str">
        <f t="shared" si="93"/>
        <v/>
      </c>
      <c r="E247" s="106" t="str">
        <f>IFERROR(INDEX(RESX!$M:$M,MATCH(C247,RESX!$C:$C,0),1),"")</f>
        <v/>
      </c>
      <c r="F247" s="107" t="str">
        <f>IFERROR(INDEX(RESX!$N:$N,MATCH(C247,RESX!$C:$C,0),1),"")</f>
        <v/>
      </c>
      <c r="G247" s="36">
        <f>IFERROR(SUMIFS(FACTURA!$S:$S,FACTURA!AA:AA,RESUMEN!C247),"")</f>
        <v>0</v>
      </c>
      <c r="H247" s="31">
        <f>IFERROR(COUNTIFS(FACTURA!$AA:$AA,RESUMEN!C247,FACTURA!$AM:$AM,1),"")</f>
        <v>0</v>
      </c>
      <c r="I247" s="102" t="str">
        <f t="shared" si="84"/>
        <v/>
      </c>
      <c r="J247" s="111" t="str">
        <f t="shared" si="85"/>
        <v/>
      </c>
      <c r="K247" s="36">
        <f>IFERROR(SUMIFS(PEDIDO!$S:$S,PEDIDO!AA:AA,RESUMEN!C247),"")</f>
        <v>0</v>
      </c>
      <c r="L247" s="31">
        <f>IFERROR(COUNTIFS(PEDIDO!$AA:$AA,RESUMEN!C247,PEDIDO!$AM:$AM,1),"")</f>
        <v>0</v>
      </c>
      <c r="M247" s="102" t="str">
        <f t="shared" si="86"/>
        <v/>
      </c>
      <c r="N247" s="111" t="str">
        <f t="shared" si="87"/>
        <v/>
      </c>
    </row>
    <row r="248" spans="2:14" x14ac:dyDescent="0.25">
      <c r="B248" s="62">
        <f t="shared" ref="B248:D248" si="94">B37</f>
        <v>19</v>
      </c>
      <c r="C248" s="204" t="str">
        <f t="shared" si="94"/>
        <v xml:space="preserve">- </v>
      </c>
      <c r="D248" s="58" t="str">
        <f t="shared" si="94"/>
        <v/>
      </c>
      <c r="E248" s="106" t="str">
        <f>IFERROR(INDEX(RESX!$M:$M,MATCH(C248,RESX!$C:$C,0),1),"")</f>
        <v/>
      </c>
      <c r="F248" s="107" t="str">
        <f>IFERROR(INDEX(RESX!$N:$N,MATCH(C248,RESX!$C:$C,0),1),"")</f>
        <v/>
      </c>
      <c r="G248" s="36">
        <f>IFERROR(SUMIFS(FACTURA!$S:$S,FACTURA!AA:AA,RESUMEN!C248),"")</f>
        <v>0</v>
      </c>
      <c r="H248" s="31">
        <f>IFERROR(COUNTIFS(FACTURA!$AA:$AA,RESUMEN!C248,FACTURA!$AM:$AM,1),"")</f>
        <v>0</v>
      </c>
      <c r="I248" s="102" t="str">
        <f t="shared" si="84"/>
        <v/>
      </c>
      <c r="J248" s="111" t="str">
        <f t="shared" si="85"/>
        <v/>
      </c>
      <c r="K248" s="36">
        <f>IFERROR(SUMIFS(PEDIDO!$S:$S,PEDIDO!AA:AA,RESUMEN!C248),"")</f>
        <v>0</v>
      </c>
      <c r="L248" s="31">
        <f>IFERROR(COUNTIFS(PEDIDO!$AA:$AA,RESUMEN!C248,PEDIDO!$AM:$AM,1),"")</f>
        <v>0</v>
      </c>
      <c r="M248" s="102" t="str">
        <f t="shared" si="86"/>
        <v/>
      </c>
      <c r="N248" s="111" t="str">
        <f t="shared" si="87"/>
        <v/>
      </c>
    </row>
    <row r="249" spans="2:14" x14ac:dyDescent="0.25">
      <c r="B249" s="63">
        <f t="shared" ref="B249:D249" si="95">B38</f>
        <v>20</v>
      </c>
      <c r="C249" s="205" t="str">
        <f t="shared" si="95"/>
        <v xml:space="preserve">- </v>
      </c>
      <c r="D249" s="60" t="str">
        <f t="shared" si="95"/>
        <v/>
      </c>
      <c r="E249" s="108" t="str">
        <f>IFERROR(INDEX(RESX!$M:$M,MATCH(C249,RESX!$C:$C,0),1),"")</f>
        <v/>
      </c>
      <c r="F249" s="109" t="str">
        <f>IFERROR(INDEX(RESX!$N:$N,MATCH(C249,RESX!$C:$C,0),1),"")</f>
        <v/>
      </c>
      <c r="G249" s="37">
        <f>IFERROR(SUMIFS(FACTURA!$S:$S,FACTURA!AA:AA,RESUMEN!C249),"")</f>
        <v>0</v>
      </c>
      <c r="H249" s="38">
        <f>IFERROR(COUNTIFS(FACTURA!$AA:$AA,RESUMEN!C249,FACTURA!$AM:$AM,1),"")</f>
        <v>0</v>
      </c>
      <c r="I249" s="103" t="str">
        <f t="shared" si="84"/>
        <v/>
      </c>
      <c r="J249" s="112" t="str">
        <f t="shared" si="85"/>
        <v/>
      </c>
      <c r="K249" s="37">
        <f>IFERROR(SUMIFS(PEDIDO!$S:$S,PEDIDO!AA:AA,RESUMEN!C249),"")</f>
        <v>0</v>
      </c>
      <c r="L249" s="38">
        <f>IFERROR(COUNTIFS(PEDIDO!$AA:$AA,RESUMEN!C249,PEDIDO!$AM:$AM,1),"")</f>
        <v>0</v>
      </c>
      <c r="M249" s="103" t="str">
        <f t="shared" si="86"/>
        <v/>
      </c>
      <c r="N249" s="112" t="str">
        <f t="shared" si="87"/>
        <v/>
      </c>
    </row>
    <row r="250" spans="2:14" x14ac:dyDescent="0.25">
      <c r="J250" s="228"/>
    </row>
  </sheetData>
  <mergeCells count="120">
    <mergeCell ref="AD119:AD120"/>
    <mergeCell ref="W118:AE118"/>
    <mergeCell ref="N118:U118"/>
    <mergeCell ref="G144:I144"/>
    <mergeCell ref="K144:K145"/>
    <mergeCell ref="O144:O145"/>
    <mergeCell ref="P144:R144"/>
    <mergeCell ref="V144:V145"/>
    <mergeCell ref="W144:W145"/>
    <mergeCell ref="O143:W143"/>
    <mergeCell ref="F143:N143"/>
    <mergeCell ref="J144:J145"/>
    <mergeCell ref="F144:F145"/>
    <mergeCell ref="S144:S145"/>
    <mergeCell ref="AA119:AA120"/>
    <mergeCell ref="V119:V120"/>
    <mergeCell ref="E203:H203"/>
    <mergeCell ref="AB119:AB120"/>
    <mergeCell ref="AC119:AC120"/>
    <mergeCell ref="E200:F200"/>
    <mergeCell ref="G200:I200"/>
    <mergeCell ref="F185:M185"/>
    <mergeCell ref="N186:N187"/>
    <mergeCell ref="O186:Q186"/>
    <mergeCell ref="T186:T187"/>
    <mergeCell ref="N185:U185"/>
    <mergeCell ref="F186:F187"/>
    <mergeCell ref="M144:M145"/>
    <mergeCell ref="U144:U145"/>
    <mergeCell ref="S161:S162"/>
    <mergeCell ref="W119:W120"/>
    <mergeCell ref="X119:X120"/>
    <mergeCell ref="Y119:Y120"/>
    <mergeCell ref="Z119:Z120"/>
    <mergeCell ref="Y161:Y162"/>
    <mergeCell ref="Z161:Z162"/>
    <mergeCell ref="T161:T162"/>
    <mergeCell ref="M160:T160"/>
    <mergeCell ref="U160:AB160"/>
    <mergeCell ref="U161:U162"/>
    <mergeCell ref="E228:F228"/>
    <mergeCell ref="G228:J228"/>
    <mergeCell ref="K228:N228"/>
    <mergeCell ref="I203:L203"/>
    <mergeCell ref="M203:P203"/>
    <mergeCell ref="Q203:T203"/>
    <mergeCell ref="AF119:AF120"/>
    <mergeCell ref="AE119:AE120"/>
    <mergeCell ref="E118:M118"/>
    <mergeCell ref="O119:O120"/>
    <mergeCell ref="P119:P120"/>
    <mergeCell ref="S119:S120"/>
    <mergeCell ref="T119:T120"/>
    <mergeCell ref="U119:U120"/>
    <mergeCell ref="X161:X162"/>
    <mergeCell ref="U203:X203"/>
    <mergeCell ref="AB161:AB162"/>
    <mergeCell ref="L144:L145"/>
    <mergeCell ref="T144:T145"/>
    <mergeCell ref="M186:M187"/>
    <mergeCell ref="AA161:AA162"/>
    <mergeCell ref="R186:R187"/>
    <mergeCell ref="V161:V162"/>
    <mergeCell ref="W161:W162"/>
    <mergeCell ref="B77:D77"/>
    <mergeCell ref="E119:E120"/>
    <mergeCell ref="F119:F120"/>
    <mergeCell ref="G119:G120"/>
    <mergeCell ref="H119:H120"/>
    <mergeCell ref="I119:I120"/>
    <mergeCell ref="J119:J120"/>
    <mergeCell ref="K119:K120"/>
    <mergeCell ref="L119:L120"/>
    <mergeCell ref="E90:E91"/>
    <mergeCell ref="B111:D111"/>
    <mergeCell ref="E186:E187"/>
    <mergeCell ref="Q28:R28"/>
    <mergeCell ref="E55:E56"/>
    <mergeCell ref="R119:R120"/>
    <mergeCell ref="O28:P28"/>
    <mergeCell ref="M119:M120"/>
    <mergeCell ref="N119:N120"/>
    <mergeCell ref="Q119:Q120"/>
    <mergeCell ref="E144:E145"/>
    <mergeCell ref="N144:N145"/>
    <mergeCell ref="E161:E162"/>
    <mergeCell ref="F161:F162"/>
    <mergeCell ref="G161:G162"/>
    <mergeCell ref="H161:H162"/>
    <mergeCell ref="I161:I162"/>
    <mergeCell ref="J161:J162"/>
    <mergeCell ref="K161:K162"/>
    <mergeCell ref="E160:L160"/>
    <mergeCell ref="L161:L162"/>
    <mergeCell ref="M161:M162"/>
    <mergeCell ref="N161:N162"/>
    <mergeCell ref="U186:U187"/>
    <mergeCell ref="S186:S187"/>
    <mergeCell ref="K186:K187"/>
    <mergeCell ref="G186:I186"/>
    <mergeCell ref="Q161:Q162"/>
    <mergeCell ref="R161:R162"/>
    <mergeCell ref="O161:O162"/>
    <mergeCell ref="P161:P162"/>
    <mergeCell ref="L186:L187"/>
    <mergeCell ref="J186:J187"/>
    <mergeCell ref="S28:T28"/>
    <mergeCell ref="A1:Q1"/>
    <mergeCell ref="A2:Q2"/>
    <mergeCell ref="R5:S5"/>
    <mergeCell ref="R6:S6"/>
    <mergeCell ref="P17:Q17"/>
    <mergeCell ref="F17:G17"/>
    <mergeCell ref="H17:I17"/>
    <mergeCell ref="L17:L18"/>
    <mergeCell ref="J17:K17"/>
    <mergeCell ref="N17:N18"/>
    <mergeCell ref="O17:O18"/>
    <mergeCell ref="R17:S17"/>
    <mergeCell ref="T17:U17"/>
  </mergeCells>
  <conditionalFormatting sqref="E48:AI48">
    <cfRule type="expression" dxfId="9" priority="7">
      <formula>E44&gt;0</formula>
    </cfRule>
  </conditionalFormatting>
  <conditionalFormatting sqref="F55:AJ55">
    <cfRule type="expression" dxfId="8" priority="5">
      <formula>E44&gt;0</formula>
    </cfRule>
  </conditionalFormatting>
  <conditionalFormatting sqref="F56:AJ56">
    <cfRule type="expression" dxfId="7" priority="4">
      <formula>E44&gt;0</formula>
    </cfRule>
  </conditionalFormatting>
  <conditionalFormatting sqref="E83:AI83">
    <cfRule type="expression" dxfId="6" priority="3">
      <formula>E44&gt;0</formula>
    </cfRule>
  </conditionalFormatting>
  <conditionalFormatting sqref="F90:AJ90">
    <cfRule type="expression" dxfId="5" priority="2">
      <formula>E44&gt;0</formula>
    </cfRule>
  </conditionalFormatting>
  <conditionalFormatting sqref="F91:AJ91">
    <cfRule type="expression" dxfId="4" priority="1">
      <formula>E44&gt;0</formula>
    </cfRule>
  </conditionalFormatting>
  <pageMargins left="0.7" right="0.7" top="0.75" bottom="0.75" header="0.3" footer="0.3"/>
  <pageSetup paperSize="9" orientation="portrait" r:id="rId1"/>
  <ignoredErrors>
    <ignoredError sqref="C121:C122 J19:J38 Q19 S19:T19 S21:S25 T20:T25" formula="1"/>
  </ignoredErrors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RESUMEN!F111:AJ111</xm:f>
              <xm:sqref>E111</xm:sqref>
            </x14:sparkline>
            <x14:sparkline>
              <xm:f>RESUMEN!F112:AJ112</xm:f>
              <xm:sqref>E112</xm:sqref>
            </x14:sparkline>
          </x14:sparklines>
        </x14:sparklineGroup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RESUMEN!E84:AI84</xm:f>
              <xm:sqref>D84</xm:sqref>
            </x14:sparkline>
          </x14:sparklines>
        </x14:sparklineGroup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RESUMEN!E85:AI85</xm:f>
              <xm:sqref>D85</xm:sqref>
            </x14:sparkline>
          </x14:sparklines>
        </x14:sparklineGroup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RESUMEN!F92:AJ92</xm:f>
              <xm:sqref>E92</xm:sqref>
            </x14:sparkline>
            <x14:sparkline>
              <xm:f>RESUMEN!F93:AJ93</xm:f>
              <xm:sqref>E93</xm:sqref>
            </x14:sparkline>
            <x14:sparkline>
              <xm:f>RESUMEN!F94:AJ94</xm:f>
              <xm:sqref>E94</xm:sqref>
            </x14:sparkline>
            <x14:sparkline>
              <xm:f>RESUMEN!F95:AJ95</xm:f>
              <xm:sqref>E95</xm:sqref>
            </x14:sparkline>
            <x14:sparkline>
              <xm:f>RESUMEN!F96:AJ96</xm:f>
              <xm:sqref>E96</xm:sqref>
            </x14:sparkline>
            <x14:sparkline>
              <xm:f>RESUMEN!F97:AJ97</xm:f>
              <xm:sqref>E97</xm:sqref>
            </x14:sparkline>
            <x14:sparkline>
              <xm:f>RESUMEN!F98:AJ98</xm:f>
              <xm:sqref>E98</xm:sqref>
            </x14:sparkline>
            <x14:sparkline>
              <xm:f>RESUMEN!F99:AJ99</xm:f>
              <xm:sqref>E99</xm:sqref>
            </x14:sparkline>
            <x14:sparkline>
              <xm:f>RESUMEN!F100:AJ100</xm:f>
              <xm:sqref>E100</xm:sqref>
            </x14:sparkline>
            <x14:sparkline>
              <xm:f>RESUMEN!F101:AJ101</xm:f>
              <xm:sqref>E101</xm:sqref>
            </x14:sparkline>
            <x14:sparkline>
              <xm:f>RESUMEN!F102:AJ102</xm:f>
              <xm:sqref>E102</xm:sqref>
            </x14:sparkline>
            <x14:sparkline>
              <xm:f>RESUMEN!F103:AJ103</xm:f>
              <xm:sqref>E103</xm:sqref>
            </x14:sparkline>
            <x14:sparkline>
              <xm:f>RESUMEN!F104:AJ104</xm:f>
              <xm:sqref>E104</xm:sqref>
            </x14:sparkline>
            <x14:sparkline>
              <xm:f>RESUMEN!F105:AJ105</xm:f>
              <xm:sqref>E105</xm:sqref>
            </x14:sparkline>
            <x14:sparkline>
              <xm:f>RESUMEN!F106:AJ106</xm:f>
              <xm:sqref>E106</xm:sqref>
            </x14:sparkline>
            <x14:sparkline>
              <xm:f>RESUMEN!F107:AJ107</xm:f>
              <xm:sqref>E107</xm:sqref>
            </x14:sparkline>
            <x14:sparkline>
              <xm:f>RESUMEN!F108:AJ108</xm:f>
              <xm:sqref>E108</xm:sqref>
            </x14:sparkline>
            <x14:sparkline>
              <xm:f>RESUMEN!F109:AJ109</xm:f>
              <xm:sqref>E109</xm:sqref>
            </x14:sparkline>
            <x14:sparkline>
              <xm:f>RESUMEN!F110:AJ110</xm:f>
              <xm:sqref>E110</xm:sqref>
            </x14:sparkline>
          </x14:sparklines>
        </x14:sparklineGroup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RESUMEN!F57:AJ57</xm:f>
              <xm:sqref>E57</xm:sqref>
            </x14:sparkline>
            <x14:sparkline>
              <xm:f>RESUMEN!F58:AJ58</xm:f>
              <xm:sqref>E58</xm:sqref>
            </x14:sparkline>
            <x14:sparkline>
              <xm:f>RESUMEN!F59:AJ59</xm:f>
              <xm:sqref>E59</xm:sqref>
            </x14:sparkline>
            <x14:sparkline>
              <xm:f>RESUMEN!F60:AJ60</xm:f>
              <xm:sqref>E60</xm:sqref>
            </x14:sparkline>
            <x14:sparkline>
              <xm:f>RESUMEN!F61:AJ61</xm:f>
              <xm:sqref>E61</xm:sqref>
            </x14:sparkline>
            <x14:sparkline>
              <xm:f>RESUMEN!F62:AJ62</xm:f>
              <xm:sqref>E62</xm:sqref>
            </x14:sparkline>
            <x14:sparkline>
              <xm:f>RESUMEN!F63:AJ63</xm:f>
              <xm:sqref>E63</xm:sqref>
            </x14:sparkline>
            <x14:sparkline>
              <xm:f>RESUMEN!F64:AJ64</xm:f>
              <xm:sqref>E64</xm:sqref>
            </x14:sparkline>
            <x14:sparkline>
              <xm:f>RESUMEN!F65:AJ65</xm:f>
              <xm:sqref>E65</xm:sqref>
            </x14:sparkline>
            <x14:sparkline>
              <xm:f>RESUMEN!F66:AJ66</xm:f>
              <xm:sqref>E66</xm:sqref>
            </x14:sparkline>
            <x14:sparkline>
              <xm:f>RESUMEN!F67:AJ67</xm:f>
              <xm:sqref>E67</xm:sqref>
            </x14:sparkline>
            <x14:sparkline>
              <xm:f>RESUMEN!F68:AJ68</xm:f>
              <xm:sqref>E68</xm:sqref>
            </x14:sparkline>
            <x14:sparkline>
              <xm:f>RESUMEN!F69:AJ69</xm:f>
              <xm:sqref>E69</xm:sqref>
            </x14:sparkline>
            <x14:sparkline>
              <xm:f>RESUMEN!F70:AJ70</xm:f>
              <xm:sqref>E70</xm:sqref>
            </x14:sparkline>
            <x14:sparkline>
              <xm:f>RESUMEN!F71:AJ71</xm:f>
              <xm:sqref>E71</xm:sqref>
            </x14:sparkline>
            <x14:sparkline>
              <xm:f>RESUMEN!F72:AJ72</xm:f>
              <xm:sqref>E72</xm:sqref>
            </x14:sparkline>
            <x14:sparkline>
              <xm:f>RESUMEN!F73:AJ73</xm:f>
              <xm:sqref>E73</xm:sqref>
            </x14:sparkline>
            <x14:sparkline>
              <xm:f>RESUMEN!F74:AJ74</xm:f>
              <xm:sqref>E74</xm:sqref>
            </x14:sparkline>
            <x14:sparkline>
              <xm:f>RESUMEN!F75:AJ75</xm:f>
              <xm:sqref>E75</xm:sqref>
            </x14:sparkline>
            <x14:sparkline>
              <xm:f>RESUMEN!F76:AJ76</xm:f>
              <xm:sqref>E76</xm:sqref>
            </x14:sparkline>
          </x14:sparklines>
        </x14:sparklineGroup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RESUMEN!E50:AI50</xm:f>
              <xm:sqref>D50</xm:sqref>
            </x14:sparkline>
          </x14:sparklines>
        </x14:sparklineGroup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RESUMEN!E49:AI49</xm:f>
              <xm:sqref>D49</xm:sqref>
            </x14:sparkline>
          </x14:sparklines>
        </x14:sparklineGroup>
        <x14:sparklineGroup lineWeight="2.25" displayEmptyCellsAs="gap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RESUMEN!F77:AJ77</xm:f>
              <xm:sqref>E77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y"/>
  <dimension ref="A1:AW95"/>
  <sheetViews>
    <sheetView showGridLines="0" topLeftCell="A3" zoomScale="85" zoomScaleNormal="85" workbookViewId="0">
      <selection activeCell="S12" sqref="S12"/>
    </sheetView>
  </sheetViews>
  <sheetFormatPr baseColWidth="10" defaultRowHeight="15" x14ac:dyDescent="0.25"/>
  <cols>
    <col min="1" max="1" width="7.5703125" customWidth="1"/>
    <col min="2" max="2" width="25.28515625" bestFit="1" customWidth="1"/>
    <col min="3" max="4" width="8.7109375" customWidth="1"/>
    <col min="5" max="5" width="9.42578125" customWidth="1"/>
    <col min="6" max="8" width="8.7109375" customWidth="1"/>
    <col min="9" max="9" width="8.7109375" style="7" customWidth="1"/>
    <col min="10" max="17" width="8.7109375" customWidth="1"/>
    <col min="18" max="18" width="11.5703125" customWidth="1"/>
    <col min="19" max="49" width="8.7109375" customWidth="1"/>
  </cols>
  <sheetData>
    <row r="1" spans="1:49" ht="33" customHeight="1" x14ac:dyDescent="0.25">
      <c r="A1" s="361" t="s">
        <v>164</v>
      </c>
      <c r="B1" s="361"/>
      <c r="C1" s="361"/>
      <c r="D1" s="361"/>
      <c r="E1" s="361"/>
      <c r="F1" s="361"/>
      <c r="G1" s="361"/>
      <c r="H1" s="361"/>
      <c r="AP1" s="335" t="s">
        <v>244</v>
      </c>
    </row>
    <row r="2" spans="1:49" x14ac:dyDescent="0.25">
      <c r="A2" s="425">
        <f ca="1">TODAY()</f>
        <v>42151</v>
      </c>
      <c r="B2" s="425"/>
      <c r="C2" s="425"/>
      <c r="D2" s="425"/>
      <c r="E2" s="425"/>
      <c r="F2" s="425"/>
      <c r="G2" s="425"/>
      <c r="H2" s="425"/>
    </row>
    <row r="3" spans="1:49" x14ac:dyDescent="0.25">
      <c r="AP3" s="321" t="s">
        <v>231</v>
      </c>
      <c r="AQ3" s="321" t="s">
        <v>93</v>
      </c>
      <c r="AR3" s="336" t="s">
        <v>94</v>
      </c>
      <c r="AS3" s="336"/>
      <c r="AT3" s="325" t="s">
        <v>85</v>
      </c>
      <c r="AU3" s="325"/>
      <c r="AV3" s="317"/>
      <c r="AW3" s="318"/>
    </row>
    <row r="4" spans="1:49" ht="18.75" x14ac:dyDescent="0.3">
      <c r="B4" s="6" t="s">
        <v>228</v>
      </c>
      <c r="C4" s="426" t="s">
        <v>235</v>
      </c>
      <c r="D4" s="426"/>
      <c r="E4" s="426"/>
      <c r="F4" s="426"/>
      <c r="G4" s="298"/>
      <c r="H4" s="294" t="s">
        <v>85</v>
      </c>
      <c r="AP4" s="322" t="s">
        <v>232</v>
      </c>
      <c r="AQ4" s="323">
        <f>AW9</f>
        <v>0</v>
      </c>
      <c r="AR4" s="337">
        <f>AW10</f>
        <v>0</v>
      </c>
      <c r="AS4" s="337"/>
      <c r="AT4" s="339">
        <f>IFERROR(INDEX(RESX!$E:$E,MATCH($C$5,RESX!$C:$C,0),1),0)</f>
        <v>0</v>
      </c>
      <c r="AU4" s="339"/>
      <c r="AV4" s="317"/>
      <c r="AW4" s="318"/>
    </row>
    <row r="5" spans="1:49" ht="15.75" x14ac:dyDescent="0.25">
      <c r="B5" s="6" t="s">
        <v>229</v>
      </c>
      <c r="C5" s="287" t="str">
        <f>IFERROR(INDEX(RESX!$C:$C,MATCH(C4,RESX!$D:$D,0),1),"")</f>
        <v/>
      </c>
      <c r="J5" s="294"/>
      <c r="AP5" s="322" t="s">
        <v>233</v>
      </c>
      <c r="AQ5" s="324">
        <f>IFERROR(AQ4/AT4,0)</f>
        <v>0</v>
      </c>
      <c r="AR5" s="338">
        <f>IFERROR(AR4/AT4,0)</f>
        <v>0</v>
      </c>
      <c r="AS5" s="338"/>
      <c r="AT5" s="320"/>
      <c r="AU5" s="320"/>
      <c r="AV5" s="317"/>
      <c r="AW5" s="318"/>
    </row>
    <row r="6" spans="1:49" ht="15.75" x14ac:dyDescent="0.25">
      <c r="B6" s="6" t="s">
        <v>230</v>
      </c>
      <c r="C6" s="287" t="str">
        <f>IFERROR(INDEX(VENDEDOR!$F:$F,MATCH(C5,VENDEDOR!$G:$G,0),1),"")</f>
        <v/>
      </c>
      <c r="I6"/>
      <c r="J6" s="7"/>
      <c r="AP6" s="325" t="s">
        <v>96</v>
      </c>
      <c r="AQ6" s="326">
        <f>IFERROR($AW$9/$D$75,0)</f>
        <v>0</v>
      </c>
      <c r="AR6" s="326">
        <f>IFERROR($AW$10/$M$75,0)</f>
        <v>0</v>
      </c>
      <c r="AS6" s="326"/>
      <c r="AT6" s="319"/>
      <c r="AU6" s="317"/>
      <c r="AV6" s="317"/>
      <c r="AW6" s="318"/>
    </row>
    <row r="7" spans="1:49" ht="15.75" x14ac:dyDescent="0.25">
      <c r="B7" s="6" t="s">
        <v>102</v>
      </c>
      <c r="C7" s="287" t="str">
        <f>IFERROR(INDEX(VENDEDOR!$Q:$Q,MATCH(C5,VENDEDOR!$G:$G,0),1),"")</f>
        <v/>
      </c>
      <c r="I7"/>
      <c r="J7" s="7"/>
    </row>
    <row r="8" spans="1:49" ht="15.75" x14ac:dyDescent="0.25">
      <c r="B8" s="6" t="s">
        <v>236</v>
      </c>
      <c r="C8" s="287" t="str">
        <f>IFERROR(INDEX(VENDEDOR!$T:$T,MATCH(C5,VENDEDOR!$G:$G,0),1),"")</f>
        <v/>
      </c>
      <c r="I8"/>
      <c r="J8" s="7"/>
      <c r="AP8" s="317"/>
      <c r="AQ8" s="327" t="s">
        <v>97</v>
      </c>
      <c r="AR8" s="327" t="s">
        <v>98</v>
      </c>
      <c r="AS8" s="327" t="s">
        <v>215</v>
      </c>
      <c r="AT8" s="327" t="s">
        <v>97</v>
      </c>
      <c r="AU8" s="327" t="s">
        <v>98</v>
      </c>
      <c r="AV8" s="327" t="s">
        <v>215</v>
      </c>
      <c r="AW8" s="327" t="s">
        <v>3</v>
      </c>
    </row>
    <row r="9" spans="1:49" x14ac:dyDescent="0.25">
      <c r="H9" s="7"/>
      <c r="L9" s="1"/>
      <c r="U9" s="1"/>
      <c r="AP9" s="328" t="s">
        <v>5</v>
      </c>
      <c r="AQ9" s="329">
        <f>IFERROR(SUMIFS(FACTURA!$T:$T,FACTURA!$AF:$AF,PORVENDEDOR!$AQ$8,FACTURA!$AA:$AA,PORVENDEDOR!$C$5),0)</f>
        <v>0</v>
      </c>
      <c r="AR9" s="329">
        <f>IFERROR(SUMIFS(FACTURA!$T:$T,FACTURA!$AF:$AF,PORVENDEDOR!AR$8,FACTURA!$AA:$AA,PORVENDEDOR!$C$5),0)</f>
        <v>0</v>
      </c>
      <c r="AS9" s="329">
        <f>IFERROR(SUMIFS(FACTURA!$T:$T,FACTURA!$AF:$AF,PORVENDEDOR!$AS$8,FACTURA!$AA:$AA,PORVENDEDOR!$C$5),0)</f>
        <v>0</v>
      </c>
      <c r="AT9" s="330">
        <f>IFERROR(AQ9/$AW$9,0)</f>
        <v>0</v>
      </c>
      <c r="AU9" s="330">
        <f>IFERROR(AR9/$AW$9,0)</f>
        <v>0</v>
      </c>
      <c r="AV9" s="330">
        <f>IFERROR(AS9/$AW$9,0)</f>
        <v>0</v>
      </c>
      <c r="AW9" s="331">
        <f>AQ9+AR9+AS9</f>
        <v>0</v>
      </c>
    </row>
    <row r="10" spans="1:49" ht="15.75" x14ac:dyDescent="0.25">
      <c r="A10" s="12" t="s">
        <v>2</v>
      </c>
      <c r="H10" s="7"/>
      <c r="AP10" s="328" t="s">
        <v>6</v>
      </c>
      <c r="AQ10" s="332">
        <f>IFERROR(SUMIFS(PEDIDO!$T:$T,PEDIDO!$AF:$AF,PORVENDEDOR!$AQ$8,PEDIDO!$AA:$AA,PORVENDEDOR!$C$5),0)</f>
        <v>0</v>
      </c>
      <c r="AR10" s="332">
        <f>IFERROR(SUMIFS(PEDIDO!$T:$T,PEDIDO!$AF:$AF,PORVENDEDOR!AR$8,PEDIDO!$AA:$AA,PORVENDEDOR!$C$5),0)</f>
        <v>0</v>
      </c>
      <c r="AS10" s="332">
        <f>IFERROR(SUMIFS(PEDIDO!$T:$T,PEDIDO!$AF:$AF,PORVENDEDOR!$AS$8,PEDIDO!$AA:$AA,PORVENDEDOR!$C$5),0)</f>
        <v>0</v>
      </c>
      <c r="AT10" s="333">
        <f>IFERROR(AQ10/$AW$10,0)</f>
        <v>0</v>
      </c>
      <c r="AU10" s="333">
        <f>IFERROR(AR10/$AW$10,0)</f>
        <v>0</v>
      </c>
      <c r="AV10" s="333">
        <f>IFERROR(AS10/$AW$10,0)</f>
        <v>0</v>
      </c>
      <c r="AW10" s="334">
        <f>AQ10+AR10+AS10</f>
        <v>0</v>
      </c>
    </row>
    <row r="11" spans="1:49" x14ac:dyDescent="0.25">
      <c r="H11" s="7"/>
    </row>
    <row r="12" spans="1:49" x14ac:dyDescent="0.25">
      <c r="A12" s="6" t="s">
        <v>87</v>
      </c>
      <c r="H12" s="7"/>
    </row>
    <row r="13" spans="1:49" x14ac:dyDescent="0.25">
      <c r="A13" s="6"/>
      <c r="H13" s="7"/>
    </row>
    <row r="14" spans="1:49" ht="15.75" x14ac:dyDescent="0.25">
      <c r="A14" s="6"/>
      <c r="C14" s="10">
        <f>100%-(F14+D14)</f>
        <v>1</v>
      </c>
      <c r="D14" s="364">
        <f>+RESUMEN!P6</f>
        <v>0</v>
      </c>
      <c r="E14" s="364"/>
      <c r="F14" s="364">
        <f>RESUMEN!R6-RESUMEN!P6</f>
        <v>0</v>
      </c>
      <c r="G14" s="364"/>
      <c r="H14" s="7"/>
      <c r="I14" s="6"/>
    </row>
    <row r="15" spans="1:49" x14ac:dyDescent="0.25">
      <c r="A15" s="6"/>
      <c r="H15" s="7"/>
    </row>
    <row r="16" spans="1:49" s="1" customFormat="1" x14ac:dyDescent="0.25">
      <c r="H16" s="15"/>
    </row>
    <row r="17" spans="1:49" x14ac:dyDescent="0.25">
      <c r="H17" s="7"/>
    </row>
    <row r="18" spans="1:49" x14ac:dyDescent="0.25">
      <c r="H18" s="7"/>
    </row>
    <row r="19" spans="1:49" x14ac:dyDescent="0.25">
      <c r="H19" s="7"/>
    </row>
    <row r="20" spans="1:49" x14ac:dyDescent="0.25">
      <c r="H20" s="7"/>
      <c r="I20"/>
    </row>
    <row r="21" spans="1:49" x14ac:dyDescent="0.25">
      <c r="H21" s="7"/>
      <c r="I21"/>
    </row>
    <row r="22" spans="1:49" x14ac:dyDescent="0.25">
      <c r="H22" s="7"/>
      <c r="I22"/>
    </row>
    <row r="23" spans="1:49" x14ac:dyDescent="0.25">
      <c r="H23" s="7"/>
      <c r="I23"/>
    </row>
    <row r="24" spans="1:49" x14ac:dyDescent="0.25">
      <c r="H24" s="7"/>
      <c r="I24"/>
    </row>
    <row r="25" spans="1:49" x14ac:dyDescent="0.25">
      <c r="H25" s="7"/>
      <c r="I25"/>
    </row>
    <row r="26" spans="1:49" x14ac:dyDescent="0.25">
      <c r="A26" s="6" t="s">
        <v>89</v>
      </c>
      <c r="H26" s="7"/>
      <c r="I26"/>
    </row>
    <row r="27" spans="1:49" x14ac:dyDescent="0.25">
      <c r="H27" s="7"/>
      <c r="I27"/>
    </row>
    <row r="28" spans="1:49" hidden="1" x14ac:dyDescent="0.25">
      <c r="O28" t="s">
        <v>251</v>
      </c>
      <c r="P28" s="348">
        <f ca="1">DATE(YEAR($A$2),MONTH($A$2),1)</f>
        <v>42125</v>
      </c>
      <c r="R28" s="6" t="s">
        <v>209</v>
      </c>
      <c r="S28">
        <v>0</v>
      </c>
      <c r="T28">
        <v>1</v>
      </c>
      <c r="U28">
        <v>2</v>
      </c>
      <c r="V28">
        <v>3</v>
      </c>
      <c r="W28">
        <v>4</v>
      </c>
      <c r="X28">
        <v>5</v>
      </c>
      <c r="Y28">
        <v>6</v>
      </c>
      <c r="Z28">
        <v>7</v>
      </c>
      <c r="AA28">
        <v>8</v>
      </c>
      <c r="AB28">
        <v>9</v>
      </c>
      <c r="AC28">
        <v>10</v>
      </c>
      <c r="AD28">
        <v>11</v>
      </c>
      <c r="AE28">
        <v>12</v>
      </c>
      <c r="AF28">
        <v>13</v>
      </c>
      <c r="AG28">
        <v>14</v>
      </c>
      <c r="AH28">
        <v>15</v>
      </c>
      <c r="AI28">
        <v>16</v>
      </c>
      <c r="AJ28">
        <v>17</v>
      </c>
      <c r="AK28">
        <v>18</v>
      </c>
      <c r="AL28">
        <v>19</v>
      </c>
      <c r="AM28">
        <v>20</v>
      </c>
      <c r="AN28">
        <v>21</v>
      </c>
      <c r="AO28">
        <v>22</v>
      </c>
      <c r="AP28">
        <v>23</v>
      </c>
      <c r="AQ28">
        <v>24</v>
      </c>
      <c r="AR28">
        <v>25</v>
      </c>
      <c r="AS28">
        <v>26</v>
      </c>
      <c r="AT28">
        <v>27</v>
      </c>
      <c r="AU28">
        <v>28</v>
      </c>
      <c r="AV28">
        <v>29</v>
      </c>
      <c r="AW28">
        <v>30</v>
      </c>
    </row>
    <row r="29" spans="1:49" hidden="1" x14ac:dyDescent="0.25">
      <c r="P29" s="357"/>
      <c r="R29" s="6" t="s">
        <v>243</v>
      </c>
      <c r="S29" s="358">
        <f ca="1">$P$28+S28</f>
        <v>42125</v>
      </c>
      <c r="T29" s="358">
        <f t="shared" ref="T29:AW29" ca="1" si="0">$P$28+T28</f>
        <v>42126</v>
      </c>
      <c r="U29" s="358">
        <f t="shared" ca="1" si="0"/>
        <v>42127</v>
      </c>
      <c r="V29" s="358">
        <f t="shared" ca="1" si="0"/>
        <v>42128</v>
      </c>
      <c r="W29" s="358">
        <f t="shared" ca="1" si="0"/>
        <v>42129</v>
      </c>
      <c r="X29" s="358">
        <f t="shared" ca="1" si="0"/>
        <v>42130</v>
      </c>
      <c r="Y29" s="358">
        <f t="shared" ca="1" si="0"/>
        <v>42131</v>
      </c>
      <c r="Z29" s="358">
        <f t="shared" ca="1" si="0"/>
        <v>42132</v>
      </c>
      <c r="AA29" s="358">
        <f t="shared" ca="1" si="0"/>
        <v>42133</v>
      </c>
      <c r="AB29" s="358">
        <f t="shared" ca="1" si="0"/>
        <v>42134</v>
      </c>
      <c r="AC29" s="358">
        <f t="shared" ca="1" si="0"/>
        <v>42135</v>
      </c>
      <c r="AD29" s="358">
        <f t="shared" ca="1" si="0"/>
        <v>42136</v>
      </c>
      <c r="AE29" s="358">
        <f t="shared" ca="1" si="0"/>
        <v>42137</v>
      </c>
      <c r="AF29" s="358">
        <f t="shared" ca="1" si="0"/>
        <v>42138</v>
      </c>
      <c r="AG29" s="358">
        <f t="shared" ca="1" si="0"/>
        <v>42139</v>
      </c>
      <c r="AH29" s="358">
        <f t="shared" ca="1" si="0"/>
        <v>42140</v>
      </c>
      <c r="AI29" s="358">
        <f t="shared" ca="1" si="0"/>
        <v>42141</v>
      </c>
      <c r="AJ29" s="358">
        <f t="shared" ca="1" si="0"/>
        <v>42142</v>
      </c>
      <c r="AK29" s="358">
        <f t="shared" ca="1" si="0"/>
        <v>42143</v>
      </c>
      <c r="AL29" s="358">
        <f t="shared" ca="1" si="0"/>
        <v>42144</v>
      </c>
      <c r="AM29" s="358">
        <f t="shared" ca="1" si="0"/>
        <v>42145</v>
      </c>
      <c r="AN29" s="358">
        <f t="shared" ca="1" si="0"/>
        <v>42146</v>
      </c>
      <c r="AO29" s="358">
        <f t="shared" ca="1" si="0"/>
        <v>42147</v>
      </c>
      <c r="AP29" s="358">
        <f t="shared" ca="1" si="0"/>
        <v>42148</v>
      </c>
      <c r="AQ29" s="358">
        <f t="shared" ca="1" si="0"/>
        <v>42149</v>
      </c>
      <c r="AR29" s="358">
        <f t="shared" ca="1" si="0"/>
        <v>42150</v>
      </c>
      <c r="AS29" s="358">
        <f t="shared" ca="1" si="0"/>
        <v>42151</v>
      </c>
      <c r="AT29" s="358">
        <f t="shared" ca="1" si="0"/>
        <v>42152</v>
      </c>
      <c r="AU29" s="358">
        <f t="shared" ca="1" si="0"/>
        <v>42153</v>
      </c>
      <c r="AV29" s="358">
        <f t="shared" ca="1" si="0"/>
        <v>42154</v>
      </c>
      <c r="AW29" s="358">
        <f t="shared" ca="1" si="0"/>
        <v>42155</v>
      </c>
    </row>
    <row r="30" spans="1:49" hidden="1" x14ac:dyDescent="0.25">
      <c r="P30" s="357"/>
      <c r="R30" s="6"/>
      <c r="S30">
        <f ca="1">IF(IFERROR(MATCH(S29,FERIADO!$A:$A,0),0)&gt;0,1,IF(WEEKDAY(S29,2)=7,1,0))</f>
        <v>0</v>
      </c>
      <c r="T30">
        <f ca="1">IF(IFERROR(MATCH(T29,FERIADO!$A:$A,0),0)&gt;0,1,IF(WEEKDAY(T29,2)=7,1,0))</f>
        <v>0</v>
      </c>
      <c r="U30">
        <f ca="1">IF(IFERROR(MATCH(U29,FERIADO!$A:$A,0),0)&gt;0,1,IF(WEEKDAY(U29,2)=7,1,0))</f>
        <v>1</v>
      </c>
      <c r="V30">
        <f ca="1">IF(IFERROR(MATCH(V29,FERIADO!$A:$A,0),0)&gt;0,1,IF(WEEKDAY(V29,2)=7,1,0))</f>
        <v>0</v>
      </c>
      <c r="W30">
        <f ca="1">IF(IFERROR(MATCH(W29,FERIADO!$A:$A,0),0)&gt;0,1,IF(WEEKDAY(W29,2)=7,1,0))</f>
        <v>0</v>
      </c>
      <c r="X30">
        <f ca="1">IF(IFERROR(MATCH(X29,FERIADO!$A:$A,0),0)&gt;0,1,IF(WEEKDAY(X29,2)=7,1,0))</f>
        <v>0</v>
      </c>
      <c r="Y30">
        <f ca="1">IF(IFERROR(MATCH(Y29,FERIADO!$A:$A,0),0)&gt;0,1,IF(WEEKDAY(Y29,2)=7,1,0))</f>
        <v>0</v>
      </c>
      <c r="Z30">
        <f ca="1">IF(IFERROR(MATCH(Z29,FERIADO!$A:$A,0),0)&gt;0,1,IF(WEEKDAY(Z29,2)=7,1,0))</f>
        <v>0</v>
      </c>
      <c r="AA30">
        <f ca="1">IF(IFERROR(MATCH(AA29,FERIADO!$A:$A,0),0)&gt;0,1,IF(WEEKDAY(AA29,2)=7,1,0))</f>
        <v>0</v>
      </c>
      <c r="AB30">
        <f ca="1">IF(IFERROR(MATCH(AB29,FERIADO!$A:$A,0),0)&gt;0,1,IF(WEEKDAY(AB29,2)=7,1,0))</f>
        <v>1</v>
      </c>
      <c r="AC30">
        <f ca="1">IF(IFERROR(MATCH(AC29,FERIADO!$A:$A,0),0)&gt;0,1,IF(WEEKDAY(AC29,2)=7,1,0))</f>
        <v>0</v>
      </c>
      <c r="AD30">
        <f ca="1">IF(IFERROR(MATCH(AD29,FERIADO!$A:$A,0),0)&gt;0,1,IF(WEEKDAY(AD29,2)=7,1,0))</f>
        <v>0</v>
      </c>
      <c r="AE30">
        <f ca="1">IF(IFERROR(MATCH(AE29,FERIADO!$A:$A,0),0)&gt;0,1,IF(WEEKDAY(AE29,2)=7,1,0))</f>
        <v>0</v>
      </c>
      <c r="AF30">
        <f ca="1">IF(IFERROR(MATCH(AF29,FERIADO!$A:$A,0),0)&gt;0,1,IF(WEEKDAY(AF29,2)=7,1,0))</f>
        <v>0</v>
      </c>
      <c r="AG30">
        <f ca="1">IF(IFERROR(MATCH(AG29,FERIADO!$A:$A,0),0)&gt;0,1,IF(WEEKDAY(AG29,2)=7,1,0))</f>
        <v>0</v>
      </c>
      <c r="AH30">
        <f ca="1">IF(IFERROR(MATCH(AH29,FERIADO!$A:$A,0),0)&gt;0,1,IF(WEEKDAY(AH29,2)=7,1,0))</f>
        <v>0</v>
      </c>
      <c r="AI30">
        <f ca="1">IF(IFERROR(MATCH(AI29,FERIADO!$A:$A,0),0)&gt;0,1,IF(WEEKDAY(AI29,2)=7,1,0))</f>
        <v>1</v>
      </c>
      <c r="AJ30">
        <f ca="1">IF(IFERROR(MATCH(AJ29,FERIADO!$A:$A,0),0)&gt;0,1,IF(WEEKDAY(AJ29,2)=7,1,0))</f>
        <v>0</v>
      </c>
      <c r="AK30">
        <f ca="1">IF(IFERROR(MATCH(AK29,FERIADO!$A:$A,0),0)&gt;0,1,IF(WEEKDAY(AK29,2)=7,1,0))</f>
        <v>0</v>
      </c>
      <c r="AL30">
        <f ca="1">IF(IFERROR(MATCH(AL29,FERIADO!$A:$A,0),0)&gt;0,1,IF(WEEKDAY(AL29,2)=7,1,0))</f>
        <v>0</v>
      </c>
      <c r="AM30">
        <f ca="1">IF(IFERROR(MATCH(AM29,FERIADO!$A:$A,0),0)&gt;0,1,IF(WEEKDAY(AM29,2)=7,1,0))</f>
        <v>0</v>
      </c>
      <c r="AN30">
        <f ca="1">IF(IFERROR(MATCH(AN29,FERIADO!$A:$A,0),0)&gt;0,1,IF(WEEKDAY(AN29,2)=7,1,0))</f>
        <v>0</v>
      </c>
      <c r="AO30">
        <f ca="1">IF(IFERROR(MATCH(AO29,FERIADO!$A:$A,0),0)&gt;0,1,IF(WEEKDAY(AO29,2)=7,1,0))</f>
        <v>0</v>
      </c>
      <c r="AP30">
        <f ca="1">IF(IFERROR(MATCH(AP29,FERIADO!$A:$A,0),0)&gt;0,1,IF(WEEKDAY(AP29,2)=7,1,0))</f>
        <v>1</v>
      </c>
      <c r="AQ30">
        <f ca="1">IF(IFERROR(MATCH(AQ29,FERIADO!$A:$A,0),0)&gt;0,1,IF(WEEKDAY(AQ29,2)=7,1,0))</f>
        <v>0</v>
      </c>
      <c r="AR30">
        <f ca="1">IF(IFERROR(MATCH(AR29,FERIADO!$A:$A,0),0)&gt;0,1,IF(WEEKDAY(AR29,2)=7,1,0))</f>
        <v>0</v>
      </c>
      <c r="AS30">
        <f ca="1">IF(IFERROR(MATCH(AS29,FERIADO!$A:$A,0),0)&gt;0,1,IF(WEEKDAY(AS29,2)=7,1,0))</f>
        <v>0</v>
      </c>
      <c r="AT30">
        <f ca="1">IF(IFERROR(MATCH(AT29,FERIADO!$A:$A,0),0)&gt;0,1,IF(WEEKDAY(AT29,2)=7,1,0))</f>
        <v>0</v>
      </c>
      <c r="AU30">
        <f ca="1">IF(IFERROR(MATCH(AU29,FERIADO!$A:$A,0),0)&gt;0,1,IF(WEEKDAY(AU29,2)=7,1,0))</f>
        <v>0</v>
      </c>
      <c r="AV30">
        <f ca="1">IF(IFERROR(MATCH(AV29,FERIADO!$A:$A,0),0)&gt;0,1,IF(WEEKDAY(AV29,2)=7,1,0))</f>
        <v>0</v>
      </c>
      <c r="AW30">
        <f ca="1">IF(IFERROR(MATCH(AW29,FERIADO!$A:$A,0),0)&gt;0,1,IF(WEEKDAY(AW29,2)=7,1,0))</f>
        <v>1</v>
      </c>
    </row>
    <row r="31" spans="1:49" x14ac:dyDescent="0.25">
      <c r="A31" s="140"/>
      <c r="R31" s="141"/>
      <c r="S31" s="141"/>
      <c r="X31" s="7"/>
      <c r="AC31" s="142"/>
    </row>
    <row r="32" spans="1:49" x14ac:dyDescent="0.25">
      <c r="A32" s="6"/>
      <c r="S32" s="288">
        <f ca="1">S29</f>
        <v>42125</v>
      </c>
      <c r="T32" s="288">
        <f t="shared" ref="T32:AW32" ca="1" si="1">T29</f>
        <v>42126</v>
      </c>
      <c r="U32" s="288">
        <f t="shared" ca="1" si="1"/>
        <v>42127</v>
      </c>
      <c r="V32" s="288">
        <f t="shared" ca="1" si="1"/>
        <v>42128</v>
      </c>
      <c r="W32" s="288">
        <f t="shared" ca="1" si="1"/>
        <v>42129</v>
      </c>
      <c r="X32" s="288">
        <f t="shared" ca="1" si="1"/>
        <v>42130</v>
      </c>
      <c r="Y32" s="288">
        <f t="shared" ca="1" si="1"/>
        <v>42131</v>
      </c>
      <c r="Z32" s="288">
        <f t="shared" ca="1" si="1"/>
        <v>42132</v>
      </c>
      <c r="AA32" s="288">
        <f t="shared" ca="1" si="1"/>
        <v>42133</v>
      </c>
      <c r="AB32" s="288">
        <f t="shared" ca="1" si="1"/>
        <v>42134</v>
      </c>
      <c r="AC32" s="288">
        <f t="shared" ca="1" si="1"/>
        <v>42135</v>
      </c>
      <c r="AD32" s="288">
        <f t="shared" ca="1" si="1"/>
        <v>42136</v>
      </c>
      <c r="AE32" s="288">
        <f t="shared" ca="1" si="1"/>
        <v>42137</v>
      </c>
      <c r="AF32" s="288">
        <f t="shared" ca="1" si="1"/>
        <v>42138</v>
      </c>
      <c r="AG32" s="288">
        <f t="shared" ca="1" si="1"/>
        <v>42139</v>
      </c>
      <c r="AH32" s="288">
        <f t="shared" ca="1" si="1"/>
        <v>42140</v>
      </c>
      <c r="AI32" s="288">
        <f t="shared" ca="1" si="1"/>
        <v>42141</v>
      </c>
      <c r="AJ32" s="288">
        <f t="shared" ca="1" si="1"/>
        <v>42142</v>
      </c>
      <c r="AK32" s="288">
        <f t="shared" ca="1" si="1"/>
        <v>42143</v>
      </c>
      <c r="AL32" s="288">
        <f t="shared" ca="1" si="1"/>
        <v>42144</v>
      </c>
      <c r="AM32" s="288">
        <f t="shared" ca="1" si="1"/>
        <v>42145</v>
      </c>
      <c r="AN32" s="288">
        <f t="shared" ca="1" si="1"/>
        <v>42146</v>
      </c>
      <c r="AO32" s="288">
        <f t="shared" ca="1" si="1"/>
        <v>42147</v>
      </c>
      <c r="AP32" s="288">
        <f t="shared" ca="1" si="1"/>
        <v>42148</v>
      </c>
      <c r="AQ32" s="288">
        <f t="shared" ca="1" si="1"/>
        <v>42149</v>
      </c>
      <c r="AR32" s="288">
        <f t="shared" ca="1" si="1"/>
        <v>42150</v>
      </c>
      <c r="AS32" s="288">
        <f t="shared" ca="1" si="1"/>
        <v>42151</v>
      </c>
      <c r="AT32" s="288">
        <f t="shared" ca="1" si="1"/>
        <v>42152</v>
      </c>
      <c r="AU32" s="288">
        <f t="shared" ca="1" si="1"/>
        <v>42153</v>
      </c>
      <c r="AV32" s="288">
        <f t="shared" ca="1" si="1"/>
        <v>42154</v>
      </c>
      <c r="AW32" s="288">
        <f t="shared" ca="1" si="1"/>
        <v>42155</v>
      </c>
    </row>
    <row r="33" spans="1:49" x14ac:dyDescent="0.25">
      <c r="R33" s="22" t="s">
        <v>85</v>
      </c>
      <c r="S33" s="26">
        <f ca="1">S29</f>
        <v>42125</v>
      </c>
      <c r="T33" s="26">
        <f t="shared" ref="T33:AW33" ca="1" si="2">T29</f>
        <v>42126</v>
      </c>
      <c r="U33" s="26">
        <f t="shared" ca="1" si="2"/>
        <v>42127</v>
      </c>
      <c r="V33" s="26">
        <f t="shared" ca="1" si="2"/>
        <v>42128</v>
      </c>
      <c r="W33" s="26">
        <f t="shared" ca="1" si="2"/>
        <v>42129</v>
      </c>
      <c r="X33" s="26">
        <f t="shared" ca="1" si="2"/>
        <v>42130</v>
      </c>
      <c r="Y33" s="26">
        <f t="shared" ca="1" si="2"/>
        <v>42131</v>
      </c>
      <c r="Z33" s="26">
        <f t="shared" ca="1" si="2"/>
        <v>42132</v>
      </c>
      <c r="AA33" s="26">
        <f t="shared" ca="1" si="2"/>
        <v>42133</v>
      </c>
      <c r="AB33" s="26">
        <f t="shared" ca="1" si="2"/>
        <v>42134</v>
      </c>
      <c r="AC33" s="26">
        <f t="shared" ca="1" si="2"/>
        <v>42135</v>
      </c>
      <c r="AD33" s="26">
        <f t="shared" ca="1" si="2"/>
        <v>42136</v>
      </c>
      <c r="AE33" s="26">
        <f t="shared" ca="1" si="2"/>
        <v>42137</v>
      </c>
      <c r="AF33" s="26">
        <f t="shared" ca="1" si="2"/>
        <v>42138</v>
      </c>
      <c r="AG33" s="26">
        <f t="shared" ca="1" si="2"/>
        <v>42139</v>
      </c>
      <c r="AH33" s="26">
        <f t="shared" ca="1" si="2"/>
        <v>42140</v>
      </c>
      <c r="AI33" s="26">
        <f t="shared" ca="1" si="2"/>
        <v>42141</v>
      </c>
      <c r="AJ33" s="26">
        <f t="shared" ca="1" si="2"/>
        <v>42142</v>
      </c>
      <c r="AK33" s="26">
        <f t="shared" ca="1" si="2"/>
        <v>42143</v>
      </c>
      <c r="AL33" s="26">
        <f t="shared" ca="1" si="2"/>
        <v>42144</v>
      </c>
      <c r="AM33" s="26">
        <f t="shared" ca="1" si="2"/>
        <v>42145</v>
      </c>
      <c r="AN33" s="26">
        <f t="shared" ca="1" si="2"/>
        <v>42146</v>
      </c>
      <c r="AO33" s="26">
        <f t="shared" ca="1" si="2"/>
        <v>42147</v>
      </c>
      <c r="AP33" s="26">
        <f t="shared" ca="1" si="2"/>
        <v>42148</v>
      </c>
      <c r="AQ33" s="26">
        <f t="shared" ca="1" si="2"/>
        <v>42149</v>
      </c>
      <c r="AR33" s="26">
        <f t="shared" ca="1" si="2"/>
        <v>42150</v>
      </c>
      <c r="AS33" s="26">
        <f t="shared" ca="1" si="2"/>
        <v>42151</v>
      </c>
      <c r="AT33" s="26">
        <f t="shared" ca="1" si="2"/>
        <v>42152</v>
      </c>
      <c r="AU33" s="26">
        <f t="shared" ca="1" si="2"/>
        <v>42153</v>
      </c>
      <c r="AV33" s="26">
        <f t="shared" ca="1" si="2"/>
        <v>42154</v>
      </c>
      <c r="AW33" s="26">
        <f t="shared" ca="1" si="2"/>
        <v>42155</v>
      </c>
    </row>
    <row r="34" spans="1:49" s="128" customFormat="1" x14ac:dyDescent="0.25">
      <c r="R34" s="305" t="str">
        <f>PROPER(C8)</f>
        <v/>
      </c>
      <c r="S34" s="299">
        <f ca="1">IFERROR(SUMIFS(PEDIDO!$T:$T,PEDIDO!$AO:$AO,$C$8,PEDIDO!$G:$G,PORVENDEDOR!S$33),0)</f>
        <v>0</v>
      </c>
      <c r="T34" s="299">
        <f ca="1">IFERROR(SUMIFS(PEDIDO!$T:$T,PEDIDO!$AO:$AO,$C$8,PEDIDO!$G:$G,PORVENDEDOR!T$33),0)</f>
        <v>0</v>
      </c>
      <c r="U34" s="299">
        <f ca="1">IFERROR(SUMIFS(PEDIDO!$T:$T,PEDIDO!$AO:$AO,$C$8,PEDIDO!$G:$G,PORVENDEDOR!U$33),0)</f>
        <v>0</v>
      </c>
      <c r="V34" s="299">
        <f ca="1">IFERROR(SUMIFS(PEDIDO!$T:$T,PEDIDO!$AO:$AO,$C$8,PEDIDO!$G:$G,PORVENDEDOR!V$33),0)</f>
        <v>0</v>
      </c>
      <c r="W34" s="299">
        <f ca="1">IFERROR(SUMIFS(PEDIDO!$T:$T,PEDIDO!$AO:$AO,$C$8,PEDIDO!$G:$G,PORVENDEDOR!W$33),0)</f>
        <v>0</v>
      </c>
      <c r="X34" s="299">
        <f ca="1">IFERROR(SUMIFS(PEDIDO!$T:$T,PEDIDO!$AO:$AO,$C$8,PEDIDO!$G:$G,PORVENDEDOR!X$33),0)</f>
        <v>0</v>
      </c>
      <c r="Y34" s="299">
        <f ca="1">IFERROR(SUMIFS(PEDIDO!$T:$T,PEDIDO!$AO:$AO,$C$8,PEDIDO!$G:$G,PORVENDEDOR!Y$33),0)</f>
        <v>0</v>
      </c>
      <c r="Z34" s="299">
        <f ca="1">IFERROR(SUMIFS(PEDIDO!$T:$T,PEDIDO!$AO:$AO,$C$8,PEDIDO!$G:$G,PORVENDEDOR!Z$33),0)</f>
        <v>0</v>
      </c>
      <c r="AA34" s="299">
        <f ca="1">IFERROR(SUMIFS(PEDIDO!$T:$T,PEDIDO!$AO:$AO,$C$8,PEDIDO!$G:$G,PORVENDEDOR!AA$33),0)</f>
        <v>0</v>
      </c>
      <c r="AB34" s="299">
        <f ca="1">IFERROR(SUMIFS(PEDIDO!$T:$T,PEDIDO!$AO:$AO,$C$8,PEDIDO!$G:$G,PORVENDEDOR!AB$33),0)</f>
        <v>0</v>
      </c>
      <c r="AC34" s="299">
        <f ca="1">IFERROR(SUMIFS(PEDIDO!$T:$T,PEDIDO!$AO:$AO,$C$8,PEDIDO!$G:$G,PORVENDEDOR!AC$33),0)</f>
        <v>0</v>
      </c>
      <c r="AD34" s="299">
        <f ca="1">IFERROR(SUMIFS(PEDIDO!$T:$T,PEDIDO!$AO:$AO,$C$8,PEDIDO!$G:$G,PORVENDEDOR!AD$33),0)</f>
        <v>0</v>
      </c>
      <c r="AE34" s="299">
        <f ca="1">IFERROR(SUMIFS(PEDIDO!$T:$T,PEDIDO!$AO:$AO,$C$8,PEDIDO!$G:$G,PORVENDEDOR!AE$33),0)</f>
        <v>0</v>
      </c>
      <c r="AF34" s="299">
        <f ca="1">IFERROR(SUMIFS(PEDIDO!$T:$T,PEDIDO!$AO:$AO,$C$8,PEDIDO!$G:$G,PORVENDEDOR!AF$33),0)</f>
        <v>0</v>
      </c>
      <c r="AG34" s="299">
        <f ca="1">IFERROR(SUMIFS(PEDIDO!$T:$T,PEDIDO!$AO:$AO,$C$8,PEDIDO!$G:$G,PORVENDEDOR!AG$33),0)</f>
        <v>0</v>
      </c>
      <c r="AH34" s="299">
        <f ca="1">IFERROR(SUMIFS(PEDIDO!$T:$T,PEDIDO!$AO:$AO,$C$8,PEDIDO!$G:$G,PORVENDEDOR!AH$33),0)</f>
        <v>0</v>
      </c>
      <c r="AI34" s="299">
        <f ca="1">IFERROR(SUMIFS(PEDIDO!$T:$T,PEDIDO!$AO:$AO,$C$8,PEDIDO!$G:$G,PORVENDEDOR!AI$33),0)</f>
        <v>0</v>
      </c>
      <c r="AJ34" s="299">
        <f ca="1">IFERROR(SUMIFS(PEDIDO!$T:$T,PEDIDO!$AO:$AO,$C$8,PEDIDO!$G:$G,PORVENDEDOR!AJ$33),0)</f>
        <v>0</v>
      </c>
      <c r="AK34" s="299">
        <f ca="1">IFERROR(SUMIFS(PEDIDO!$T:$T,PEDIDO!$AO:$AO,$C$8,PEDIDO!$G:$G,PORVENDEDOR!AK$33),0)</f>
        <v>0</v>
      </c>
      <c r="AL34" s="299">
        <f ca="1">IFERROR(SUMIFS(PEDIDO!$T:$T,PEDIDO!$AO:$AO,$C$8,PEDIDO!$G:$G,PORVENDEDOR!AL$33),0)</f>
        <v>0</v>
      </c>
      <c r="AM34" s="299">
        <f ca="1">IFERROR(SUMIFS(PEDIDO!$T:$T,PEDIDO!$AO:$AO,$C$8,PEDIDO!$G:$G,PORVENDEDOR!AM$33),0)</f>
        <v>0</v>
      </c>
      <c r="AN34" s="299">
        <f ca="1">IFERROR(SUMIFS(PEDIDO!$T:$T,PEDIDO!$AO:$AO,$C$8,PEDIDO!$G:$G,PORVENDEDOR!AN$33),0)</f>
        <v>0</v>
      </c>
      <c r="AO34" s="299">
        <f ca="1">IFERROR(SUMIFS(PEDIDO!$T:$T,PEDIDO!$AO:$AO,$C$8,PEDIDO!$G:$G,PORVENDEDOR!AO$33),0)</f>
        <v>0</v>
      </c>
      <c r="AP34" s="299">
        <f ca="1">IFERROR(SUMIFS(PEDIDO!$T:$T,PEDIDO!$AO:$AO,$C$8,PEDIDO!$G:$G,PORVENDEDOR!AP$33),0)</f>
        <v>0</v>
      </c>
      <c r="AQ34" s="299">
        <f ca="1">IFERROR(SUMIFS(PEDIDO!$T:$T,PEDIDO!$AO:$AO,$C$8,PEDIDO!$G:$G,PORVENDEDOR!AQ$33),0)</f>
        <v>0</v>
      </c>
      <c r="AR34" s="299">
        <f ca="1">IFERROR(SUMIFS(PEDIDO!$T:$T,PEDIDO!$AO:$AO,$C$8,PEDIDO!$G:$G,PORVENDEDOR!AR$33),0)</f>
        <v>0</v>
      </c>
      <c r="AS34" s="299">
        <f ca="1">IFERROR(SUMIFS(PEDIDO!$T:$T,PEDIDO!$AO:$AO,$C$8,PEDIDO!$G:$G,PORVENDEDOR!AS$33),0)</f>
        <v>0</v>
      </c>
      <c r="AT34" s="299">
        <f ca="1">IFERROR(SUMIFS(PEDIDO!$T:$T,PEDIDO!$AO:$AO,$C$8,PEDIDO!$G:$G,PORVENDEDOR!AT$33),0)</f>
        <v>0</v>
      </c>
      <c r="AU34" s="299">
        <f ca="1">IFERROR(SUMIFS(PEDIDO!$T:$T,PEDIDO!$AO:$AO,$C$8,PEDIDO!$G:$G,PORVENDEDOR!AU$33),0)</f>
        <v>0</v>
      </c>
      <c r="AV34" s="299">
        <f ca="1">IFERROR(SUMIFS(PEDIDO!$T:$T,PEDIDO!$AO:$AO,$C$8,PEDIDO!$G:$G,PORVENDEDOR!AV$33),0)</f>
        <v>0</v>
      </c>
      <c r="AW34" s="300">
        <f ca="1">IFERROR(SUMIFS(PEDIDO!$T:$T,PEDIDO!$AO:$AO,$C$8,PEDIDO!$G:$G,PORVENDEDOR!AW$33),0)</f>
        <v>0</v>
      </c>
    </row>
    <row r="35" spans="1:49" s="128" customFormat="1" x14ac:dyDescent="0.25">
      <c r="R35" s="306" t="str">
        <f>PROPER(C7)</f>
        <v/>
      </c>
      <c r="S35" s="301">
        <f ca="1">IFERROR(SUMIFS(PEDIDO!$T:$T,PEDIDO!$AR:$AR,$C$7,PEDIDO!$G:$G,PORVENDEDOR!S$33),0)</f>
        <v>0</v>
      </c>
      <c r="T35" s="301">
        <f ca="1">IFERROR(SUMIFS(PEDIDO!$T:$T,PEDIDO!$AR:$AR,$C$7,PEDIDO!$G:$G,PORVENDEDOR!T$33),0)</f>
        <v>0</v>
      </c>
      <c r="U35" s="301">
        <f ca="1">IFERROR(SUMIFS(PEDIDO!$T:$T,PEDIDO!$AR:$AR,$C$7,PEDIDO!$G:$G,PORVENDEDOR!U$33),0)</f>
        <v>0</v>
      </c>
      <c r="V35" s="301">
        <f ca="1">IFERROR(SUMIFS(PEDIDO!$T:$T,PEDIDO!$AR:$AR,$C$7,PEDIDO!$G:$G,PORVENDEDOR!V$33),0)</f>
        <v>0</v>
      </c>
      <c r="W35" s="301">
        <f ca="1">IFERROR(SUMIFS(PEDIDO!$T:$T,PEDIDO!$AR:$AR,$C$7,PEDIDO!$G:$G,PORVENDEDOR!W$33),0)</f>
        <v>0</v>
      </c>
      <c r="X35" s="301">
        <f ca="1">IFERROR(SUMIFS(PEDIDO!$T:$T,PEDIDO!$AR:$AR,$C$7,PEDIDO!$G:$G,PORVENDEDOR!X$33),0)</f>
        <v>0</v>
      </c>
      <c r="Y35" s="301">
        <f ca="1">IFERROR(SUMIFS(PEDIDO!$T:$T,PEDIDO!$AR:$AR,$C$7,PEDIDO!$G:$G,PORVENDEDOR!Y$33),0)</f>
        <v>0</v>
      </c>
      <c r="Z35" s="301">
        <f ca="1">IFERROR(SUMIFS(PEDIDO!$T:$T,PEDIDO!$AR:$AR,$C$7,PEDIDO!$G:$G,PORVENDEDOR!Z$33),0)</f>
        <v>0</v>
      </c>
      <c r="AA35" s="301">
        <f ca="1">IFERROR(SUMIFS(PEDIDO!$T:$T,PEDIDO!$AR:$AR,$C$7,PEDIDO!$G:$G,PORVENDEDOR!AA$33),0)</f>
        <v>0</v>
      </c>
      <c r="AB35" s="301">
        <f ca="1">IFERROR(SUMIFS(PEDIDO!$T:$T,PEDIDO!$AR:$AR,$C$7,PEDIDO!$G:$G,PORVENDEDOR!AB$33),0)</f>
        <v>0</v>
      </c>
      <c r="AC35" s="301">
        <f ca="1">IFERROR(SUMIFS(PEDIDO!$T:$T,PEDIDO!$AR:$AR,$C$7,PEDIDO!$G:$G,PORVENDEDOR!AC$33),0)</f>
        <v>0</v>
      </c>
      <c r="AD35" s="301">
        <f ca="1">IFERROR(SUMIFS(PEDIDO!$T:$T,PEDIDO!$AR:$AR,$C$7,PEDIDO!$G:$G,PORVENDEDOR!AD$33),0)</f>
        <v>0</v>
      </c>
      <c r="AE35" s="301">
        <f ca="1">IFERROR(SUMIFS(PEDIDO!$T:$T,PEDIDO!$AR:$AR,$C$7,PEDIDO!$G:$G,PORVENDEDOR!AE$33),0)</f>
        <v>0</v>
      </c>
      <c r="AF35" s="301">
        <f ca="1">IFERROR(SUMIFS(PEDIDO!$T:$T,PEDIDO!$AR:$AR,$C$7,PEDIDO!$G:$G,PORVENDEDOR!AF$33),0)</f>
        <v>0</v>
      </c>
      <c r="AG35" s="301">
        <f ca="1">IFERROR(SUMIFS(PEDIDO!$T:$T,PEDIDO!$AR:$AR,$C$7,PEDIDO!$G:$G,PORVENDEDOR!AG$33),0)</f>
        <v>0</v>
      </c>
      <c r="AH35" s="301">
        <f ca="1">IFERROR(SUMIFS(PEDIDO!$T:$T,PEDIDO!$AR:$AR,$C$7,PEDIDO!$G:$G,PORVENDEDOR!AH$33),0)</f>
        <v>0</v>
      </c>
      <c r="AI35" s="301">
        <f ca="1">IFERROR(SUMIFS(PEDIDO!$T:$T,PEDIDO!$AR:$AR,$C$7,PEDIDO!$G:$G,PORVENDEDOR!AI$33),0)</f>
        <v>0</v>
      </c>
      <c r="AJ35" s="301">
        <f ca="1">IFERROR(SUMIFS(PEDIDO!$T:$T,PEDIDO!$AR:$AR,$C$7,PEDIDO!$G:$G,PORVENDEDOR!AJ$33),0)</f>
        <v>0</v>
      </c>
      <c r="AK35" s="301">
        <f ca="1">IFERROR(SUMIFS(PEDIDO!$T:$T,PEDIDO!$AR:$AR,$C$7,PEDIDO!$G:$G,PORVENDEDOR!AK$33),0)</f>
        <v>0</v>
      </c>
      <c r="AL35" s="301">
        <f ca="1">IFERROR(SUMIFS(PEDIDO!$T:$T,PEDIDO!$AR:$AR,$C$7,PEDIDO!$G:$G,PORVENDEDOR!AL$33),0)</f>
        <v>0</v>
      </c>
      <c r="AM35" s="301">
        <f ca="1">IFERROR(SUMIFS(PEDIDO!$T:$T,PEDIDO!$AR:$AR,$C$7,PEDIDO!$G:$G,PORVENDEDOR!AM$33),0)</f>
        <v>0</v>
      </c>
      <c r="AN35" s="301">
        <f ca="1">IFERROR(SUMIFS(PEDIDO!$T:$T,PEDIDO!$AR:$AR,$C$7,PEDIDO!$G:$G,PORVENDEDOR!AN$33),0)</f>
        <v>0</v>
      </c>
      <c r="AO35" s="301">
        <f ca="1">IFERROR(SUMIFS(PEDIDO!$T:$T,PEDIDO!$AR:$AR,$C$7,PEDIDO!$G:$G,PORVENDEDOR!AO$33),0)</f>
        <v>0</v>
      </c>
      <c r="AP35" s="301">
        <f ca="1">IFERROR(SUMIFS(PEDIDO!$T:$T,PEDIDO!$AR:$AR,$C$7,PEDIDO!$G:$G,PORVENDEDOR!AP$33),0)</f>
        <v>0</v>
      </c>
      <c r="AQ35" s="301">
        <f ca="1">IFERROR(SUMIFS(PEDIDO!$T:$T,PEDIDO!$AR:$AR,$C$7,PEDIDO!$G:$G,PORVENDEDOR!AQ$33),0)</f>
        <v>0</v>
      </c>
      <c r="AR35" s="301">
        <f ca="1">IFERROR(SUMIFS(PEDIDO!$T:$T,PEDIDO!$AR:$AR,$C$7,PEDIDO!$G:$G,PORVENDEDOR!AR$33),0)</f>
        <v>0</v>
      </c>
      <c r="AS35" s="301">
        <f ca="1">IFERROR(SUMIFS(PEDIDO!$T:$T,PEDIDO!$AR:$AR,$C$7,PEDIDO!$G:$G,PORVENDEDOR!AS$33),0)</f>
        <v>0</v>
      </c>
      <c r="AT35" s="301">
        <f ca="1">IFERROR(SUMIFS(PEDIDO!$T:$T,PEDIDO!$AR:$AR,$C$7,PEDIDO!$G:$G,PORVENDEDOR!AT$33),0)</f>
        <v>0</v>
      </c>
      <c r="AU35" s="301">
        <f ca="1">IFERROR(SUMIFS(PEDIDO!$T:$T,PEDIDO!$AR:$AR,$C$7,PEDIDO!$G:$G,PORVENDEDOR!AU$33),0)</f>
        <v>0</v>
      </c>
      <c r="AV35" s="301">
        <f ca="1">IFERROR(SUMIFS(PEDIDO!$T:$T,PEDIDO!$AR:$AR,$C$7,PEDIDO!$G:$G,PORVENDEDOR!AV$33),0)</f>
        <v>0</v>
      </c>
      <c r="AW35" s="302">
        <f ca="1">IFERROR(SUMIFS(PEDIDO!$T:$T,PEDIDO!$AR:$AR,$C$7,PEDIDO!$G:$G,PORVENDEDOR!AW$33),0)</f>
        <v>0</v>
      </c>
    </row>
    <row r="36" spans="1:49" s="128" customFormat="1" x14ac:dyDescent="0.25">
      <c r="R36" s="306" t="s">
        <v>88</v>
      </c>
      <c r="S36" s="301">
        <f ca="1">IFERROR(SUMIFS(PEDIDO!$T:$T,PEDIDO!$G:$G,PORVENDEDOR!S$33,PEDIDO!$AA:$AA,PORVENDEDOR!$C$5),0)</f>
        <v>0</v>
      </c>
      <c r="T36" s="301">
        <f ca="1">IFERROR(SUMIFS(PEDIDO!$T:$T,PEDIDO!$G:$G,PORVENDEDOR!T$33,PEDIDO!$AA:$AA,PORVENDEDOR!$C$5),0)</f>
        <v>0</v>
      </c>
      <c r="U36" s="301">
        <f ca="1">IFERROR(SUMIFS(PEDIDO!$T:$T,PEDIDO!$G:$G,PORVENDEDOR!U$33,PEDIDO!$AA:$AA,PORVENDEDOR!$C$5),0)</f>
        <v>0</v>
      </c>
      <c r="V36" s="301">
        <f ca="1">IFERROR(SUMIFS(PEDIDO!$T:$T,PEDIDO!$G:$G,PORVENDEDOR!V$33,PEDIDO!$AA:$AA,PORVENDEDOR!$C$5),0)</f>
        <v>0</v>
      </c>
      <c r="W36" s="301">
        <f ca="1">IFERROR(SUMIFS(PEDIDO!$T:$T,PEDIDO!$G:$G,PORVENDEDOR!W$33,PEDIDO!$AA:$AA,PORVENDEDOR!$C$5),0)</f>
        <v>0</v>
      </c>
      <c r="X36" s="301">
        <f ca="1">IFERROR(SUMIFS(PEDIDO!$T:$T,PEDIDO!$G:$G,PORVENDEDOR!X$33,PEDIDO!$AA:$AA,PORVENDEDOR!$C$5),0)</f>
        <v>0</v>
      </c>
      <c r="Y36" s="301">
        <f ca="1">IFERROR(SUMIFS(PEDIDO!$T:$T,PEDIDO!$G:$G,PORVENDEDOR!Y$33,PEDIDO!$AA:$AA,PORVENDEDOR!$C$5),0)</f>
        <v>0</v>
      </c>
      <c r="Z36" s="301">
        <f ca="1">IFERROR(SUMIFS(PEDIDO!$T:$T,PEDIDO!$G:$G,PORVENDEDOR!Z$33,PEDIDO!$AA:$AA,PORVENDEDOR!$C$5),0)</f>
        <v>0</v>
      </c>
      <c r="AA36" s="301">
        <f ca="1">IFERROR(SUMIFS(PEDIDO!$T:$T,PEDIDO!$G:$G,PORVENDEDOR!AA$33,PEDIDO!$AA:$AA,PORVENDEDOR!$C$5),0)</f>
        <v>0</v>
      </c>
      <c r="AB36" s="301">
        <f ca="1">IFERROR(SUMIFS(PEDIDO!$T:$T,PEDIDO!$G:$G,PORVENDEDOR!AB$33,PEDIDO!$AA:$AA,PORVENDEDOR!$C$5),0)</f>
        <v>0</v>
      </c>
      <c r="AC36" s="301">
        <f ca="1">IFERROR(SUMIFS(PEDIDO!$T:$T,PEDIDO!$G:$G,PORVENDEDOR!AC$33,PEDIDO!$AA:$AA,PORVENDEDOR!$C$5),0)</f>
        <v>0</v>
      </c>
      <c r="AD36" s="301">
        <f ca="1">IFERROR(SUMIFS(PEDIDO!$T:$T,PEDIDO!$G:$G,PORVENDEDOR!AD$33,PEDIDO!$AA:$AA,PORVENDEDOR!$C$5),0)</f>
        <v>0</v>
      </c>
      <c r="AE36" s="301">
        <f ca="1">IFERROR(SUMIFS(PEDIDO!$T:$T,PEDIDO!$G:$G,PORVENDEDOR!AE$33,PEDIDO!$AA:$AA,PORVENDEDOR!$C$5),0)</f>
        <v>0</v>
      </c>
      <c r="AF36" s="301">
        <f ca="1">IFERROR(SUMIFS(PEDIDO!$T:$T,PEDIDO!$G:$G,PORVENDEDOR!AF$33,PEDIDO!$AA:$AA,PORVENDEDOR!$C$5),0)</f>
        <v>0</v>
      </c>
      <c r="AG36" s="301">
        <f ca="1">IFERROR(SUMIFS(PEDIDO!$T:$T,PEDIDO!$G:$G,PORVENDEDOR!AG$33,PEDIDO!$AA:$AA,PORVENDEDOR!$C$5),0)</f>
        <v>0</v>
      </c>
      <c r="AH36" s="301">
        <f ca="1">IFERROR(SUMIFS(PEDIDO!$T:$T,PEDIDO!$G:$G,PORVENDEDOR!AH$33,PEDIDO!$AA:$AA,PORVENDEDOR!$C$5),0)</f>
        <v>0</v>
      </c>
      <c r="AI36" s="301">
        <f ca="1">IFERROR(SUMIFS(PEDIDO!$T:$T,PEDIDO!$G:$G,PORVENDEDOR!AI$33,PEDIDO!$AA:$AA,PORVENDEDOR!$C$5),0)</f>
        <v>0</v>
      </c>
      <c r="AJ36" s="301">
        <f ca="1">IFERROR(SUMIFS(PEDIDO!$T:$T,PEDIDO!$G:$G,PORVENDEDOR!AJ$33,PEDIDO!$AA:$AA,PORVENDEDOR!$C$5),0)</f>
        <v>0</v>
      </c>
      <c r="AK36" s="301">
        <f ca="1">IFERROR(SUMIFS(PEDIDO!$T:$T,PEDIDO!$G:$G,PORVENDEDOR!AK$33,PEDIDO!$AA:$AA,PORVENDEDOR!$C$5),0)</f>
        <v>0</v>
      </c>
      <c r="AL36" s="301">
        <f ca="1">IFERROR(SUMIFS(PEDIDO!$T:$T,PEDIDO!$G:$G,PORVENDEDOR!AL$33,PEDIDO!$AA:$AA,PORVENDEDOR!$C$5),0)</f>
        <v>0</v>
      </c>
      <c r="AM36" s="301">
        <f ca="1">IFERROR(SUMIFS(PEDIDO!$T:$T,PEDIDO!$G:$G,PORVENDEDOR!AM$33,PEDIDO!$AA:$AA,PORVENDEDOR!$C$5),0)</f>
        <v>0</v>
      </c>
      <c r="AN36" s="301">
        <f ca="1">IFERROR(SUMIFS(PEDIDO!$T:$T,PEDIDO!$G:$G,PORVENDEDOR!AN$33,PEDIDO!$AA:$AA,PORVENDEDOR!$C$5),0)</f>
        <v>0</v>
      </c>
      <c r="AO36" s="301">
        <f ca="1">IFERROR(SUMIFS(PEDIDO!$T:$T,PEDIDO!$G:$G,PORVENDEDOR!AO$33,PEDIDO!$AA:$AA,PORVENDEDOR!$C$5),0)</f>
        <v>0</v>
      </c>
      <c r="AP36" s="301">
        <f ca="1">IFERROR(SUMIFS(PEDIDO!$T:$T,PEDIDO!$G:$G,PORVENDEDOR!AP$33,PEDIDO!$AA:$AA,PORVENDEDOR!$C$5),0)</f>
        <v>0</v>
      </c>
      <c r="AQ36" s="301">
        <f ca="1">IFERROR(SUMIFS(PEDIDO!$T:$T,PEDIDO!$G:$G,PORVENDEDOR!AQ$33,PEDIDO!$AA:$AA,PORVENDEDOR!$C$5),0)</f>
        <v>0</v>
      </c>
      <c r="AR36" s="301">
        <f ca="1">IFERROR(SUMIFS(PEDIDO!$T:$T,PEDIDO!$G:$G,PORVENDEDOR!AR$33,PEDIDO!$AA:$AA,PORVENDEDOR!$C$5),0)</f>
        <v>0</v>
      </c>
      <c r="AS36" s="301">
        <f ca="1">IFERROR(SUMIFS(PEDIDO!$T:$T,PEDIDO!$G:$G,PORVENDEDOR!AS$33,PEDIDO!$AA:$AA,PORVENDEDOR!$C$5),0)</f>
        <v>0</v>
      </c>
      <c r="AT36" s="301">
        <f ca="1">IFERROR(SUMIFS(PEDIDO!$T:$T,PEDIDO!$G:$G,PORVENDEDOR!AT$33,PEDIDO!$AA:$AA,PORVENDEDOR!$C$5),0)</f>
        <v>0</v>
      </c>
      <c r="AU36" s="301">
        <f ca="1">IFERROR(SUMIFS(PEDIDO!$T:$T,PEDIDO!$G:$G,PORVENDEDOR!AU$33,PEDIDO!$AA:$AA,PORVENDEDOR!$C$5),0)</f>
        <v>0</v>
      </c>
      <c r="AV36" s="301">
        <f ca="1">IFERROR(SUMIFS(PEDIDO!$T:$T,PEDIDO!$G:$G,PORVENDEDOR!AV$33,PEDIDO!$AA:$AA,PORVENDEDOR!$C$5),0)</f>
        <v>0</v>
      </c>
      <c r="AW36" s="302">
        <f ca="1">IFERROR(SUMIFS(PEDIDO!$T:$T,PEDIDO!$G:$G,PORVENDEDOR!AW$33,PEDIDO!$AA:$AA,PORVENDEDOR!$C$5),0)</f>
        <v>0</v>
      </c>
    </row>
    <row r="37" spans="1:49" x14ac:dyDescent="0.25">
      <c r="R37" s="307" t="s">
        <v>86</v>
      </c>
      <c r="S37" s="303">
        <f ca="1">+S36</f>
        <v>0</v>
      </c>
      <c r="T37" s="303">
        <f t="shared" ref="T37" ca="1" si="3">+T36+S37</f>
        <v>0</v>
      </c>
      <c r="U37" s="303">
        <f t="shared" ref="U37" ca="1" si="4">+U36+T37</f>
        <v>0</v>
      </c>
      <c r="V37" s="303">
        <f t="shared" ref="V37" ca="1" si="5">+V36+U37</f>
        <v>0</v>
      </c>
      <c r="W37" s="303">
        <f t="shared" ref="W37" ca="1" si="6">+W36+V37</f>
        <v>0</v>
      </c>
      <c r="X37" s="303">
        <f t="shared" ref="X37" ca="1" si="7">+X36+W37</f>
        <v>0</v>
      </c>
      <c r="Y37" s="303">
        <f t="shared" ref="Y37" ca="1" si="8">+Y36+X37</f>
        <v>0</v>
      </c>
      <c r="Z37" s="303">
        <f t="shared" ref="Z37" ca="1" si="9">+Z36+Y37</f>
        <v>0</v>
      </c>
      <c r="AA37" s="303">
        <f t="shared" ref="AA37" ca="1" si="10">+AA36+Z37</f>
        <v>0</v>
      </c>
      <c r="AB37" s="303">
        <f t="shared" ref="AB37" ca="1" si="11">+AB36+AA37</f>
        <v>0</v>
      </c>
      <c r="AC37" s="303">
        <f t="shared" ref="AC37" ca="1" si="12">+AC36+AB37</f>
        <v>0</v>
      </c>
      <c r="AD37" s="303">
        <f t="shared" ref="AD37" ca="1" si="13">+AD36+AC37</f>
        <v>0</v>
      </c>
      <c r="AE37" s="303">
        <f t="shared" ref="AE37" ca="1" si="14">+AE36+AD37</f>
        <v>0</v>
      </c>
      <c r="AF37" s="303">
        <f t="shared" ref="AF37" ca="1" si="15">+AF36+AE37</f>
        <v>0</v>
      </c>
      <c r="AG37" s="303">
        <f t="shared" ref="AG37" ca="1" si="16">+AG36+AF37</f>
        <v>0</v>
      </c>
      <c r="AH37" s="303">
        <f t="shared" ref="AH37" ca="1" si="17">+AH36+AG37</f>
        <v>0</v>
      </c>
      <c r="AI37" s="303">
        <f t="shared" ref="AI37" ca="1" si="18">+AI36+AH37</f>
        <v>0</v>
      </c>
      <c r="AJ37" s="303">
        <f t="shared" ref="AJ37" ca="1" si="19">+AJ36+AI37</f>
        <v>0</v>
      </c>
      <c r="AK37" s="303">
        <f t="shared" ref="AK37" ca="1" si="20">+AK36+AJ37</f>
        <v>0</v>
      </c>
      <c r="AL37" s="303">
        <f t="shared" ref="AL37" ca="1" si="21">+AL36+AK37</f>
        <v>0</v>
      </c>
      <c r="AM37" s="303">
        <f t="shared" ref="AM37" ca="1" si="22">+AM36+AL37</f>
        <v>0</v>
      </c>
      <c r="AN37" s="303">
        <f t="shared" ref="AN37" ca="1" si="23">+AN36+AM37</f>
        <v>0</v>
      </c>
      <c r="AO37" s="303">
        <f t="shared" ref="AO37" ca="1" si="24">+AO36+AN37</f>
        <v>0</v>
      </c>
      <c r="AP37" s="303">
        <f t="shared" ref="AP37" ca="1" si="25">+AP36+AO37</f>
        <v>0</v>
      </c>
      <c r="AQ37" s="303">
        <f t="shared" ref="AQ37" ca="1" si="26">+AQ36+AP37</f>
        <v>0</v>
      </c>
      <c r="AR37" s="303">
        <f t="shared" ref="AR37:AS37" ca="1" si="27">+AR36+AQ37</f>
        <v>0</v>
      </c>
      <c r="AS37" s="303">
        <f t="shared" ca="1" si="27"/>
        <v>0</v>
      </c>
      <c r="AT37" s="303">
        <f t="shared" ref="AT37" ca="1" si="28">+AT36+AS37</f>
        <v>0</v>
      </c>
      <c r="AU37" s="303">
        <f t="shared" ref="AU37" ca="1" si="29">+AU36+AT37</f>
        <v>0</v>
      </c>
      <c r="AV37" s="303">
        <f t="shared" ref="AV37" ca="1" si="30">+AV36+AU37</f>
        <v>0</v>
      </c>
      <c r="AW37" s="304">
        <f t="shared" ref="AW37" ca="1" si="31">+AW36+AV37</f>
        <v>0</v>
      </c>
    </row>
    <row r="38" spans="1:49" ht="15.6" customHeight="1" x14ac:dyDescent="0.25">
      <c r="S38" s="9">
        <f ca="1">IFERROR(S37/$AT$4,0)</f>
        <v>0</v>
      </c>
      <c r="T38" s="9" t="str">
        <f t="shared" ref="T38:AW38" ca="1" si="32">IFERROR(T37/$AT$4,"")</f>
        <v/>
      </c>
      <c r="U38" s="9" t="str">
        <f t="shared" ca="1" si="32"/>
        <v/>
      </c>
      <c r="V38" s="9" t="str">
        <f t="shared" ca="1" si="32"/>
        <v/>
      </c>
      <c r="W38" s="9" t="str">
        <f t="shared" ca="1" si="32"/>
        <v/>
      </c>
      <c r="X38" s="9" t="str">
        <f t="shared" ca="1" si="32"/>
        <v/>
      </c>
      <c r="Y38" s="9" t="str">
        <f t="shared" ca="1" si="32"/>
        <v/>
      </c>
      <c r="Z38" s="9" t="str">
        <f t="shared" ca="1" si="32"/>
        <v/>
      </c>
      <c r="AA38" s="9" t="str">
        <f t="shared" ca="1" si="32"/>
        <v/>
      </c>
      <c r="AB38" s="9" t="str">
        <f t="shared" ca="1" si="32"/>
        <v/>
      </c>
      <c r="AC38" s="9" t="str">
        <f t="shared" ca="1" si="32"/>
        <v/>
      </c>
      <c r="AD38" s="9" t="str">
        <f t="shared" ca="1" si="32"/>
        <v/>
      </c>
      <c r="AE38" s="9" t="str">
        <f t="shared" ca="1" si="32"/>
        <v/>
      </c>
      <c r="AF38" s="9" t="str">
        <f t="shared" ca="1" si="32"/>
        <v/>
      </c>
      <c r="AG38" s="9" t="str">
        <f t="shared" ca="1" si="32"/>
        <v/>
      </c>
      <c r="AH38" s="9" t="str">
        <f t="shared" ca="1" si="32"/>
        <v/>
      </c>
      <c r="AI38" s="9" t="str">
        <f t="shared" ca="1" si="32"/>
        <v/>
      </c>
      <c r="AJ38" s="9" t="str">
        <f t="shared" ca="1" si="32"/>
        <v/>
      </c>
      <c r="AK38" s="9" t="str">
        <f t="shared" ca="1" si="32"/>
        <v/>
      </c>
      <c r="AL38" s="9" t="str">
        <f t="shared" ca="1" si="32"/>
        <v/>
      </c>
      <c r="AM38" s="9" t="str">
        <f t="shared" ca="1" si="32"/>
        <v/>
      </c>
      <c r="AN38" s="9" t="str">
        <f t="shared" ca="1" si="32"/>
        <v/>
      </c>
      <c r="AO38" s="9" t="str">
        <f t="shared" ca="1" si="32"/>
        <v/>
      </c>
      <c r="AP38" s="9" t="str">
        <f t="shared" ca="1" si="32"/>
        <v/>
      </c>
      <c r="AQ38" s="9" t="str">
        <f t="shared" ca="1" si="32"/>
        <v/>
      </c>
      <c r="AR38" s="9" t="str">
        <f t="shared" ca="1" si="32"/>
        <v/>
      </c>
      <c r="AS38" s="9" t="str">
        <f t="shared" ca="1" si="32"/>
        <v/>
      </c>
      <c r="AT38" s="9" t="str">
        <f t="shared" ca="1" si="32"/>
        <v/>
      </c>
      <c r="AU38" s="9" t="str">
        <f t="shared" ca="1" si="32"/>
        <v/>
      </c>
      <c r="AV38" s="9" t="str">
        <f t="shared" ca="1" si="32"/>
        <v/>
      </c>
      <c r="AW38" s="9" t="str">
        <f t="shared" ca="1" si="32"/>
        <v/>
      </c>
    </row>
    <row r="39" spans="1:49" x14ac:dyDescent="0.25">
      <c r="I39"/>
    </row>
    <row r="40" spans="1:49" x14ac:dyDescent="0.25">
      <c r="I40"/>
    </row>
    <row r="41" spans="1:49" x14ac:dyDescent="0.25">
      <c r="I41"/>
    </row>
    <row r="42" spans="1:49" x14ac:dyDescent="0.25">
      <c r="I42"/>
    </row>
    <row r="43" spans="1:49" x14ac:dyDescent="0.25">
      <c r="I43"/>
    </row>
    <row r="44" spans="1:49" x14ac:dyDescent="0.25">
      <c r="I44"/>
    </row>
    <row r="45" spans="1:49" ht="15.75" x14ac:dyDescent="0.25">
      <c r="A45" s="12" t="s">
        <v>90</v>
      </c>
      <c r="I45"/>
    </row>
    <row r="46" spans="1:49" x14ac:dyDescent="0.25">
      <c r="I46"/>
    </row>
    <row r="47" spans="1:49" x14ac:dyDescent="0.25">
      <c r="A47" s="6" t="s">
        <v>237</v>
      </c>
      <c r="I47"/>
    </row>
    <row r="48" spans="1:49" x14ac:dyDescent="0.25">
      <c r="I48"/>
    </row>
    <row r="49" spans="1:49" x14ac:dyDescent="0.25">
      <c r="I49"/>
      <c r="S49" s="288">
        <f ca="1">S29</f>
        <v>42125</v>
      </c>
      <c r="T49" s="288">
        <f t="shared" ref="T49:AW49" ca="1" si="33">T29</f>
        <v>42126</v>
      </c>
      <c r="U49" s="288">
        <f t="shared" ca="1" si="33"/>
        <v>42127</v>
      </c>
      <c r="V49" s="288">
        <f t="shared" ca="1" si="33"/>
        <v>42128</v>
      </c>
      <c r="W49" s="288">
        <f t="shared" ca="1" si="33"/>
        <v>42129</v>
      </c>
      <c r="X49" s="288">
        <f t="shared" ca="1" si="33"/>
        <v>42130</v>
      </c>
      <c r="Y49" s="288">
        <f t="shared" ca="1" si="33"/>
        <v>42131</v>
      </c>
      <c r="Z49" s="288">
        <f t="shared" ca="1" si="33"/>
        <v>42132</v>
      </c>
      <c r="AA49" s="288">
        <f t="shared" ca="1" si="33"/>
        <v>42133</v>
      </c>
      <c r="AB49" s="288">
        <f t="shared" ca="1" si="33"/>
        <v>42134</v>
      </c>
      <c r="AC49" s="288">
        <f t="shared" ca="1" si="33"/>
        <v>42135</v>
      </c>
      <c r="AD49" s="288">
        <f t="shared" ca="1" si="33"/>
        <v>42136</v>
      </c>
      <c r="AE49" s="288">
        <f t="shared" ca="1" si="33"/>
        <v>42137</v>
      </c>
      <c r="AF49" s="288">
        <f t="shared" ca="1" si="33"/>
        <v>42138</v>
      </c>
      <c r="AG49" s="288">
        <f t="shared" ca="1" si="33"/>
        <v>42139</v>
      </c>
      <c r="AH49" s="288">
        <f t="shared" ca="1" si="33"/>
        <v>42140</v>
      </c>
      <c r="AI49" s="288">
        <f t="shared" ca="1" si="33"/>
        <v>42141</v>
      </c>
      <c r="AJ49" s="288">
        <f t="shared" ca="1" si="33"/>
        <v>42142</v>
      </c>
      <c r="AK49" s="288">
        <f t="shared" ca="1" si="33"/>
        <v>42143</v>
      </c>
      <c r="AL49" s="288">
        <f t="shared" ca="1" si="33"/>
        <v>42144</v>
      </c>
      <c r="AM49" s="288">
        <f t="shared" ca="1" si="33"/>
        <v>42145</v>
      </c>
      <c r="AN49" s="288">
        <f t="shared" ca="1" si="33"/>
        <v>42146</v>
      </c>
      <c r="AO49" s="288">
        <f t="shared" ca="1" si="33"/>
        <v>42147</v>
      </c>
      <c r="AP49" s="288">
        <f t="shared" ca="1" si="33"/>
        <v>42148</v>
      </c>
      <c r="AQ49" s="288">
        <f t="shared" ca="1" si="33"/>
        <v>42149</v>
      </c>
      <c r="AR49" s="288">
        <f t="shared" ca="1" si="33"/>
        <v>42150</v>
      </c>
      <c r="AS49" s="288">
        <f t="shared" ca="1" si="33"/>
        <v>42151</v>
      </c>
      <c r="AT49" s="288">
        <f t="shared" ca="1" si="33"/>
        <v>42152</v>
      </c>
      <c r="AU49" s="288">
        <f t="shared" ca="1" si="33"/>
        <v>42153</v>
      </c>
      <c r="AV49" s="288">
        <f t="shared" ca="1" si="33"/>
        <v>42154</v>
      </c>
      <c r="AW49" s="288">
        <f t="shared" ca="1" si="33"/>
        <v>42155</v>
      </c>
    </row>
    <row r="50" spans="1:49" hidden="1" x14ac:dyDescent="0.25">
      <c r="I50"/>
      <c r="S50" s="226">
        <f>S28+1</f>
        <v>1</v>
      </c>
      <c r="T50" s="226">
        <f t="shared" ref="T50:AW50" si="34">T28+1</f>
        <v>2</v>
      </c>
      <c r="U50" s="226">
        <f t="shared" si="34"/>
        <v>3</v>
      </c>
      <c r="V50" s="226">
        <f t="shared" si="34"/>
        <v>4</v>
      </c>
      <c r="W50" s="226">
        <f t="shared" si="34"/>
        <v>5</v>
      </c>
      <c r="X50" s="226">
        <f t="shared" si="34"/>
        <v>6</v>
      </c>
      <c r="Y50" s="226">
        <f t="shared" si="34"/>
        <v>7</v>
      </c>
      <c r="Z50" s="226">
        <f t="shared" si="34"/>
        <v>8</v>
      </c>
      <c r="AA50" s="226">
        <f t="shared" si="34"/>
        <v>9</v>
      </c>
      <c r="AB50" s="226">
        <f t="shared" si="34"/>
        <v>10</v>
      </c>
      <c r="AC50" s="226">
        <f t="shared" si="34"/>
        <v>11</v>
      </c>
      <c r="AD50" s="226">
        <f t="shared" si="34"/>
        <v>12</v>
      </c>
      <c r="AE50" s="226">
        <f t="shared" si="34"/>
        <v>13</v>
      </c>
      <c r="AF50" s="226">
        <f t="shared" si="34"/>
        <v>14</v>
      </c>
      <c r="AG50" s="226">
        <f t="shared" si="34"/>
        <v>15</v>
      </c>
      <c r="AH50" s="226">
        <f t="shared" si="34"/>
        <v>16</v>
      </c>
      <c r="AI50" s="226">
        <f t="shared" si="34"/>
        <v>17</v>
      </c>
      <c r="AJ50" s="226">
        <f t="shared" si="34"/>
        <v>18</v>
      </c>
      <c r="AK50" s="226">
        <f t="shared" si="34"/>
        <v>19</v>
      </c>
      <c r="AL50" s="226">
        <f t="shared" si="34"/>
        <v>20</v>
      </c>
      <c r="AM50" s="226">
        <f t="shared" si="34"/>
        <v>21</v>
      </c>
      <c r="AN50" s="226">
        <f t="shared" si="34"/>
        <v>22</v>
      </c>
      <c r="AO50" s="226">
        <f t="shared" si="34"/>
        <v>23</v>
      </c>
      <c r="AP50" s="226">
        <f t="shared" si="34"/>
        <v>24</v>
      </c>
      <c r="AQ50" s="226">
        <f t="shared" si="34"/>
        <v>25</v>
      </c>
      <c r="AR50" s="226">
        <f t="shared" si="34"/>
        <v>26</v>
      </c>
      <c r="AS50" s="226">
        <f t="shared" si="34"/>
        <v>27</v>
      </c>
      <c r="AT50" s="226">
        <f t="shared" si="34"/>
        <v>28</v>
      </c>
      <c r="AU50" s="226">
        <f t="shared" si="34"/>
        <v>29</v>
      </c>
      <c r="AV50" s="226">
        <f t="shared" si="34"/>
        <v>30</v>
      </c>
      <c r="AW50" s="226">
        <f t="shared" si="34"/>
        <v>31</v>
      </c>
    </row>
    <row r="51" spans="1:49" x14ac:dyDescent="0.25">
      <c r="I51"/>
      <c r="R51" s="22" t="s">
        <v>243</v>
      </c>
      <c r="S51" s="26">
        <f ca="1">S29</f>
        <v>42125</v>
      </c>
      <c r="T51" s="26">
        <f t="shared" ref="T51:AW51" ca="1" si="35">T29</f>
        <v>42126</v>
      </c>
      <c r="U51" s="26">
        <f t="shared" ca="1" si="35"/>
        <v>42127</v>
      </c>
      <c r="V51" s="26">
        <f t="shared" ca="1" si="35"/>
        <v>42128</v>
      </c>
      <c r="W51" s="26">
        <f t="shared" ca="1" si="35"/>
        <v>42129</v>
      </c>
      <c r="X51" s="26">
        <f t="shared" ca="1" si="35"/>
        <v>42130</v>
      </c>
      <c r="Y51" s="26">
        <f t="shared" ca="1" si="35"/>
        <v>42131</v>
      </c>
      <c r="Z51" s="26">
        <f t="shared" ca="1" si="35"/>
        <v>42132</v>
      </c>
      <c r="AA51" s="26">
        <f t="shared" ca="1" si="35"/>
        <v>42133</v>
      </c>
      <c r="AB51" s="26">
        <f t="shared" ca="1" si="35"/>
        <v>42134</v>
      </c>
      <c r="AC51" s="26">
        <f t="shared" ca="1" si="35"/>
        <v>42135</v>
      </c>
      <c r="AD51" s="26">
        <f t="shared" ca="1" si="35"/>
        <v>42136</v>
      </c>
      <c r="AE51" s="26">
        <f t="shared" ca="1" si="35"/>
        <v>42137</v>
      </c>
      <c r="AF51" s="26">
        <f t="shared" ca="1" si="35"/>
        <v>42138</v>
      </c>
      <c r="AG51" s="26">
        <f t="shared" ca="1" si="35"/>
        <v>42139</v>
      </c>
      <c r="AH51" s="26">
        <f t="shared" ca="1" si="35"/>
        <v>42140</v>
      </c>
      <c r="AI51" s="26">
        <f t="shared" ca="1" si="35"/>
        <v>42141</v>
      </c>
      <c r="AJ51" s="26">
        <f t="shared" ca="1" si="35"/>
        <v>42142</v>
      </c>
      <c r="AK51" s="26">
        <f t="shared" ca="1" si="35"/>
        <v>42143</v>
      </c>
      <c r="AL51" s="26">
        <f t="shared" ca="1" si="35"/>
        <v>42144</v>
      </c>
      <c r="AM51" s="26">
        <f t="shared" ca="1" si="35"/>
        <v>42145</v>
      </c>
      <c r="AN51" s="26">
        <f t="shared" ca="1" si="35"/>
        <v>42146</v>
      </c>
      <c r="AO51" s="26">
        <f t="shared" ca="1" si="35"/>
        <v>42147</v>
      </c>
      <c r="AP51" s="26">
        <f t="shared" ca="1" si="35"/>
        <v>42148</v>
      </c>
      <c r="AQ51" s="26">
        <f t="shared" ca="1" si="35"/>
        <v>42149</v>
      </c>
      <c r="AR51" s="26">
        <f t="shared" ca="1" si="35"/>
        <v>42150</v>
      </c>
      <c r="AS51" s="26">
        <f t="shared" ca="1" si="35"/>
        <v>42151</v>
      </c>
      <c r="AT51" s="26">
        <f t="shared" ca="1" si="35"/>
        <v>42152</v>
      </c>
      <c r="AU51" s="26">
        <f t="shared" ca="1" si="35"/>
        <v>42153</v>
      </c>
      <c r="AV51" s="26">
        <f t="shared" ca="1" si="35"/>
        <v>42154</v>
      </c>
      <c r="AW51" s="26">
        <f t="shared" ca="1" si="35"/>
        <v>42155</v>
      </c>
    </row>
    <row r="52" spans="1:49" x14ac:dyDescent="0.25">
      <c r="I52"/>
      <c r="R52" s="305" t="s">
        <v>144</v>
      </c>
      <c r="S52" s="308">
        <f>IFERROR(COUNTIFS(VISITA!$Q:$Q,"S",VISITA!$AK:$AK,$C$5,VISITA!$P:$P,S$50),0)</f>
        <v>0</v>
      </c>
      <c r="T52" s="299">
        <f>IFERROR(COUNTIFS(VISITA!$Q:$Q,"S",VISITA!$AK:$AK,$C$5,VISITA!$P:$P,T$50),0)</f>
        <v>0</v>
      </c>
      <c r="U52" s="299">
        <f>IFERROR(COUNTIFS(VISITA!$Q:$Q,"S",VISITA!$AK:$AK,$C$5,VISITA!$P:$P,U$50),0)</f>
        <v>0</v>
      </c>
      <c r="V52" s="299">
        <f>IFERROR(COUNTIFS(VISITA!$Q:$Q,"S",VISITA!$AK:$AK,$C$5,VISITA!$P:$P,V$50),0)</f>
        <v>0</v>
      </c>
      <c r="W52" s="299">
        <f>IFERROR(COUNTIFS(VISITA!$Q:$Q,"S",VISITA!$AK:$AK,$C$5,VISITA!$P:$P,W$50),0)</f>
        <v>0</v>
      </c>
      <c r="X52" s="299">
        <f>IFERROR(COUNTIFS(VISITA!$Q:$Q,"S",VISITA!$AK:$AK,$C$5,VISITA!$P:$P,X$50),0)</f>
        <v>0</v>
      </c>
      <c r="Y52" s="299">
        <f>IFERROR(COUNTIFS(VISITA!$Q:$Q,"S",VISITA!$AK:$AK,$C$5,VISITA!$P:$P,Y$50),0)</f>
        <v>0</v>
      </c>
      <c r="Z52" s="299">
        <f>IFERROR(COUNTIFS(VISITA!$Q:$Q,"S",VISITA!$AK:$AK,$C$5,VISITA!$P:$P,Z$50),0)</f>
        <v>0</v>
      </c>
      <c r="AA52" s="299">
        <f>IFERROR(COUNTIFS(VISITA!$Q:$Q,"S",VISITA!$AK:$AK,$C$5,VISITA!$P:$P,AA$50),0)</f>
        <v>0</v>
      </c>
      <c r="AB52" s="299">
        <f>IFERROR(COUNTIFS(VISITA!$Q:$Q,"S",VISITA!$AK:$AK,$C$5,VISITA!$P:$P,AB$50),0)</f>
        <v>0</v>
      </c>
      <c r="AC52" s="299">
        <f>IFERROR(COUNTIFS(VISITA!$Q:$Q,"S",VISITA!$AK:$AK,$C$5,VISITA!$P:$P,AC$50),0)</f>
        <v>0</v>
      </c>
      <c r="AD52" s="299">
        <f>IFERROR(COUNTIFS(VISITA!$Q:$Q,"S",VISITA!$AK:$AK,$C$5,VISITA!$P:$P,AD$50),0)</f>
        <v>0</v>
      </c>
      <c r="AE52" s="299">
        <f>IFERROR(COUNTIFS(VISITA!$Q:$Q,"S",VISITA!$AK:$AK,$C$5,VISITA!$P:$P,AE$50),0)</f>
        <v>0</v>
      </c>
      <c r="AF52" s="299">
        <f>IFERROR(COUNTIFS(VISITA!$Q:$Q,"S",VISITA!$AK:$AK,$C$5,VISITA!$P:$P,AF$50),0)</f>
        <v>0</v>
      </c>
      <c r="AG52" s="299">
        <f>IFERROR(COUNTIFS(VISITA!$Q:$Q,"S",VISITA!$AK:$AK,$C$5,VISITA!$P:$P,AG$50),0)</f>
        <v>0</v>
      </c>
      <c r="AH52" s="299">
        <f>IFERROR(COUNTIFS(VISITA!$Q:$Q,"S",VISITA!$AK:$AK,$C$5,VISITA!$P:$P,AH$50),0)</f>
        <v>0</v>
      </c>
      <c r="AI52" s="299">
        <f>IFERROR(COUNTIFS(VISITA!$Q:$Q,"S",VISITA!$AK:$AK,$C$5,VISITA!$P:$P,AI$50),0)</f>
        <v>0</v>
      </c>
      <c r="AJ52" s="299">
        <f>IFERROR(COUNTIFS(VISITA!$Q:$Q,"S",VISITA!$AK:$AK,$C$5,VISITA!$P:$P,AJ$50),0)</f>
        <v>0</v>
      </c>
      <c r="AK52" s="299">
        <f>IFERROR(COUNTIFS(VISITA!$Q:$Q,"S",VISITA!$AK:$AK,$C$5,VISITA!$P:$P,AK$50),0)</f>
        <v>0</v>
      </c>
      <c r="AL52" s="299">
        <f>IFERROR(COUNTIFS(VISITA!$Q:$Q,"S",VISITA!$AK:$AK,$C$5,VISITA!$P:$P,AL$50),0)</f>
        <v>0</v>
      </c>
      <c r="AM52" s="299">
        <f>IFERROR(COUNTIFS(VISITA!$Q:$Q,"S",VISITA!$AK:$AK,$C$5,VISITA!$P:$P,AM$50),0)</f>
        <v>0</v>
      </c>
      <c r="AN52" s="299">
        <f>IFERROR(COUNTIFS(VISITA!$Q:$Q,"S",VISITA!$AK:$AK,$C$5,VISITA!$P:$P,AN$50),0)</f>
        <v>0</v>
      </c>
      <c r="AO52" s="299">
        <f>IFERROR(COUNTIFS(VISITA!$Q:$Q,"S",VISITA!$AK:$AK,$C$5,VISITA!$P:$P,AO$50),0)</f>
        <v>0</v>
      </c>
      <c r="AP52" s="299">
        <f>IFERROR(COUNTIFS(VISITA!$Q:$Q,"S",VISITA!$AK:$AK,$C$5,VISITA!$P:$P,AP$50),0)</f>
        <v>0</v>
      </c>
      <c r="AQ52" s="299">
        <f>IFERROR(COUNTIFS(VISITA!$Q:$Q,"S",VISITA!$AK:$AK,$C$5,VISITA!$P:$P,AQ$50),0)</f>
        <v>0</v>
      </c>
      <c r="AR52" s="299">
        <f>IFERROR(COUNTIFS(VISITA!$Q:$Q,"S",VISITA!$AK:$AK,$C$5,VISITA!$P:$P,AR$50),0)</f>
        <v>0</v>
      </c>
      <c r="AS52" s="299">
        <f>IFERROR(COUNTIFS(VISITA!$Q:$Q,"S",VISITA!$AK:$AK,$C$5,VISITA!$P:$P,AS$50),0)</f>
        <v>0</v>
      </c>
      <c r="AT52" s="299">
        <f>IFERROR(COUNTIFS(VISITA!$Q:$Q,"S",VISITA!$AK:$AK,$C$5,VISITA!$P:$P,AT$50),0)</f>
        <v>0</v>
      </c>
      <c r="AU52" s="299">
        <f>IFERROR(COUNTIFS(VISITA!$Q:$Q,"S",VISITA!$AK:$AK,$C$5,VISITA!$P:$P,AU$50),0)</f>
        <v>0</v>
      </c>
      <c r="AV52" s="299">
        <f>IFERROR(COUNTIFS(VISITA!$Q:$Q,"S",VISITA!$AK:$AK,$C$5,VISITA!$P:$P,AV$50),0)</f>
        <v>0</v>
      </c>
      <c r="AW52" s="300">
        <f>IFERROR(COUNTIFS(VISITA!$Q:$Q,"S",VISITA!$AK:$AK,$C$5,VISITA!$P:$P,AW$50),0)</f>
        <v>0</v>
      </c>
    </row>
    <row r="53" spans="1:49" x14ac:dyDescent="0.25">
      <c r="I53"/>
      <c r="R53" s="306" t="s">
        <v>240</v>
      </c>
      <c r="S53" s="309">
        <f>IFERROR(COUNTIFS(VISITA!$AM:$AM,"SS",VISITA!$AK:$AK,$C$5,VISITA!$P:$P,S$50),0)</f>
        <v>0</v>
      </c>
      <c r="T53" s="301">
        <f>IFERROR(COUNTIFS(VISITA!$AM:$AM,"SS",VISITA!$AK:$AK,$C$5,VISITA!$P:$P,T$50),0)</f>
        <v>0</v>
      </c>
      <c r="U53" s="301">
        <f>IFERROR(COUNTIFS(VISITA!$AM:$AM,"SS",VISITA!$AK:$AK,$C$5,VISITA!$P:$P,U$50),0)</f>
        <v>0</v>
      </c>
      <c r="V53" s="301">
        <f>IFERROR(COUNTIFS(VISITA!$AM:$AM,"SS",VISITA!$AK:$AK,$C$5,VISITA!$P:$P,V$50),0)</f>
        <v>0</v>
      </c>
      <c r="W53" s="301">
        <f>IFERROR(COUNTIFS(VISITA!$AM:$AM,"SS",VISITA!$AK:$AK,$C$5,VISITA!$P:$P,W$50),0)</f>
        <v>0</v>
      </c>
      <c r="X53" s="301">
        <f>IFERROR(COUNTIFS(VISITA!$AM:$AM,"SS",VISITA!$AK:$AK,$C$5,VISITA!$P:$P,X$50),0)</f>
        <v>0</v>
      </c>
      <c r="Y53" s="301">
        <f>IFERROR(COUNTIFS(VISITA!$AM:$AM,"SS",VISITA!$AK:$AK,$C$5,VISITA!$P:$P,Y$50),0)</f>
        <v>0</v>
      </c>
      <c r="Z53" s="301">
        <f>IFERROR(COUNTIFS(VISITA!$AM:$AM,"SS",VISITA!$AK:$AK,$C$5,VISITA!$P:$P,Z$50),0)</f>
        <v>0</v>
      </c>
      <c r="AA53" s="301">
        <f>IFERROR(COUNTIFS(VISITA!$AM:$AM,"SS",VISITA!$AK:$AK,$C$5,VISITA!$P:$P,AA$50),0)</f>
        <v>0</v>
      </c>
      <c r="AB53" s="301">
        <f>IFERROR(COUNTIFS(VISITA!$AM:$AM,"SS",VISITA!$AK:$AK,$C$5,VISITA!$P:$P,AB$50),0)</f>
        <v>0</v>
      </c>
      <c r="AC53" s="301">
        <f>IFERROR(COUNTIFS(VISITA!$AM:$AM,"SS",VISITA!$AK:$AK,$C$5,VISITA!$P:$P,AC$50),0)</f>
        <v>0</v>
      </c>
      <c r="AD53" s="301">
        <f>IFERROR(COUNTIFS(VISITA!$AM:$AM,"SS",VISITA!$AK:$AK,$C$5,VISITA!$P:$P,AD$50),0)</f>
        <v>0</v>
      </c>
      <c r="AE53" s="301">
        <f>IFERROR(COUNTIFS(VISITA!$AM:$AM,"SS",VISITA!$AK:$AK,$C$5,VISITA!$P:$P,AE$50),0)</f>
        <v>0</v>
      </c>
      <c r="AF53" s="301">
        <f>IFERROR(COUNTIFS(VISITA!$AM:$AM,"SS",VISITA!$AK:$AK,$C$5,VISITA!$P:$P,AF$50),0)</f>
        <v>0</v>
      </c>
      <c r="AG53" s="301">
        <f>IFERROR(COUNTIFS(VISITA!$AM:$AM,"SS",VISITA!$AK:$AK,$C$5,VISITA!$P:$P,AG$50),0)</f>
        <v>0</v>
      </c>
      <c r="AH53" s="301">
        <f>IFERROR(COUNTIFS(VISITA!$AM:$AM,"SS",VISITA!$AK:$AK,$C$5,VISITA!$P:$P,AH$50),0)</f>
        <v>0</v>
      </c>
      <c r="AI53" s="301">
        <f>IFERROR(COUNTIFS(VISITA!$AM:$AM,"SS",VISITA!$AK:$AK,$C$5,VISITA!$P:$P,AI$50),0)</f>
        <v>0</v>
      </c>
      <c r="AJ53" s="301">
        <f>IFERROR(COUNTIFS(VISITA!$AM:$AM,"SS",VISITA!$AK:$AK,$C$5,VISITA!$P:$P,AJ$50),0)</f>
        <v>0</v>
      </c>
      <c r="AK53" s="301">
        <f>IFERROR(COUNTIFS(VISITA!$AM:$AM,"SS",VISITA!$AK:$AK,$C$5,VISITA!$P:$P,AK$50),0)</f>
        <v>0</v>
      </c>
      <c r="AL53" s="301">
        <f>IFERROR(COUNTIFS(VISITA!$AM:$AM,"SS",VISITA!$AK:$AK,$C$5,VISITA!$P:$P,AL$50),0)</f>
        <v>0</v>
      </c>
      <c r="AM53" s="301">
        <f>IFERROR(COUNTIFS(VISITA!$AM:$AM,"SS",VISITA!$AK:$AK,$C$5,VISITA!$P:$P,AM$50),0)</f>
        <v>0</v>
      </c>
      <c r="AN53" s="301">
        <f>IFERROR(COUNTIFS(VISITA!$AM:$AM,"SS",VISITA!$AK:$AK,$C$5,VISITA!$P:$P,AN$50),0)</f>
        <v>0</v>
      </c>
      <c r="AO53" s="301">
        <f>IFERROR(COUNTIFS(VISITA!$AM:$AM,"SS",VISITA!$AK:$AK,$C$5,VISITA!$P:$P,AO$50),0)</f>
        <v>0</v>
      </c>
      <c r="AP53" s="301">
        <f>IFERROR(COUNTIFS(VISITA!$AM:$AM,"SS",VISITA!$AK:$AK,$C$5,VISITA!$P:$P,AP$50),0)</f>
        <v>0</v>
      </c>
      <c r="AQ53" s="301">
        <f>IFERROR(COUNTIFS(VISITA!$AM:$AM,"SS",VISITA!$AK:$AK,$C$5,VISITA!$P:$P,AQ$50),0)</f>
        <v>0</v>
      </c>
      <c r="AR53" s="301">
        <f>IFERROR(COUNTIFS(VISITA!$AM:$AM,"SS",VISITA!$AK:$AK,$C$5,VISITA!$P:$P,AR$50),0)</f>
        <v>0</v>
      </c>
      <c r="AS53" s="301">
        <f>IFERROR(COUNTIFS(VISITA!$AM:$AM,"SS",VISITA!$AK:$AK,$C$5,VISITA!$P:$P,AS$50),0)</f>
        <v>0</v>
      </c>
      <c r="AT53" s="301">
        <f>IFERROR(COUNTIFS(VISITA!$AM:$AM,"SS",VISITA!$AK:$AK,$C$5,VISITA!$P:$P,AT$50),0)</f>
        <v>0</v>
      </c>
      <c r="AU53" s="301">
        <f>IFERROR(COUNTIFS(VISITA!$AM:$AM,"SS",VISITA!$AK:$AK,$C$5,VISITA!$P:$P,AU$50),0)</f>
        <v>0</v>
      </c>
      <c r="AV53" s="301">
        <f>IFERROR(COUNTIFS(VISITA!$AM:$AM,"SS",VISITA!$AK:$AK,$C$5,VISITA!$P:$P,AV$50),0)</f>
        <v>0</v>
      </c>
      <c r="AW53" s="302">
        <f>IFERROR(COUNTIFS(VISITA!$AM:$AM,"SS",VISITA!$AK:$AK,$C$5,VISITA!$P:$P,AW$50),0)</f>
        <v>0</v>
      </c>
    </row>
    <row r="54" spans="1:49" x14ac:dyDescent="0.25">
      <c r="I54"/>
      <c r="R54" s="306" t="s">
        <v>241</v>
      </c>
      <c r="S54" s="309">
        <f>IFERROR(COUNTIFS(VISITA!$AM:$AM,"NS",VISITA!$AK:$AK,$C$5,VISITA!$P:$P,S$50),0)</f>
        <v>0</v>
      </c>
      <c r="T54" s="301">
        <f>IFERROR(COUNTIFS(VISITA!$AM:$AM,"NS",VISITA!$AK:$AK,$C$5,VISITA!$P:$P,T$50),0)</f>
        <v>0</v>
      </c>
      <c r="U54" s="301">
        <f>IFERROR(COUNTIFS(VISITA!$AM:$AM,"NS",VISITA!$AK:$AK,$C$5,VISITA!$P:$P,U$50),0)</f>
        <v>0</v>
      </c>
      <c r="V54" s="301">
        <f>IFERROR(COUNTIFS(VISITA!$AM:$AM,"NS",VISITA!$AK:$AK,$C$5,VISITA!$P:$P,V$50),0)</f>
        <v>0</v>
      </c>
      <c r="W54" s="301">
        <f>IFERROR(COUNTIFS(VISITA!$AM:$AM,"NS",VISITA!$AK:$AK,$C$5,VISITA!$P:$P,W$50),0)</f>
        <v>0</v>
      </c>
      <c r="X54" s="301">
        <f>IFERROR(COUNTIFS(VISITA!$AM:$AM,"NS",VISITA!$AK:$AK,$C$5,VISITA!$P:$P,X$50),0)</f>
        <v>0</v>
      </c>
      <c r="Y54" s="301">
        <f>IFERROR(COUNTIFS(VISITA!$AM:$AM,"NS",VISITA!$AK:$AK,$C$5,VISITA!$P:$P,Y$50),0)</f>
        <v>0</v>
      </c>
      <c r="Z54" s="301">
        <f>IFERROR(COUNTIFS(VISITA!$AM:$AM,"NS",VISITA!$AK:$AK,$C$5,VISITA!$P:$P,Z$50),0)</f>
        <v>0</v>
      </c>
      <c r="AA54" s="301">
        <f>IFERROR(COUNTIFS(VISITA!$AM:$AM,"NS",VISITA!$AK:$AK,$C$5,VISITA!$P:$P,AA$50),0)</f>
        <v>0</v>
      </c>
      <c r="AB54" s="301">
        <f>IFERROR(COUNTIFS(VISITA!$AM:$AM,"NS",VISITA!$AK:$AK,$C$5,VISITA!$P:$P,AB$50),0)</f>
        <v>0</v>
      </c>
      <c r="AC54" s="301">
        <f>IFERROR(COUNTIFS(VISITA!$AM:$AM,"NS",VISITA!$AK:$AK,$C$5,VISITA!$P:$P,AC$50),0)</f>
        <v>0</v>
      </c>
      <c r="AD54" s="301">
        <f>IFERROR(COUNTIFS(VISITA!$AM:$AM,"NS",VISITA!$AK:$AK,$C$5,VISITA!$P:$P,AD$50),0)</f>
        <v>0</v>
      </c>
      <c r="AE54" s="301">
        <f>IFERROR(COUNTIFS(VISITA!$AM:$AM,"NS",VISITA!$AK:$AK,$C$5,VISITA!$P:$P,AE$50),0)</f>
        <v>0</v>
      </c>
      <c r="AF54" s="301">
        <f>IFERROR(COUNTIFS(VISITA!$AM:$AM,"NS",VISITA!$AK:$AK,$C$5,VISITA!$P:$P,AF$50),0)</f>
        <v>0</v>
      </c>
      <c r="AG54" s="301">
        <f>IFERROR(COUNTIFS(VISITA!$AM:$AM,"NS",VISITA!$AK:$AK,$C$5,VISITA!$P:$P,AG$50),0)</f>
        <v>0</v>
      </c>
      <c r="AH54" s="301">
        <f>IFERROR(COUNTIFS(VISITA!$AM:$AM,"NS",VISITA!$AK:$AK,$C$5,VISITA!$P:$P,AH$50),0)</f>
        <v>0</v>
      </c>
      <c r="AI54" s="301">
        <f>IFERROR(COUNTIFS(VISITA!$AM:$AM,"NS",VISITA!$AK:$AK,$C$5,VISITA!$P:$P,AI$50),0)</f>
        <v>0</v>
      </c>
      <c r="AJ54" s="301">
        <f>IFERROR(COUNTIFS(VISITA!$AM:$AM,"NS",VISITA!$AK:$AK,$C$5,VISITA!$P:$P,AJ$50),0)</f>
        <v>0</v>
      </c>
      <c r="AK54" s="301">
        <f>IFERROR(COUNTIFS(VISITA!$AM:$AM,"NS",VISITA!$AK:$AK,$C$5,VISITA!$P:$P,AK$50),0)</f>
        <v>0</v>
      </c>
      <c r="AL54" s="301">
        <f>IFERROR(COUNTIFS(VISITA!$AM:$AM,"NS",VISITA!$AK:$AK,$C$5,VISITA!$P:$P,AL$50),0)</f>
        <v>0</v>
      </c>
      <c r="AM54" s="301">
        <f>IFERROR(COUNTIFS(VISITA!$AM:$AM,"NS",VISITA!$AK:$AK,$C$5,VISITA!$P:$P,AM$50),0)</f>
        <v>0</v>
      </c>
      <c r="AN54" s="301">
        <f>IFERROR(COUNTIFS(VISITA!$AM:$AM,"NS",VISITA!$AK:$AK,$C$5,VISITA!$P:$P,AN$50),0)</f>
        <v>0</v>
      </c>
      <c r="AO54" s="301">
        <f>IFERROR(COUNTIFS(VISITA!$AM:$AM,"NS",VISITA!$AK:$AK,$C$5,VISITA!$P:$P,AO$50),0)</f>
        <v>0</v>
      </c>
      <c r="AP54" s="301">
        <f>IFERROR(COUNTIFS(VISITA!$AM:$AM,"NS",VISITA!$AK:$AK,$C$5,VISITA!$P:$P,AP$50),0)</f>
        <v>0</v>
      </c>
      <c r="AQ54" s="301">
        <f>IFERROR(COUNTIFS(VISITA!$AM:$AM,"NS",VISITA!$AK:$AK,$C$5,VISITA!$P:$P,AQ$50),0)</f>
        <v>0</v>
      </c>
      <c r="AR54" s="301">
        <f>IFERROR(COUNTIFS(VISITA!$AM:$AM,"NS",VISITA!$AK:$AK,$C$5,VISITA!$P:$P,AR$50),0)</f>
        <v>0</v>
      </c>
      <c r="AS54" s="301">
        <f>IFERROR(COUNTIFS(VISITA!$AM:$AM,"NS",VISITA!$AK:$AK,$C$5,VISITA!$P:$P,AS$50),0)</f>
        <v>0</v>
      </c>
      <c r="AT54" s="301">
        <f>IFERROR(COUNTIFS(VISITA!$AM:$AM,"NS",VISITA!$AK:$AK,$C$5,VISITA!$P:$P,AT$50),0)</f>
        <v>0</v>
      </c>
      <c r="AU54" s="301">
        <f>IFERROR(COUNTIFS(VISITA!$AM:$AM,"NS",VISITA!$AK:$AK,$C$5,VISITA!$P:$P,AU$50),0)</f>
        <v>0</v>
      </c>
      <c r="AV54" s="301">
        <f>IFERROR(COUNTIFS(VISITA!$AM:$AM,"NS",VISITA!$AK:$AK,$C$5,VISITA!$P:$P,AV$50),0)</f>
        <v>0</v>
      </c>
      <c r="AW54" s="302">
        <f>IFERROR(COUNTIFS(VISITA!$AM:$AM,"NS",VISITA!$AK:$AK,$C$5,VISITA!$P:$P,AW$50),0)</f>
        <v>0</v>
      </c>
    </row>
    <row r="55" spans="1:49" x14ac:dyDescent="0.25">
      <c r="I55"/>
      <c r="R55" s="311" t="s">
        <v>242</v>
      </c>
      <c r="S55" s="310">
        <f>IFERROR(COUNTIFS(VISITA!$AM:$AM,"SS",VISITA!$AK:$AK,$C$5,VISITA!$P:$P,S$50),0)+IFERROR(COUNTIFS(VISITA!$AM:$AM,"NS",VISITA!$AK:$AK,$C$5,VISITA!$P:$P,S$50),0)</f>
        <v>0</v>
      </c>
      <c r="T55" s="303">
        <f>IFERROR(COUNTIFS(VISITA!$AM:$AM,"SS",VISITA!$AK:$AK,$C$5,VISITA!$P:$P,T$50),0)+IFERROR(COUNTIFS(VISITA!$AM:$AM,"NS",VISITA!$AK:$AK,$C$5,VISITA!$P:$P,T$50),0)</f>
        <v>0</v>
      </c>
      <c r="U55" s="303">
        <f>IFERROR(COUNTIFS(VISITA!$AM:$AM,"SS",VISITA!$AK:$AK,$C$5,VISITA!$P:$P,U$50),0)+IFERROR(COUNTIFS(VISITA!$AM:$AM,"NS",VISITA!$AK:$AK,$C$5,VISITA!$P:$P,U$50),0)</f>
        <v>0</v>
      </c>
      <c r="V55" s="303">
        <f>IFERROR(COUNTIFS(VISITA!$AM:$AM,"SS",VISITA!$AK:$AK,$C$5,VISITA!$P:$P,V$50),0)+IFERROR(COUNTIFS(VISITA!$AM:$AM,"NS",VISITA!$AK:$AK,$C$5,VISITA!$P:$P,V$50),0)</f>
        <v>0</v>
      </c>
      <c r="W55" s="303">
        <f>IFERROR(COUNTIFS(VISITA!$AM:$AM,"SS",VISITA!$AK:$AK,$C$5,VISITA!$P:$P,W$50),0)+IFERROR(COUNTIFS(VISITA!$AM:$AM,"NS",VISITA!$AK:$AK,$C$5,VISITA!$P:$P,W$50),0)</f>
        <v>0</v>
      </c>
      <c r="X55" s="303">
        <f>IFERROR(COUNTIFS(VISITA!$AM:$AM,"SS",VISITA!$AK:$AK,$C$5,VISITA!$P:$P,X$50),0)+IFERROR(COUNTIFS(VISITA!$AM:$AM,"NS",VISITA!$AK:$AK,$C$5,VISITA!$P:$P,X$50),0)</f>
        <v>0</v>
      </c>
      <c r="Y55" s="303">
        <f>IFERROR(COUNTIFS(VISITA!$AM:$AM,"SS",VISITA!$AK:$AK,$C$5,VISITA!$P:$P,Y$50),0)+IFERROR(COUNTIFS(VISITA!$AM:$AM,"NS",VISITA!$AK:$AK,$C$5,VISITA!$P:$P,Y$50),0)</f>
        <v>0</v>
      </c>
      <c r="Z55" s="303">
        <f>IFERROR(COUNTIFS(VISITA!$AM:$AM,"SS",VISITA!$AK:$AK,$C$5,VISITA!$P:$P,Z$50),0)+IFERROR(COUNTIFS(VISITA!$AM:$AM,"NS",VISITA!$AK:$AK,$C$5,VISITA!$P:$P,Z$50),0)</f>
        <v>0</v>
      </c>
      <c r="AA55" s="303">
        <f>IFERROR(COUNTIFS(VISITA!$AM:$AM,"SS",VISITA!$AK:$AK,$C$5,VISITA!$P:$P,AA$50),0)+IFERROR(COUNTIFS(VISITA!$AM:$AM,"NS",VISITA!$AK:$AK,$C$5,VISITA!$P:$P,AA$50),0)</f>
        <v>0</v>
      </c>
      <c r="AB55" s="303">
        <f>IFERROR(COUNTIFS(VISITA!$AM:$AM,"SS",VISITA!$AK:$AK,$C$5,VISITA!$P:$P,AB$50),0)+IFERROR(COUNTIFS(VISITA!$AM:$AM,"NS",VISITA!$AK:$AK,$C$5,VISITA!$P:$P,AB$50),0)</f>
        <v>0</v>
      </c>
      <c r="AC55" s="303">
        <f>IFERROR(COUNTIFS(VISITA!$AM:$AM,"SS",VISITA!$AK:$AK,$C$5,VISITA!$P:$P,AC$50),0)+IFERROR(COUNTIFS(VISITA!$AM:$AM,"NS",VISITA!$AK:$AK,$C$5,VISITA!$P:$P,AC$50),0)</f>
        <v>0</v>
      </c>
      <c r="AD55" s="303">
        <f>IFERROR(COUNTIFS(VISITA!$AM:$AM,"SS",VISITA!$AK:$AK,$C$5,VISITA!$P:$P,AD$50),0)+IFERROR(COUNTIFS(VISITA!$AM:$AM,"NS",VISITA!$AK:$AK,$C$5,VISITA!$P:$P,AD$50),0)</f>
        <v>0</v>
      </c>
      <c r="AE55" s="303">
        <f>IFERROR(COUNTIFS(VISITA!$AM:$AM,"SS",VISITA!$AK:$AK,$C$5,VISITA!$P:$P,AE$50),0)+IFERROR(COUNTIFS(VISITA!$AM:$AM,"NS",VISITA!$AK:$AK,$C$5,VISITA!$P:$P,AE$50),0)</f>
        <v>0</v>
      </c>
      <c r="AF55" s="303">
        <f>IFERROR(COUNTIFS(VISITA!$AM:$AM,"SS",VISITA!$AK:$AK,$C$5,VISITA!$P:$P,AF$50),0)+IFERROR(COUNTIFS(VISITA!$AM:$AM,"NS",VISITA!$AK:$AK,$C$5,VISITA!$P:$P,AF$50),0)</f>
        <v>0</v>
      </c>
      <c r="AG55" s="303">
        <f>IFERROR(COUNTIFS(VISITA!$AM:$AM,"SS",VISITA!$AK:$AK,$C$5,VISITA!$P:$P,AG$50),0)+IFERROR(COUNTIFS(VISITA!$AM:$AM,"NS",VISITA!$AK:$AK,$C$5,VISITA!$P:$P,AG$50),0)</f>
        <v>0</v>
      </c>
      <c r="AH55" s="303">
        <f>IFERROR(COUNTIFS(VISITA!$AM:$AM,"SS",VISITA!$AK:$AK,$C$5,VISITA!$P:$P,AH$50),0)+IFERROR(COUNTIFS(VISITA!$AM:$AM,"NS",VISITA!$AK:$AK,$C$5,VISITA!$P:$P,AH$50),0)</f>
        <v>0</v>
      </c>
      <c r="AI55" s="303">
        <f>IFERROR(COUNTIFS(VISITA!$AM:$AM,"SS",VISITA!$AK:$AK,$C$5,VISITA!$P:$P,AI$50),0)+IFERROR(COUNTIFS(VISITA!$AM:$AM,"NS",VISITA!$AK:$AK,$C$5,VISITA!$P:$P,AI$50),0)</f>
        <v>0</v>
      </c>
      <c r="AJ55" s="303">
        <f>IFERROR(COUNTIFS(VISITA!$AM:$AM,"SS",VISITA!$AK:$AK,$C$5,VISITA!$P:$P,AJ$50),0)+IFERROR(COUNTIFS(VISITA!$AM:$AM,"NS",VISITA!$AK:$AK,$C$5,VISITA!$P:$P,AJ$50),0)</f>
        <v>0</v>
      </c>
      <c r="AK55" s="303">
        <f>IFERROR(COUNTIFS(VISITA!$AM:$AM,"SS",VISITA!$AK:$AK,$C$5,VISITA!$P:$P,AK$50),0)+IFERROR(COUNTIFS(VISITA!$AM:$AM,"NS",VISITA!$AK:$AK,$C$5,VISITA!$P:$P,AK$50),0)</f>
        <v>0</v>
      </c>
      <c r="AL55" s="303">
        <f>IFERROR(COUNTIFS(VISITA!$AM:$AM,"SS",VISITA!$AK:$AK,$C$5,VISITA!$P:$P,AL$50),0)+IFERROR(COUNTIFS(VISITA!$AM:$AM,"NS",VISITA!$AK:$AK,$C$5,VISITA!$P:$P,AL$50),0)</f>
        <v>0</v>
      </c>
      <c r="AM55" s="303">
        <f>IFERROR(COUNTIFS(VISITA!$AM:$AM,"SS",VISITA!$AK:$AK,$C$5,VISITA!$P:$P,AM$50),0)+IFERROR(COUNTIFS(VISITA!$AM:$AM,"NS",VISITA!$AK:$AK,$C$5,VISITA!$P:$P,AM$50),0)</f>
        <v>0</v>
      </c>
      <c r="AN55" s="303">
        <f>IFERROR(COUNTIFS(VISITA!$AM:$AM,"SS",VISITA!$AK:$AK,$C$5,VISITA!$P:$P,AN$50),0)+IFERROR(COUNTIFS(VISITA!$AM:$AM,"NS",VISITA!$AK:$AK,$C$5,VISITA!$P:$P,AN$50),0)</f>
        <v>0</v>
      </c>
      <c r="AO55" s="303">
        <f>IFERROR(COUNTIFS(VISITA!$AM:$AM,"SS",VISITA!$AK:$AK,$C$5,VISITA!$P:$P,AO$50),0)+IFERROR(COUNTIFS(VISITA!$AM:$AM,"NS",VISITA!$AK:$AK,$C$5,VISITA!$P:$P,AO$50),0)</f>
        <v>0</v>
      </c>
      <c r="AP55" s="303">
        <f>IFERROR(COUNTIFS(VISITA!$AM:$AM,"SS",VISITA!$AK:$AK,$C$5,VISITA!$P:$P,AP$50),0)+IFERROR(COUNTIFS(VISITA!$AM:$AM,"NS",VISITA!$AK:$AK,$C$5,VISITA!$P:$P,AP$50),0)</f>
        <v>0</v>
      </c>
      <c r="AQ55" s="303">
        <f>IFERROR(COUNTIFS(VISITA!$AM:$AM,"SS",VISITA!$AK:$AK,$C$5,VISITA!$P:$P,AQ$50),0)+IFERROR(COUNTIFS(VISITA!$AM:$AM,"NS",VISITA!$AK:$AK,$C$5,VISITA!$P:$P,AQ$50),0)</f>
        <v>0</v>
      </c>
      <c r="AR55" s="303">
        <f>IFERROR(COUNTIFS(VISITA!$AM:$AM,"SS",VISITA!$AK:$AK,$C$5,VISITA!$P:$P,AR$50),0)+IFERROR(COUNTIFS(VISITA!$AM:$AM,"NS",VISITA!$AK:$AK,$C$5,VISITA!$P:$P,AR$50),0)</f>
        <v>0</v>
      </c>
      <c r="AS55" s="303">
        <f>IFERROR(COUNTIFS(VISITA!$AM:$AM,"SS",VISITA!$AK:$AK,$C$5,VISITA!$P:$P,AS$50),0)+IFERROR(COUNTIFS(VISITA!$AM:$AM,"NS",VISITA!$AK:$AK,$C$5,VISITA!$P:$P,AS$50),0)</f>
        <v>0</v>
      </c>
      <c r="AT55" s="303">
        <f>IFERROR(COUNTIFS(VISITA!$AM:$AM,"SS",VISITA!$AK:$AK,$C$5,VISITA!$P:$P,AT$50),0)+IFERROR(COUNTIFS(VISITA!$AM:$AM,"NS",VISITA!$AK:$AK,$C$5,VISITA!$P:$P,AT$50),0)</f>
        <v>0</v>
      </c>
      <c r="AU55" s="303">
        <f>IFERROR(COUNTIFS(VISITA!$AM:$AM,"SS",VISITA!$AK:$AK,$C$5,VISITA!$P:$P,AU$50),0)+IFERROR(COUNTIFS(VISITA!$AM:$AM,"NS",VISITA!$AK:$AK,$C$5,VISITA!$P:$P,AU$50),0)</f>
        <v>0</v>
      </c>
      <c r="AV55" s="303">
        <f>IFERROR(COUNTIFS(VISITA!$AM:$AM,"SS",VISITA!$AK:$AK,$C$5,VISITA!$P:$P,AV$50),0)+IFERROR(COUNTIFS(VISITA!$AM:$AM,"NS",VISITA!$AK:$AK,$C$5,VISITA!$P:$P,AV$50),0)</f>
        <v>0</v>
      </c>
      <c r="AW55" s="304">
        <f>IFERROR(COUNTIFS(VISITA!$AM:$AM,"SS",VISITA!$AK:$AK,$C$5,VISITA!$P:$P,AW$50),0)+IFERROR(COUNTIFS(VISITA!$AM:$AM,"NS",VISITA!$AK:$AK,$C$5,VISITA!$P:$P,AW$50),0)</f>
        <v>0</v>
      </c>
    </row>
    <row r="56" spans="1:49" x14ac:dyDescent="0.25">
      <c r="I56"/>
      <c r="R56" s="2" t="s">
        <v>137</v>
      </c>
      <c r="S56" s="312">
        <f>IFERROR(SUM(S53:S54)/S52,0)</f>
        <v>0</v>
      </c>
      <c r="T56" s="312">
        <f t="shared" ref="T56:AW56" si="36">IFERROR(SUM(T53:T54)/T52,0)</f>
        <v>0</v>
      </c>
      <c r="U56" s="312">
        <f t="shared" si="36"/>
        <v>0</v>
      </c>
      <c r="V56" s="312">
        <f t="shared" si="36"/>
        <v>0</v>
      </c>
      <c r="W56" s="312">
        <f t="shared" si="36"/>
        <v>0</v>
      </c>
      <c r="X56" s="312">
        <f t="shared" si="36"/>
        <v>0</v>
      </c>
      <c r="Y56" s="312">
        <f t="shared" si="36"/>
        <v>0</v>
      </c>
      <c r="Z56" s="312">
        <f t="shared" si="36"/>
        <v>0</v>
      </c>
      <c r="AA56" s="312">
        <f t="shared" si="36"/>
        <v>0</v>
      </c>
      <c r="AB56" s="312">
        <f t="shared" si="36"/>
        <v>0</v>
      </c>
      <c r="AC56" s="312">
        <f t="shared" si="36"/>
        <v>0</v>
      </c>
      <c r="AD56" s="312">
        <f t="shared" si="36"/>
        <v>0</v>
      </c>
      <c r="AE56" s="312">
        <f t="shared" si="36"/>
        <v>0</v>
      </c>
      <c r="AF56" s="312">
        <f t="shared" si="36"/>
        <v>0</v>
      </c>
      <c r="AG56" s="312">
        <f t="shared" si="36"/>
        <v>0</v>
      </c>
      <c r="AH56" s="312">
        <f t="shared" si="36"/>
        <v>0</v>
      </c>
      <c r="AI56" s="312">
        <f t="shared" si="36"/>
        <v>0</v>
      </c>
      <c r="AJ56" s="312">
        <f t="shared" si="36"/>
        <v>0</v>
      </c>
      <c r="AK56" s="312">
        <f t="shared" si="36"/>
        <v>0</v>
      </c>
      <c r="AL56" s="312">
        <f t="shared" si="36"/>
        <v>0</v>
      </c>
      <c r="AM56" s="312">
        <f t="shared" si="36"/>
        <v>0</v>
      </c>
      <c r="AN56" s="312">
        <f t="shared" si="36"/>
        <v>0</v>
      </c>
      <c r="AO56" s="312">
        <f t="shared" si="36"/>
        <v>0</v>
      </c>
      <c r="AP56" s="312">
        <f t="shared" si="36"/>
        <v>0</v>
      </c>
      <c r="AQ56" s="312">
        <f t="shared" si="36"/>
        <v>0</v>
      </c>
      <c r="AR56" s="312">
        <f t="shared" si="36"/>
        <v>0</v>
      </c>
      <c r="AS56" s="312">
        <f t="shared" si="36"/>
        <v>0</v>
      </c>
      <c r="AT56" s="312">
        <f t="shared" si="36"/>
        <v>0</v>
      </c>
      <c r="AU56" s="312">
        <f t="shared" si="36"/>
        <v>0</v>
      </c>
      <c r="AV56" s="312">
        <f t="shared" si="36"/>
        <v>0</v>
      </c>
      <c r="AW56" s="312">
        <f t="shared" si="36"/>
        <v>0</v>
      </c>
    </row>
    <row r="57" spans="1:49" x14ac:dyDescent="0.25">
      <c r="I57"/>
    </row>
    <row r="58" spans="1:49" x14ac:dyDescent="0.25">
      <c r="I58"/>
    </row>
    <row r="59" spans="1:49" x14ac:dyDescent="0.25">
      <c r="H59" s="7"/>
      <c r="I59"/>
    </row>
    <row r="60" spans="1:49" x14ac:dyDescent="0.25">
      <c r="H60" s="7"/>
      <c r="I60"/>
    </row>
    <row r="61" spans="1:49" x14ac:dyDescent="0.25">
      <c r="H61" s="7"/>
      <c r="I61"/>
    </row>
    <row r="62" spans="1:49" x14ac:dyDescent="0.25">
      <c r="A62" s="6" t="s">
        <v>238</v>
      </c>
      <c r="H62" s="7"/>
      <c r="I62"/>
    </row>
    <row r="63" spans="1:49" x14ac:dyDescent="0.25">
      <c r="A63" s="6"/>
      <c r="H63" s="7"/>
      <c r="I63"/>
    </row>
    <row r="64" spans="1:49" x14ac:dyDescent="0.25">
      <c r="A64" s="6"/>
      <c r="D64" s="365" t="s">
        <v>5</v>
      </c>
      <c r="E64" s="421"/>
      <c r="F64" s="421"/>
      <c r="G64" s="421"/>
      <c r="H64" s="421"/>
      <c r="I64" s="421"/>
      <c r="J64" s="421"/>
      <c r="K64" s="421"/>
      <c r="L64" s="295"/>
      <c r="M64" s="365" t="s">
        <v>94</v>
      </c>
      <c r="N64" s="421"/>
      <c r="O64" s="421"/>
      <c r="P64" s="421"/>
      <c r="Q64" s="421"/>
      <c r="R64" s="421"/>
      <c r="S64" s="421"/>
      <c r="T64" s="366"/>
    </row>
    <row r="65" spans="1:21" ht="14.45" customHeight="1" x14ac:dyDescent="0.25">
      <c r="A65" s="6"/>
      <c r="C65" s="383" t="s">
        <v>135</v>
      </c>
      <c r="D65" s="371" t="s">
        <v>92</v>
      </c>
      <c r="E65" s="422" t="s">
        <v>99</v>
      </c>
      <c r="F65" s="423"/>
      <c r="G65" s="424"/>
      <c r="H65" s="413" t="s">
        <v>100</v>
      </c>
      <c r="I65" s="427" t="s">
        <v>96</v>
      </c>
      <c r="J65" s="427" t="s">
        <v>95</v>
      </c>
      <c r="K65" s="372" t="s">
        <v>136</v>
      </c>
      <c r="L65" s="372" t="s">
        <v>95</v>
      </c>
      <c r="M65" s="370" t="s">
        <v>92</v>
      </c>
      <c r="N65" s="365" t="s">
        <v>99</v>
      </c>
      <c r="O65" s="421"/>
      <c r="P65" s="366"/>
      <c r="Q65" s="384" t="s">
        <v>100</v>
      </c>
      <c r="R65" s="370" t="s">
        <v>96</v>
      </c>
      <c r="S65" s="370" t="s">
        <v>95</v>
      </c>
      <c r="T65" s="372" t="s">
        <v>136</v>
      </c>
      <c r="U65" s="372" t="s">
        <v>95</v>
      </c>
    </row>
    <row r="66" spans="1:21" x14ac:dyDescent="0.25">
      <c r="C66" s="384"/>
      <c r="D66" s="419"/>
      <c r="E66" s="279" t="s">
        <v>97</v>
      </c>
      <c r="F66" s="279" t="s">
        <v>98</v>
      </c>
      <c r="G66" s="279" t="s">
        <v>215</v>
      </c>
      <c r="H66" s="383"/>
      <c r="I66" s="371"/>
      <c r="J66" s="371"/>
      <c r="K66" s="373"/>
      <c r="L66" s="373"/>
      <c r="M66" s="371"/>
      <c r="N66" s="290" t="s">
        <v>97</v>
      </c>
      <c r="O66" s="290" t="s">
        <v>98</v>
      </c>
      <c r="P66" s="290" t="s">
        <v>215</v>
      </c>
      <c r="Q66" s="413"/>
      <c r="R66" s="371"/>
      <c r="S66" s="371"/>
      <c r="T66" s="373"/>
      <c r="U66" s="373"/>
    </row>
    <row r="67" spans="1:21" x14ac:dyDescent="0.25">
      <c r="B67" s="13" t="s">
        <v>15</v>
      </c>
      <c r="C67" s="66">
        <f>IFERROR(COUNTIFS(CLIENTE!$AM:$AM,PORVENDEDOR!B67,CLIENTE!$BD:$BD,PORVENDEDOR!$C$5),0)</f>
        <v>0</v>
      </c>
      <c r="D67" s="31">
        <f>IFERROR(SUMIFS(FACTURA!$S:$S,FACTURA!$V:$V,PORVENDEDOR!B67,FACTURA!$AA:$AA,PORVENDEDOR!$C$5),0)</f>
        <v>0</v>
      </c>
      <c r="E67" s="31">
        <f>IFERROR(SUMIFS(FACTURA!$T:$T,FACTURA!$AF:$AF,PORVENDEDOR!E$66,FACTURA!$V:$V,PORVENDEDOR!$B67,FACTURA!$AA:$AA,PORVENDEDOR!$C$5),0)</f>
        <v>0</v>
      </c>
      <c r="F67" s="31">
        <f>IFERROR(SUMIFS(FACTURA!$T:$T,FACTURA!$AF:$AF,PORVENDEDOR!F$66,FACTURA!$V:$V,PORVENDEDOR!$B67,FACTURA!$AA:$AA,PORVENDEDOR!$C$5),0)</f>
        <v>0</v>
      </c>
      <c r="G67">
        <f>IFERROR(SUMIFS(FACTURA!$T:$T,FACTURA!$AF:$AF,PORVENDEDOR!G$66,FACTURA!$V:$V,PORVENDEDOR!$B67,FACTURA!$AA:$AA,PORVENDEDOR!$C$5),0)</f>
        <v>0</v>
      </c>
      <c r="H67" s="31">
        <f>SUM(E67:G67)</f>
        <v>0</v>
      </c>
      <c r="I67" s="123" t="str">
        <f t="shared" ref="I67:I74" si="37">IFERROR(H67/D67,"")</f>
        <v/>
      </c>
      <c r="J67" s="49" t="str">
        <f>IFERROR(H67/$H$75,"")</f>
        <v/>
      </c>
      <c r="K67" s="73">
        <f>IFERROR(COUNTIFS(FACTURA!$V:$V,PORVENDEDOR!$B67,FACTURA!$AA:$AA,$C$5,FACTURA!$AK:$AK,1),0)</f>
        <v>0</v>
      </c>
      <c r="L67" s="296" t="str">
        <f>IFERROR(K67/C67,"")</f>
        <v/>
      </c>
      <c r="M67" s="36">
        <f>IFERROR(SUMIFS(PEDIDO!$S:$S,PEDIDO!$V:$V,PORVENDEDOR!B67,PEDIDO!$AA:$AA,PORVENDEDOR!$C$5),0)</f>
        <v>0</v>
      </c>
      <c r="N67" s="31">
        <f>IFERROR(SUMIFS(PEDIDO!$T:$T,PEDIDO!$AF:$AF,PORVENDEDOR!N$66,PEDIDO!$V:$V,PORVENDEDOR!$B67,PEDIDO!$AA:$AA,PORVENDEDOR!$C$5),0)</f>
        <v>0</v>
      </c>
      <c r="O67" s="31">
        <f>IFERROR(SUMIFS(PEDIDO!$T:$T,PEDIDO!$AF:$AF,PORVENDEDOR!O$66,PEDIDO!$V:$V,PORVENDEDOR!$B67,PEDIDO!$AA:$AA,PORVENDEDOR!$C$5),0)</f>
        <v>0</v>
      </c>
      <c r="P67">
        <f>IFERROR(SUMIFS(PEDIDO!$T:$T,PEDIDO!$AF:$AF,PORVENDEDOR!P$66,PEDIDO!$V:$V,PORVENDEDOR!$B67,PEDIDO!$AA:$AA,PORVENDEDOR!$C$5),0)</f>
        <v>0</v>
      </c>
      <c r="Q67" s="31">
        <f>SUM(N67:P67)</f>
        <v>0</v>
      </c>
      <c r="R67" s="33" t="str">
        <f t="shared" ref="R67:R74" si="38">IFERROR(Q67/M67,"")</f>
        <v/>
      </c>
      <c r="S67" s="5" t="str">
        <f>IFERROR(Q67/$H$75,"")</f>
        <v/>
      </c>
      <c r="T67" s="73">
        <f>IFERROR(COUNTIFS(PEDIDO!$V:$V,PORVENDEDOR!$B67,PEDIDO!$AA:$AA,$C$5,PEDIDO!$AK:$AK,1),0)</f>
        <v>0</v>
      </c>
      <c r="U67" s="296" t="str">
        <f>IFERROR(T67/C67,"")</f>
        <v/>
      </c>
    </row>
    <row r="68" spans="1:21" x14ac:dyDescent="0.25">
      <c r="B68" s="46" t="s">
        <v>69</v>
      </c>
      <c r="C68" s="67">
        <f>IFERROR(COUNTIFS(CLIENTE!$AM:$AM,PORVENDEDOR!B68,CLIENTE!$BD:$BD,PORVENDEDOR!$C$5),0)</f>
        <v>0</v>
      </c>
      <c r="D68" s="31">
        <f>IFERROR(SUMIFS(FACTURA!$S:$S,FACTURA!$V:$V,PORVENDEDOR!B68,FACTURA!$AA:$AA,PORVENDEDOR!$C$5),0)</f>
        <v>0</v>
      </c>
      <c r="E68" s="31">
        <f>IFERROR(SUMIFS(FACTURA!$T:$T,FACTURA!$AF:$AF,PORVENDEDOR!E$66,FACTURA!$V:$V,PORVENDEDOR!$B68,FACTURA!$AA:$AA,PORVENDEDOR!$C$5),0)</f>
        <v>0</v>
      </c>
      <c r="F68" s="31">
        <f>IFERROR(SUMIFS(FACTURA!$T:$T,FACTURA!$AF:$AF,PORVENDEDOR!F$66,FACTURA!$V:$V,PORVENDEDOR!$B68,FACTURA!$AA:$AA,PORVENDEDOR!$C$5),0)</f>
        <v>0</v>
      </c>
      <c r="G68">
        <f>IFERROR(SUMIFS(FACTURA!$T:$T,FACTURA!$AF:$AF,PORVENDEDOR!G$66,FACTURA!$V:$V,PORVENDEDOR!$B68,FACTURA!$AA:$AA,PORVENDEDOR!$C$5),0)</f>
        <v>0</v>
      </c>
      <c r="H68" s="31">
        <f t="shared" ref="H68:H74" si="39">SUM(E68:G68)</f>
        <v>0</v>
      </c>
      <c r="I68" s="123" t="str">
        <f t="shared" si="37"/>
        <v/>
      </c>
      <c r="J68" s="49" t="str">
        <f t="shared" ref="J68:J74" si="40">IFERROR(H68/$H$75,"")</f>
        <v/>
      </c>
      <c r="K68" s="73">
        <f>IFERROR(COUNTIFS(FACTURA!$V:$V,PORVENDEDOR!$B68,FACTURA!$AA:$AA,$C$5,FACTURA!$AK:$AK,1),0)</f>
        <v>0</v>
      </c>
      <c r="L68" s="296" t="str">
        <f t="shared" ref="L68:L74" si="41">IFERROR(K68/C68,"")</f>
        <v/>
      </c>
      <c r="M68" s="36">
        <f>IFERROR(SUMIFS(PEDIDO!$S:$S,PEDIDO!$V:$V,PORVENDEDOR!B68,PEDIDO!$AA:$AA,PORVENDEDOR!$C$5),0)</f>
        <v>0</v>
      </c>
      <c r="N68" s="31">
        <f>IFERROR(SUMIFS(PEDIDO!$T:$T,PEDIDO!$AF:$AF,PORVENDEDOR!N$66,PEDIDO!$V:$V,PORVENDEDOR!$B68,PEDIDO!$AA:$AA,PORVENDEDOR!$C$5),0)</f>
        <v>0</v>
      </c>
      <c r="O68" s="31">
        <f>IFERROR(SUMIFS(PEDIDO!$T:$T,PEDIDO!$AF:$AF,PORVENDEDOR!O$66,PEDIDO!$V:$V,PORVENDEDOR!$B68,PEDIDO!$AA:$AA,PORVENDEDOR!$C$5),0)</f>
        <v>0</v>
      </c>
      <c r="P68">
        <f>IFERROR(SUMIFS(PEDIDO!$T:$T,PEDIDO!$AF:$AF,PORVENDEDOR!P$66,PEDIDO!$V:$V,PORVENDEDOR!$B68,PEDIDO!$AA:$AA,PORVENDEDOR!$C$5),0)</f>
        <v>0</v>
      </c>
      <c r="Q68" s="31">
        <f t="shared" ref="Q68:Q74" si="42">SUM(N68:P68)</f>
        <v>0</v>
      </c>
      <c r="R68" s="33" t="str">
        <f t="shared" si="38"/>
        <v/>
      </c>
      <c r="S68" s="5" t="str">
        <f t="shared" ref="S68:S74" si="43">IFERROR(Q68/$H$75,"")</f>
        <v/>
      </c>
      <c r="T68" s="73">
        <f>IFERROR(COUNTIFS(PEDIDO!$V:$V,PORVENDEDOR!$B68,PEDIDO!$AA:$AA,$C$5,PEDIDO!$AK:$AK,1),0)</f>
        <v>0</v>
      </c>
      <c r="U68" s="296" t="str">
        <f t="shared" ref="U68:U74" si="44">IFERROR(T68/C68,"")</f>
        <v/>
      </c>
    </row>
    <row r="69" spans="1:21" x14ac:dyDescent="0.25">
      <c r="B69" s="46" t="s">
        <v>72</v>
      </c>
      <c r="C69" s="67">
        <f>IFERROR(COUNTIFS(CLIENTE!$AM:$AM,PORVENDEDOR!B69,CLIENTE!$BD:$BD,PORVENDEDOR!$C$5),0)</f>
        <v>0</v>
      </c>
      <c r="D69" s="31">
        <f>IFERROR(SUMIFS(FACTURA!$S:$S,FACTURA!$V:$V,PORVENDEDOR!B69,FACTURA!$AA:$AA,PORVENDEDOR!$C$5),0)</f>
        <v>0</v>
      </c>
      <c r="E69" s="31">
        <f>IFERROR(SUMIFS(FACTURA!$T:$T,FACTURA!$AF:$AF,PORVENDEDOR!E$66,FACTURA!$V:$V,PORVENDEDOR!$B69,FACTURA!$AA:$AA,PORVENDEDOR!$C$5),0)</f>
        <v>0</v>
      </c>
      <c r="F69" s="31">
        <f>IFERROR(SUMIFS(FACTURA!$T:$T,FACTURA!$AF:$AF,PORVENDEDOR!F$66,FACTURA!$V:$V,PORVENDEDOR!$B69,FACTURA!$AA:$AA,PORVENDEDOR!$C$5),0)</f>
        <v>0</v>
      </c>
      <c r="G69">
        <f>IFERROR(SUMIFS(FACTURA!$T:$T,FACTURA!$AF:$AF,PORVENDEDOR!G$66,FACTURA!$V:$V,PORVENDEDOR!$B69,FACTURA!$AA:$AA,PORVENDEDOR!$C$5),0)</f>
        <v>0</v>
      </c>
      <c r="H69" s="31">
        <f t="shared" si="39"/>
        <v>0</v>
      </c>
      <c r="I69" s="123" t="str">
        <f t="shared" si="37"/>
        <v/>
      </c>
      <c r="J69" s="49" t="str">
        <f t="shared" si="40"/>
        <v/>
      </c>
      <c r="K69" s="73">
        <f>IFERROR(COUNTIFS(FACTURA!$V:$V,PORVENDEDOR!$B69,FACTURA!$AA:$AA,$C$5,FACTURA!$AK:$AK,1),0)</f>
        <v>0</v>
      </c>
      <c r="L69" s="296" t="str">
        <f t="shared" si="41"/>
        <v/>
      </c>
      <c r="M69" s="36">
        <f>IFERROR(SUMIFS(PEDIDO!$S:$S,PEDIDO!$V:$V,PORVENDEDOR!B69,PEDIDO!$AA:$AA,PORVENDEDOR!$C$5),0)</f>
        <v>0</v>
      </c>
      <c r="N69" s="31">
        <f>IFERROR(SUMIFS(PEDIDO!$T:$T,PEDIDO!$AF:$AF,PORVENDEDOR!N$66,PEDIDO!$V:$V,PORVENDEDOR!$B69,PEDIDO!$AA:$AA,PORVENDEDOR!$C$5),0)</f>
        <v>0</v>
      </c>
      <c r="O69" s="31">
        <f>IFERROR(SUMIFS(PEDIDO!$T:$T,PEDIDO!$AF:$AF,PORVENDEDOR!O$66,PEDIDO!$V:$V,PORVENDEDOR!$B69,PEDIDO!$AA:$AA,PORVENDEDOR!$C$5),0)</f>
        <v>0</v>
      </c>
      <c r="P69">
        <f>IFERROR(SUMIFS(PEDIDO!$T:$T,PEDIDO!$AF:$AF,PORVENDEDOR!P$66,PEDIDO!$V:$V,PORVENDEDOR!$B69,PEDIDO!$AA:$AA,PORVENDEDOR!$C$5),0)</f>
        <v>0</v>
      </c>
      <c r="Q69" s="31">
        <f t="shared" si="42"/>
        <v>0</v>
      </c>
      <c r="R69" s="33" t="str">
        <f t="shared" si="38"/>
        <v/>
      </c>
      <c r="S69" s="5" t="str">
        <f t="shared" si="43"/>
        <v/>
      </c>
      <c r="T69" s="73">
        <f>IFERROR(COUNTIFS(PEDIDO!$V:$V,PORVENDEDOR!$B69,PEDIDO!$AA:$AA,$C$5,PEDIDO!$AK:$AK,1),0)</f>
        <v>0</v>
      </c>
      <c r="U69" s="296" t="str">
        <f t="shared" si="44"/>
        <v/>
      </c>
    </row>
    <row r="70" spans="1:21" x14ac:dyDescent="0.25">
      <c r="B70" s="46" t="s">
        <v>76</v>
      </c>
      <c r="C70" s="67">
        <f>IFERROR(COUNTIFS(CLIENTE!$AM:$AM,PORVENDEDOR!B70,CLIENTE!$BD:$BD,PORVENDEDOR!$C$5),0)</f>
        <v>0</v>
      </c>
      <c r="D70" s="31">
        <f>IFERROR(SUMIFS(FACTURA!$S:$S,FACTURA!$V:$V,PORVENDEDOR!B70,FACTURA!$AA:$AA,PORVENDEDOR!$C$5),0)</f>
        <v>0</v>
      </c>
      <c r="E70" s="31">
        <f>IFERROR(SUMIFS(FACTURA!$T:$T,FACTURA!$AF:$AF,PORVENDEDOR!E$66,FACTURA!$V:$V,PORVENDEDOR!$B70,FACTURA!$AA:$AA,PORVENDEDOR!$C$5),0)</f>
        <v>0</v>
      </c>
      <c r="F70" s="31">
        <f>IFERROR(SUMIFS(FACTURA!$T:$T,FACTURA!$AF:$AF,PORVENDEDOR!F$66,FACTURA!$V:$V,PORVENDEDOR!$B70,FACTURA!$AA:$AA,PORVENDEDOR!$C$5),0)</f>
        <v>0</v>
      </c>
      <c r="G70">
        <f>IFERROR(SUMIFS(FACTURA!$T:$T,FACTURA!$AF:$AF,PORVENDEDOR!G$66,FACTURA!$V:$V,PORVENDEDOR!$B70,FACTURA!$AA:$AA,PORVENDEDOR!$C$5),0)</f>
        <v>0</v>
      </c>
      <c r="H70" s="31">
        <f t="shared" si="39"/>
        <v>0</v>
      </c>
      <c r="I70" s="123" t="str">
        <f t="shared" si="37"/>
        <v/>
      </c>
      <c r="J70" s="49" t="str">
        <f t="shared" si="40"/>
        <v/>
      </c>
      <c r="K70" s="73">
        <f>IFERROR(COUNTIFS(FACTURA!$V:$V,PORVENDEDOR!$B70,FACTURA!$AA:$AA,$C$5,FACTURA!$AK:$AK,1),0)</f>
        <v>0</v>
      </c>
      <c r="L70" s="296" t="str">
        <f t="shared" si="41"/>
        <v/>
      </c>
      <c r="M70" s="36">
        <f>IFERROR(SUMIFS(PEDIDO!$S:$S,PEDIDO!$V:$V,PORVENDEDOR!B70,PEDIDO!$AA:$AA,PORVENDEDOR!$C$5),0)</f>
        <v>0</v>
      </c>
      <c r="N70" s="31">
        <f>IFERROR(SUMIFS(PEDIDO!$T:$T,PEDIDO!$AF:$AF,PORVENDEDOR!N$66,PEDIDO!$V:$V,PORVENDEDOR!$B70,PEDIDO!$AA:$AA,PORVENDEDOR!$C$5),0)</f>
        <v>0</v>
      </c>
      <c r="O70" s="31">
        <f>IFERROR(SUMIFS(PEDIDO!$T:$T,PEDIDO!$AF:$AF,PORVENDEDOR!O$66,PEDIDO!$V:$V,PORVENDEDOR!$B70,PEDIDO!$AA:$AA,PORVENDEDOR!$C$5),0)</f>
        <v>0</v>
      </c>
      <c r="P70">
        <f>IFERROR(SUMIFS(PEDIDO!$T:$T,PEDIDO!$AF:$AF,PORVENDEDOR!P$66,PEDIDO!$V:$V,PORVENDEDOR!$B70,PEDIDO!$AA:$AA,PORVENDEDOR!$C$5),0)</f>
        <v>0</v>
      </c>
      <c r="Q70" s="31">
        <f t="shared" si="42"/>
        <v>0</v>
      </c>
      <c r="R70" s="33" t="str">
        <f t="shared" si="38"/>
        <v/>
      </c>
      <c r="S70" s="5" t="str">
        <f t="shared" si="43"/>
        <v/>
      </c>
      <c r="T70" s="73">
        <f>IFERROR(COUNTIFS(PEDIDO!$V:$V,PORVENDEDOR!$B70,PEDIDO!$AA:$AA,$C$5,PEDIDO!$AK:$AK,1),0)</f>
        <v>0</v>
      </c>
      <c r="U70" s="296" t="str">
        <f t="shared" si="44"/>
        <v/>
      </c>
    </row>
    <row r="71" spans="1:21" x14ac:dyDescent="0.25">
      <c r="B71" s="46" t="s">
        <v>75</v>
      </c>
      <c r="C71" s="67">
        <f>IFERROR(COUNTIFS(CLIENTE!$AM:$AM,PORVENDEDOR!B71,CLIENTE!$BD:$BD,PORVENDEDOR!$C$5),0)</f>
        <v>0</v>
      </c>
      <c r="D71" s="31">
        <f>IFERROR(SUMIFS(FACTURA!$S:$S,FACTURA!$V:$V,PORVENDEDOR!B71,FACTURA!$AA:$AA,PORVENDEDOR!$C$5),0)</f>
        <v>0</v>
      </c>
      <c r="E71" s="31">
        <f>IFERROR(SUMIFS(FACTURA!$T:$T,FACTURA!$AF:$AF,PORVENDEDOR!E$66,FACTURA!$V:$V,PORVENDEDOR!$B71,FACTURA!$AA:$AA,PORVENDEDOR!$C$5),0)</f>
        <v>0</v>
      </c>
      <c r="F71" s="31">
        <f>IFERROR(SUMIFS(FACTURA!$T:$T,FACTURA!$AF:$AF,PORVENDEDOR!F$66,FACTURA!$V:$V,PORVENDEDOR!$B71,FACTURA!$AA:$AA,PORVENDEDOR!$C$5),0)</f>
        <v>0</v>
      </c>
      <c r="G71">
        <f>IFERROR(SUMIFS(FACTURA!$T:$T,FACTURA!$AF:$AF,PORVENDEDOR!G$66,FACTURA!$V:$V,PORVENDEDOR!$B71,FACTURA!$AA:$AA,PORVENDEDOR!$C$5),0)</f>
        <v>0</v>
      </c>
      <c r="H71" s="31">
        <f t="shared" si="39"/>
        <v>0</v>
      </c>
      <c r="I71" s="123" t="str">
        <f t="shared" si="37"/>
        <v/>
      </c>
      <c r="J71" s="49" t="str">
        <f t="shared" si="40"/>
        <v/>
      </c>
      <c r="K71" s="73">
        <f>IFERROR(COUNTIFS(FACTURA!$V:$V,PORVENDEDOR!$B71,FACTURA!$AA:$AA,$C$5,FACTURA!$AK:$AK,1),0)</f>
        <v>0</v>
      </c>
      <c r="L71" s="296" t="str">
        <f t="shared" si="41"/>
        <v/>
      </c>
      <c r="M71" s="36">
        <f>IFERROR(SUMIFS(PEDIDO!$S:$S,PEDIDO!$V:$V,PORVENDEDOR!B71,PEDIDO!$AA:$AA,PORVENDEDOR!$C$5),0)</f>
        <v>0</v>
      </c>
      <c r="N71" s="31">
        <f>IFERROR(SUMIFS(PEDIDO!$T:$T,PEDIDO!$AF:$AF,PORVENDEDOR!N$66,PEDIDO!$V:$V,PORVENDEDOR!$B71,PEDIDO!$AA:$AA,PORVENDEDOR!$C$5),0)</f>
        <v>0</v>
      </c>
      <c r="O71" s="31">
        <f>IFERROR(SUMIFS(PEDIDO!$T:$T,PEDIDO!$AF:$AF,PORVENDEDOR!O$66,PEDIDO!$V:$V,PORVENDEDOR!$B71,PEDIDO!$AA:$AA,PORVENDEDOR!$C$5),0)</f>
        <v>0</v>
      </c>
      <c r="P71">
        <f>IFERROR(SUMIFS(PEDIDO!$T:$T,PEDIDO!$AF:$AF,PORVENDEDOR!P$66,PEDIDO!$V:$V,PORVENDEDOR!$B71,PEDIDO!$AA:$AA,PORVENDEDOR!$C$5),0)</f>
        <v>0</v>
      </c>
      <c r="Q71" s="31">
        <f t="shared" si="42"/>
        <v>0</v>
      </c>
      <c r="R71" s="33" t="str">
        <f t="shared" si="38"/>
        <v/>
      </c>
      <c r="S71" s="5" t="str">
        <f t="shared" si="43"/>
        <v/>
      </c>
      <c r="T71" s="73">
        <f>IFERROR(COUNTIFS(PEDIDO!$V:$V,PORVENDEDOR!$B71,PEDIDO!$AA:$AA,$C$5,PEDIDO!$AK:$AK,1),0)</f>
        <v>0</v>
      </c>
      <c r="U71" s="296" t="str">
        <f t="shared" si="44"/>
        <v/>
      </c>
    </row>
    <row r="72" spans="1:21" x14ac:dyDescent="0.25">
      <c r="B72" s="46" t="s">
        <v>73</v>
      </c>
      <c r="C72" s="67">
        <f>IFERROR(COUNTIFS(CLIENTE!$AM:$AM,PORVENDEDOR!B72,CLIENTE!$BD:$BD,PORVENDEDOR!$C$5),0)</f>
        <v>0</v>
      </c>
      <c r="D72" s="31">
        <f>IFERROR(SUMIFS(FACTURA!$S:$S,FACTURA!$V:$V,PORVENDEDOR!B72,FACTURA!$AA:$AA,PORVENDEDOR!$C$5),0)</f>
        <v>0</v>
      </c>
      <c r="E72" s="31">
        <f>IFERROR(SUMIFS(FACTURA!$T:$T,FACTURA!$AF:$AF,PORVENDEDOR!E$66,FACTURA!$V:$V,PORVENDEDOR!$B72,FACTURA!$AA:$AA,PORVENDEDOR!$C$5),0)</f>
        <v>0</v>
      </c>
      <c r="F72" s="31">
        <f>IFERROR(SUMIFS(FACTURA!$T:$T,FACTURA!$AF:$AF,PORVENDEDOR!F$66,FACTURA!$V:$V,PORVENDEDOR!$B72,FACTURA!$AA:$AA,PORVENDEDOR!$C$5),0)</f>
        <v>0</v>
      </c>
      <c r="G72">
        <f>IFERROR(SUMIFS(FACTURA!$T:$T,FACTURA!$AF:$AF,PORVENDEDOR!G$66,FACTURA!$V:$V,PORVENDEDOR!$B72,FACTURA!$AA:$AA,PORVENDEDOR!$C$5),0)</f>
        <v>0</v>
      </c>
      <c r="H72" s="31">
        <f t="shared" si="39"/>
        <v>0</v>
      </c>
      <c r="I72" s="123" t="str">
        <f t="shared" si="37"/>
        <v/>
      </c>
      <c r="J72" s="49" t="str">
        <f t="shared" si="40"/>
        <v/>
      </c>
      <c r="K72" s="73">
        <f>IFERROR(COUNTIFS(FACTURA!$V:$V,PORVENDEDOR!$B72,FACTURA!$AA:$AA,$C$5,FACTURA!$AK:$AK,1),0)</f>
        <v>0</v>
      </c>
      <c r="L72" s="296" t="str">
        <f t="shared" si="41"/>
        <v/>
      </c>
      <c r="M72" s="36">
        <f>IFERROR(SUMIFS(PEDIDO!$S:$S,PEDIDO!$V:$V,PORVENDEDOR!B72,PEDIDO!$AA:$AA,PORVENDEDOR!$C$5),0)</f>
        <v>0</v>
      </c>
      <c r="N72" s="31">
        <f>IFERROR(SUMIFS(PEDIDO!$T:$T,PEDIDO!$AF:$AF,PORVENDEDOR!N$66,PEDIDO!$V:$V,PORVENDEDOR!$B72,PEDIDO!$AA:$AA,PORVENDEDOR!$C$5),0)</f>
        <v>0</v>
      </c>
      <c r="O72" s="31">
        <f>IFERROR(SUMIFS(PEDIDO!$T:$T,PEDIDO!$AF:$AF,PORVENDEDOR!O$66,PEDIDO!$V:$V,PORVENDEDOR!$B72,PEDIDO!$AA:$AA,PORVENDEDOR!$C$5),0)</f>
        <v>0</v>
      </c>
      <c r="P72">
        <f>IFERROR(SUMIFS(PEDIDO!$T:$T,PEDIDO!$AF:$AF,PORVENDEDOR!P$66,PEDIDO!$V:$V,PORVENDEDOR!$B72,PEDIDO!$AA:$AA,PORVENDEDOR!$C$5),0)</f>
        <v>0</v>
      </c>
      <c r="Q72" s="31">
        <f t="shared" si="42"/>
        <v>0</v>
      </c>
      <c r="R72" s="33" t="str">
        <f t="shared" si="38"/>
        <v/>
      </c>
      <c r="S72" s="5" t="str">
        <f t="shared" si="43"/>
        <v/>
      </c>
      <c r="T72" s="73">
        <f>IFERROR(COUNTIFS(PEDIDO!$V:$V,PORVENDEDOR!$B72,PEDIDO!$AA:$AA,$C$5,PEDIDO!$AK:$AK,1),0)</f>
        <v>0</v>
      </c>
      <c r="U72" s="296" t="str">
        <f t="shared" si="44"/>
        <v/>
      </c>
    </row>
    <row r="73" spans="1:21" x14ac:dyDescent="0.25">
      <c r="B73" s="46" t="s">
        <v>80</v>
      </c>
      <c r="C73" s="67">
        <f>IFERROR(COUNTIFS(CLIENTE!$AM:$AM,PORVENDEDOR!B73,CLIENTE!$BD:$BD,PORVENDEDOR!$C$5),0)</f>
        <v>0</v>
      </c>
      <c r="D73" s="31">
        <f>IFERROR(SUMIFS(FACTURA!$S:$S,FACTURA!$V:$V,PORVENDEDOR!B73,FACTURA!$AA:$AA,PORVENDEDOR!$C$5),0)</f>
        <v>0</v>
      </c>
      <c r="E73" s="31">
        <f>IFERROR(SUMIFS(FACTURA!$T:$T,FACTURA!$AF:$AF,PORVENDEDOR!E$66,FACTURA!$V:$V,PORVENDEDOR!$B73,FACTURA!$AA:$AA,PORVENDEDOR!$C$5),0)</f>
        <v>0</v>
      </c>
      <c r="F73" s="31">
        <f>IFERROR(SUMIFS(FACTURA!$T:$T,FACTURA!$AF:$AF,PORVENDEDOR!F$66,FACTURA!$V:$V,PORVENDEDOR!$B73,FACTURA!$AA:$AA,PORVENDEDOR!$C$5),0)</f>
        <v>0</v>
      </c>
      <c r="G73">
        <f>IFERROR(SUMIFS(FACTURA!$T:$T,FACTURA!$AF:$AF,PORVENDEDOR!G$66,FACTURA!$V:$V,PORVENDEDOR!$B73,FACTURA!$AA:$AA,PORVENDEDOR!$C$5),0)</f>
        <v>0</v>
      </c>
      <c r="H73" s="31">
        <f t="shared" si="39"/>
        <v>0</v>
      </c>
      <c r="I73" s="123" t="str">
        <f t="shared" si="37"/>
        <v/>
      </c>
      <c r="J73" s="49" t="str">
        <f t="shared" si="40"/>
        <v/>
      </c>
      <c r="K73" s="73">
        <f>IFERROR(COUNTIFS(FACTURA!$V:$V,PORVENDEDOR!$B73,FACTURA!$AA:$AA,$C$5,FACTURA!$AK:$AK,1),0)</f>
        <v>0</v>
      </c>
      <c r="L73" s="296" t="str">
        <f t="shared" si="41"/>
        <v/>
      </c>
      <c r="M73" s="36">
        <f>IFERROR(SUMIFS(PEDIDO!$S:$S,PEDIDO!$V:$V,PORVENDEDOR!B73,PEDIDO!$AA:$AA,PORVENDEDOR!$C$5),0)</f>
        <v>0</v>
      </c>
      <c r="N73" s="31">
        <f>IFERROR(SUMIFS(PEDIDO!$T:$T,PEDIDO!$AF:$AF,PORVENDEDOR!N$66,PEDIDO!$V:$V,PORVENDEDOR!$B73,PEDIDO!$AA:$AA,PORVENDEDOR!$C$5),0)</f>
        <v>0</v>
      </c>
      <c r="O73" s="31">
        <f>IFERROR(SUMIFS(PEDIDO!$T:$T,PEDIDO!$AF:$AF,PORVENDEDOR!O$66,PEDIDO!$V:$V,PORVENDEDOR!$B73,PEDIDO!$AA:$AA,PORVENDEDOR!$C$5),0)</f>
        <v>0</v>
      </c>
      <c r="P73">
        <f>IFERROR(SUMIFS(PEDIDO!$T:$T,PEDIDO!$AF:$AF,PORVENDEDOR!P$66,PEDIDO!$V:$V,PORVENDEDOR!$B73,PEDIDO!$AA:$AA,PORVENDEDOR!$C$5),0)</f>
        <v>0</v>
      </c>
      <c r="Q73" s="31">
        <f t="shared" si="42"/>
        <v>0</v>
      </c>
      <c r="R73" s="33" t="str">
        <f t="shared" si="38"/>
        <v/>
      </c>
      <c r="S73" s="5" t="str">
        <f t="shared" si="43"/>
        <v/>
      </c>
      <c r="T73" s="73">
        <f>IFERROR(COUNTIFS(PEDIDO!$V:$V,PORVENDEDOR!$B73,PEDIDO!$AA:$AA,$C$5,PEDIDO!$AK:$AK,1),0)</f>
        <v>0</v>
      </c>
      <c r="U73" s="296" t="str">
        <f t="shared" si="44"/>
        <v/>
      </c>
    </row>
    <row r="74" spans="1:21" x14ac:dyDescent="0.25">
      <c r="B74" s="47" t="s">
        <v>82</v>
      </c>
      <c r="C74" s="68">
        <f>IFERROR(COUNTIFS(CLIENTE!$AM:$AM,PORVENDEDOR!B74,CLIENTE!$BD:$BD,PORVENDEDOR!$C$5),0)</f>
        <v>0</v>
      </c>
      <c r="D74" s="31">
        <f>IFERROR(SUMIFS(FACTURA!$S:$S,FACTURA!$V:$V,PORVENDEDOR!B74,FACTURA!$AA:$AA,PORVENDEDOR!$C$5),0)</f>
        <v>0</v>
      </c>
      <c r="E74" s="31">
        <f>IFERROR(SUMIFS(FACTURA!$T:$T,FACTURA!$AF:$AF,PORVENDEDOR!E$66,FACTURA!$V:$V,PORVENDEDOR!$B74,FACTURA!$AA:$AA,PORVENDEDOR!$C$5),0)</f>
        <v>0</v>
      </c>
      <c r="F74" s="31">
        <f>IFERROR(SUMIFS(FACTURA!$T:$T,FACTURA!$AF:$AF,PORVENDEDOR!F$66,FACTURA!$V:$V,PORVENDEDOR!$B74,FACTURA!$AA:$AA,PORVENDEDOR!$C$5),0)</f>
        <v>0</v>
      </c>
      <c r="G74">
        <f>IFERROR(SUMIFS(FACTURA!$T:$T,FACTURA!$AF:$AF,PORVENDEDOR!G$66,FACTURA!$V:$V,PORVENDEDOR!$B74,FACTURA!$AA:$AA,PORVENDEDOR!$C$5),0)</f>
        <v>0</v>
      </c>
      <c r="H74" s="31">
        <f t="shared" si="39"/>
        <v>0</v>
      </c>
      <c r="I74" s="124" t="str">
        <f t="shared" si="37"/>
        <v/>
      </c>
      <c r="J74" s="292" t="str">
        <f t="shared" si="40"/>
        <v/>
      </c>
      <c r="K74" s="74">
        <f>IFERROR(COUNTIFS(FACTURA!$V:$V,PORVENDEDOR!$B74,FACTURA!$AA:$AA,$C$5,FACTURA!$AK:$AK,1),0)</f>
        <v>0</v>
      </c>
      <c r="L74" s="296" t="str">
        <f t="shared" si="41"/>
        <v/>
      </c>
      <c r="M74" s="36">
        <f>IFERROR(SUMIFS(PEDIDO!$S:$S,PEDIDO!$V:$V,PORVENDEDOR!B74,PEDIDO!$AA:$AA,PORVENDEDOR!$C$5),0)</f>
        <v>0</v>
      </c>
      <c r="N74" s="31">
        <f>IFERROR(SUMIFS(PEDIDO!$T:$T,PEDIDO!$AF:$AF,PORVENDEDOR!N$66,PEDIDO!$V:$V,PORVENDEDOR!$B74,PEDIDO!$AA:$AA,PORVENDEDOR!$C$5),0)</f>
        <v>0</v>
      </c>
      <c r="O74" s="31">
        <f>IFERROR(SUMIFS(PEDIDO!$T:$T,PEDIDO!$AF:$AF,PORVENDEDOR!O$66,PEDIDO!$V:$V,PORVENDEDOR!$B74,PEDIDO!$AA:$AA,PORVENDEDOR!$C$5),0)</f>
        <v>0</v>
      </c>
      <c r="P74">
        <f>IFERROR(SUMIFS(PEDIDO!$T:$T,PEDIDO!$AF:$AF,PORVENDEDOR!P$66,PEDIDO!$V:$V,PORVENDEDOR!$B74,PEDIDO!$AA:$AA,PORVENDEDOR!$C$5),0)</f>
        <v>0</v>
      </c>
      <c r="Q74" s="31">
        <f t="shared" si="42"/>
        <v>0</v>
      </c>
      <c r="R74" s="44" t="str">
        <f t="shared" si="38"/>
        <v/>
      </c>
      <c r="S74" s="293" t="str">
        <f t="shared" si="43"/>
        <v/>
      </c>
      <c r="T74" s="74">
        <f>IFERROR(COUNTIFS(PEDIDO!$V:$V,PORVENDEDOR!$B74,PEDIDO!$AA:$AA,$C$5,PEDIDO!$AK:$AK,1),0)</f>
        <v>0</v>
      </c>
      <c r="U74" s="296" t="str">
        <f t="shared" si="44"/>
        <v/>
      </c>
    </row>
    <row r="75" spans="1:21" x14ac:dyDescent="0.25">
      <c r="B75" s="45" t="s">
        <v>3</v>
      </c>
      <c r="C75" s="71">
        <f t="shared" ref="C75:H75" si="45">SUM(C67:C74)</f>
        <v>0</v>
      </c>
      <c r="D75" s="40">
        <f t="shared" si="45"/>
        <v>0</v>
      </c>
      <c r="E75" s="41">
        <f t="shared" si="45"/>
        <v>0</v>
      </c>
      <c r="F75" s="41">
        <f t="shared" si="45"/>
        <v>0</v>
      </c>
      <c r="G75" s="41">
        <f t="shared" si="45"/>
        <v>0</v>
      </c>
      <c r="H75" s="42">
        <f t="shared" si="45"/>
        <v>0</v>
      </c>
      <c r="I75" s="16"/>
      <c r="J75" s="14"/>
      <c r="K75" s="75">
        <f>SUM(K67:K74)</f>
        <v>0</v>
      </c>
      <c r="L75" s="78" t="str">
        <f>IFERROR(K75/C75,"")</f>
        <v/>
      </c>
      <c r="M75" s="40">
        <f t="shared" ref="M75:Q75" si="46">SUM(M67:M74)</f>
        <v>0</v>
      </c>
      <c r="N75" s="41">
        <f t="shared" si="46"/>
        <v>0</v>
      </c>
      <c r="O75" s="41">
        <f t="shared" si="46"/>
        <v>0</v>
      </c>
      <c r="P75" s="41">
        <f t="shared" si="46"/>
        <v>0</v>
      </c>
      <c r="Q75" s="42">
        <f t="shared" si="46"/>
        <v>0</v>
      </c>
      <c r="R75" s="16"/>
      <c r="T75" s="75">
        <f>SUM(T67:T74)</f>
        <v>0</v>
      </c>
      <c r="U75" s="78" t="str">
        <f>IFERROR(T75/C75,"")</f>
        <v/>
      </c>
    </row>
    <row r="77" spans="1:21" x14ac:dyDescent="0.25">
      <c r="A77" s="6" t="s">
        <v>239</v>
      </c>
    </row>
    <row r="79" spans="1:21" x14ac:dyDescent="0.25">
      <c r="D79" s="365" t="s">
        <v>5</v>
      </c>
      <c r="E79" s="421"/>
      <c r="F79" s="421"/>
      <c r="G79" s="421"/>
      <c r="H79" s="421"/>
      <c r="I79" s="421"/>
      <c r="J79" s="421"/>
      <c r="K79" s="366"/>
      <c r="M79" s="365" t="s">
        <v>94</v>
      </c>
      <c r="N79" s="421"/>
      <c r="O79" s="421"/>
      <c r="P79" s="421"/>
      <c r="Q79" s="421"/>
      <c r="R79" s="421"/>
      <c r="S79" s="421"/>
      <c r="T79" s="366"/>
    </row>
    <row r="80" spans="1:21" ht="14.45" customHeight="1" x14ac:dyDescent="0.25">
      <c r="C80" s="383" t="s">
        <v>135</v>
      </c>
      <c r="D80" s="371" t="s">
        <v>92</v>
      </c>
      <c r="E80" s="365" t="s">
        <v>99</v>
      </c>
      <c r="F80" s="421"/>
      <c r="G80" s="366"/>
      <c r="H80" s="383" t="s">
        <v>100</v>
      </c>
      <c r="I80" s="370" t="s">
        <v>96</v>
      </c>
      <c r="J80" s="370" t="s">
        <v>95</v>
      </c>
      <c r="K80" s="372" t="s">
        <v>136</v>
      </c>
      <c r="L80" s="372" t="s">
        <v>95</v>
      </c>
      <c r="M80" s="370" t="s">
        <v>92</v>
      </c>
      <c r="N80" s="365" t="s">
        <v>99</v>
      </c>
      <c r="O80" s="421"/>
      <c r="P80" s="366"/>
      <c r="Q80" s="384" t="s">
        <v>100</v>
      </c>
      <c r="R80" s="370" t="s">
        <v>96</v>
      </c>
      <c r="S80" s="370" t="s">
        <v>95</v>
      </c>
      <c r="T80" s="372" t="s">
        <v>136</v>
      </c>
      <c r="U80" s="372" t="s">
        <v>95</v>
      </c>
    </row>
    <row r="81" spans="1:21" x14ac:dyDescent="0.25">
      <c r="C81" s="384"/>
      <c r="D81" s="370"/>
      <c r="E81" s="289" t="s">
        <v>97</v>
      </c>
      <c r="F81" s="289" t="s">
        <v>98</v>
      </c>
      <c r="G81" s="278" t="s">
        <v>215</v>
      </c>
      <c r="H81" s="384"/>
      <c r="I81" s="371"/>
      <c r="J81" s="371"/>
      <c r="K81" s="373"/>
      <c r="L81" s="373"/>
      <c r="M81" s="371"/>
      <c r="N81" s="289" t="s">
        <v>97</v>
      </c>
      <c r="O81" s="289" t="s">
        <v>98</v>
      </c>
      <c r="P81" s="291" t="s">
        <v>215</v>
      </c>
      <c r="Q81" s="413"/>
      <c r="R81" s="371"/>
      <c r="S81" s="371"/>
      <c r="T81" s="373"/>
      <c r="U81" s="373"/>
    </row>
    <row r="82" spans="1:21" x14ac:dyDescent="0.25">
      <c r="B82" s="13" t="s">
        <v>70</v>
      </c>
      <c r="C82" s="66">
        <f>IFERROR(COUNTIFS(CLIENTE!$AU:$AU,PORVENDEDOR!B82,CLIENTE!$BD:$BD,PORVENDEDOR!$C$5),0)</f>
        <v>0</v>
      </c>
      <c r="D82" s="34">
        <f>IFERROR(SUMIFS(FACTURA!$S:$S,FACTURA!$AC:$AC,PORVENDEDOR!B82,FACTURA!$AA:$AA,PORVENDEDOR!$C$5),0)</f>
        <v>0</v>
      </c>
      <c r="E82" s="35">
        <f>IFERROR(SUMIFS(FACTURA!$T:$T,FACTURA!$AF:$AF,PORVENDEDOR!E$81,FACTURA!$AC:$AC,PORVENDEDOR!$B82,FACTURA!$AA:$AA,PORVENDEDOR!$C$5),0)</f>
        <v>0</v>
      </c>
      <c r="F82" s="35">
        <f>IFERROR(SUMIFS(FACTURA!$T:$T,FACTURA!$AF:$AF,PORVENDEDOR!F$81,FACTURA!$AC:$AC,PORVENDEDOR!$B82,FACTURA!$AA:$AA,PORVENDEDOR!$C$5),0)</f>
        <v>0</v>
      </c>
      <c r="G82" s="65">
        <f>IFERROR(SUMIFS(FACTURA!$T:$T,FACTURA!$AF:$AF,PORVENDEDOR!G$81,FACTURA!$AC:$AC,PORVENDEDOR!$B82,FACTURA!$AA:$AA,PORVENDEDOR!$C$5),0)</f>
        <v>0</v>
      </c>
      <c r="H82" s="35">
        <f>SUM(E82:G82)</f>
        <v>0</v>
      </c>
      <c r="I82" s="43" t="str">
        <f t="shared" ref="I82:I88" si="47">IFERROR(H82/D82,"")</f>
        <v/>
      </c>
      <c r="J82" s="268" t="str">
        <f>IFERROR(H82/$H$89,"")</f>
        <v/>
      </c>
      <c r="K82" s="76">
        <f>IFERROR(COUNTIFS(FACTURA!$AC:$AC,PORVENDEDOR!$B82,FACTURA!$AA:$AA,$C$5,FACTURA!$AK:$AK,1),0)</f>
        <v>0</v>
      </c>
      <c r="L82" s="296" t="str">
        <f>IFERROR(K82/C82,"")</f>
        <v/>
      </c>
      <c r="M82" s="34">
        <f>IFERROR(SUMIFS(PEDIDO!$S:$S,PEDIDO!$AC:$AC,PORVENDEDOR!B82,PEDIDO!$AA:$AA,PORVENDEDOR!$C$5),0)</f>
        <v>0</v>
      </c>
      <c r="N82" s="35">
        <f>IFERROR(SUMIFS(PEDIDO!$T:$T,PEDIDO!$AF:$AF,PORVENDEDOR!N$81,PEDIDO!$AC:$AC,PORVENDEDOR!$B82,PEDIDO!$AA:$AA,PORVENDEDOR!$C$5),0)</f>
        <v>0</v>
      </c>
      <c r="O82" s="35">
        <f>IFERROR(SUMIFS(PEDIDO!$T:$T,PEDIDO!$AF:$AF,PORVENDEDOR!O$81,PEDIDO!$AC:$AC,PORVENDEDOR!$B82,PEDIDO!$AA:$AA,PORVENDEDOR!$C$5),0)</f>
        <v>0</v>
      </c>
      <c r="P82" s="65">
        <f>IFERROR(SUMIFS(PEDIDO!$T:$T,PEDIDO!$AF:$AF,PORVENDEDOR!P$81,PEDIDO!$AC:$AC,PORVENDEDOR!$B82,PEDIDO!$AA:$AA,PORVENDEDOR!$C$5),0)</f>
        <v>0</v>
      </c>
      <c r="Q82" s="35">
        <f>SUM(N82:P82)</f>
        <v>0</v>
      </c>
      <c r="R82" s="43" t="str">
        <f t="shared" ref="R82:R88" si="48">IFERROR(Q82/M82,"")</f>
        <v/>
      </c>
      <c r="S82" s="268" t="str">
        <f>IFERROR(Q82/$H$89,"")</f>
        <v/>
      </c>
      <c r="T82" s="76">
        <f>IFERROR(COUNTIFS(PEDIDO!$AC:$AC,PORVENDEDOR!$B82,PEDIDO!$AA:$AA,$C$5,PEDIDO!$AK:$AK,1),0)</f>
        <v>0</v>
      </c>
      <c r="U82" s="296" t="str">
        <f>IFERROR(T82/C82,"")</f>
        <v/>
      </c>
    </row>
    <row r="83" spans="1:21" x14ac:dyDescent="0.25">
      <c r="B83" s="46" t="s">
        <v>74</v>
      </c>
      <c r="C83" s="67">
        <f>IFERROR(COUNTIFS(CLIENTE!$AU:$AU,PORVENDEDOR!B83,CLIENTE!$BD:$BD,PORVENDEDOR!$C$5),0)</f>
        <v>0</v>
      </c>
      <c r="D83" s="36">
        <f>IFERROR(SUMIFS(FACTURA!$S:$S,FACTURA!$AC:$AC,PORVENDEDOR!B83,FACTURA!$AA:$AA,PORVENDEDOR!$C$5),0)</f>
        <v>0</v>
      </c>
      <c r="E83" s="31">
        <f>IFERROR(SUMIFS(FACTURA!$T:$T,FACTURA!$AF:$AF,PORVENDEDOR!E$81,FACTURA!$AC:$AC,PORVENDEDOR!$B83,FACTURA!$AA:$AA,PORVENDEDOR!$C$5),0)</f>
        <v>0</v>
      </c>
      <c r="F83" s="31">
        <f>IFERROR(SUMIFS(FACTURA!$T:$T,FACTURA!$AF:$AF,PORVENDEDOR!F$81,FACTURA!$AC:$AC,PORVENDEDOR!$B83,FACTURA!$AA:$AA,PORVENDEDOR!$C$5),0)</f>
        <v>0</v>
      </c>
      <c r="G83" s="18">
        <f>IFERROR(SUMIFS(FACTURA!$T:$T,FACTURA!$AF:$AF,PORVENDEDOR!G$81,FACTURA!$AC:$AC,PORVENDEDOR!$B83,FACTURA!$AA:$AA,PORVENDEDOR!$C$5),0)</f>
        <v>0</v>
      </c>
      <c r="H83" s="31">
        <f t="shared" ref="H83:H88" si="49">SUM(E83:G83)</f>
        <v>0</v>
      </c>
      <c r="I83" s="33" t="str">
        <f t="shared" si="47"/>
        <v/>
      </c>
      <c r="J83" s="269" t="str">
        <f t="shared" ref="J83:J88" si="50">IFERROR(H83/$H$89,"")</f>
        <v/>
      </c>
      <c r="K83" s="73">
        <f>IFERROR(COUNTIFS(FACTURA!$AC:$AC,PORVENDEDOR!$B83,FACTURA!$AA:$AA,$C$5,FACTURA!$AK:$AK,1),0)</f>
        <v>0</v>
      </c>
      <c r="L83" s="296" t="str">
        <f t="shared" ref="L83:L88" si="51">IFERROR(K83/C83,"")</f>
        <v/>
      </c>
      <c r="M83" s="36">
        <f>IFERROR(SUMIFS(PEDIDO!$S:$S,PEDIDO!$AC:$AC,PORVENDEDOR!B83,PEDIDO!$AA:$AA,PORVENDEDOR!$C$5),0)</f>
        <v>0</v>
      </c>
      <c r="N83" s="31">
        <f>IFERROR(SUMIFS(PEDIDO!$T:$T,PEDIDO!$AF:$AF,PORVENDEDOR!N$81,PEDIDO!$AC:$AC,PORVENDEDOR!$B83,PEDIDO!$AA:$AA,PORVENDEDOR!$C$5),0)</f>
        <v>0</v>
      </c>
      <c r="O83" s="31">
        <f>IFERROR(SUMIFS(PEDIDO!$T:$T,PEDIDO!$AF:$AF,PORVENDEDOR!O$81,PEDIDO!$AC:$AC,PORVENDEDOR!$B83,PEDIDO!$AA:$AA,PORVENDEDOR!$C$5),0)</f>
        <v>0</v>
      </c>
      <c r="P83" s="18">
        <f>IFERROR(SUMIFS(PEDIDO!$T:$T,PEDIDO!$AF:$AF,PORVENDEDOR!P$81,PEDIDO!$AC:$AC,PORVENDEDOR!$B83,PEDIDO!$AA:$AA,PORVENDEDOR!$C$5),0)</f>
        <v>0</v>
      </c>
      <c r="Q83" s="31">
        <f t="shared" ref="Q83:Q88" si="52">SUM(N83:P83)</f>
        <v>0</v>
      </c>
      <c r="R83" s="33" t="str">
        <f t="shared" si="48"/>
        <v/>
      </c>
      <c r="S83" s="269" t="str">
        <f t="shared" ref="S83:S88" si="53">IFERROR(Q83/$H$89,"")</f>
        <v/>
      </c>
      <c r="T83" s="73">
        <f>IFERROR(COUNTIFS(PEDIDO!$AC:$AC,PORVENDEDOR!$B83,PEDIDO!$AA:$AA,$C$5,PEDIDO!$AK:$AK,1),0)</f>
        <v>0</v>
      </c>
      <c r="U83" s="296" t="str">
        <f t="shared" ref="U83:U88" si="54">IFERROR(T83/C83,"")</f>
        <v/>
      </c>
    </row>
    <row r="84" spans="1:21" x14ac:dyDescent="0.25">
      <c r="B84" s="46" t="s">
        <v>71</v>
      </c>
      <c r="C84" s="67">
        <f>IFERROR(COUNTIFS(CLIENTE!$AU:$AU,PORVENDEDOR!B84,CLIENTE!$BD:$BD,PORVENDEDOR!$C$5),0)</f>
        <v>0</v>
      </c>
      <c r="D84" s="36">
        <f>IFERROR(SUMIFS(FACTURA!$S:$S,FACTURA!$AC:$AC,PORVENDEDOR!B84,FACTURA!$AA:$AA,PORVENDEDOR!$C$5),0)</f>
        <v>0</v>
      </c>
      <c r="E84" s="31">
        <f>IFERROR(SUMIFS(FACTURA!$T:$T,FACTURA!$AF:$AF,PORVENDEDOR!E$81,FACTURA!$AC:$AC,PORVENDEDOR!$B84,FACTURA!$AA:$AA,PORVENDEDOR!$C$5),0)</f>
        <v>0</v>
      </c>
      <c r="F84" s="31">
        <f>IFERROR(SUMIFS(FACTURA!$T:$T,FACTURA!$AF:$AF,PORVENDEDOR!F$81,FACTURA!$AC:$AC,PORVENDEDOR!$B84,FACTURA!$AA:$AA,PORVENDEDOR!$C$5),0)</f>
        <v>0</v>
      </c>
      <c r="G84" s="18">
        <f>IFERROR(SUMIFS(FACTURA!$T:$T,FACTURA!$AF:$AF,PORVENDEDOR!G$81,FACTURA!$AC:$AC,PORVENDEDOR!$B84,FACTURA!$AA:$AA,PORVENDEDOR!$C$5),0)</f>
        <v>0</v>
      </c>
      <c r="H84" s="31">
        <f t="shared" si="49"/>
        <v>0</v>
      </c>
      <c r="I84" s="33" t="str">
        <f t="shared" si="47"/>
        <v/>
      </c>
      <c r="J84" s="269" t="str">
        <f t="shared" si="50"/>
        <v/>
      </c>
      <c r="K84" s="73">
        <f>IFERROR(COUNTIFS(FACTURA!$AC:$AC,PORVENDEDOR!$B84,FACTURA!$AA:$AA,$C$5,FACTURA!$AK:$AK,1),0)</f>
        <v>0</v>
      </c>
      <c r="L84" s="296" t="str">
        <f t="shared" si="51"/>
        <v/>
      </c>
      <c r="M84" s="36">
        <f>IFERROR(SUMIFS(PEDIDO!$S:$S,PEDIDO!$AC:$AC,PORVENDEDOR!B84,PEDIDO!$AA:$AA,PORVENDEDOR!$C$5),0)</f>
        <v>0</v>
      </c>
      <c r="N84" s="31">
        <f>IFERROR(SUMIFS(PEDIDO!$T:$T,PEDIDO!$AF:$AF,PORVENDEDOR!N$81,PEDIDO!$AC:$AC,PORVENDEDOR!$B84,PEDIDO!$AA:$AA,PORVENDEDOR!$C$5),0)</f>
        <v>0</v>
      </c>
      <c r="O84" s="31">
        <f>IFERROR(SUMIFS(PEDIDO!$T:$T,PEDIDO!$AF:$AF,PORVENDEDOR!O$81,PEDIDO!$AC:$AC,PORVENDEDOR!$B84,PEDIDO!$AA:$AA,PORVENDEDOR!$C$5),0)</f>
        <v>0</v>
      </c>
      <c r="P84" s="18">
        <f>IFERROR(SUMIFS(PEDIDO!$T:$T,PEDIDO!$AF:$AF,PORVENDEDOR!P$81,PEDIDO!$AC:$AC,PORVENDEDOR!$B84,PEDIDO!$AA:$AA,PORVENDEDOR!$C$5),0)</f>
        <v>0</v>
      </c>
      <c r="Q84" s="31">
        <f t="shared" si="52"/>
        <v>0</v>
      </c>
      <c r="R84" s="33" t="str">
        <f t="shared" si="48"/>
        <v/>
      </c>
      <c r="S84" s="269" t="str">
        <f t="shared" si="53"/>
        <v/>
      </c>
      <c r="T84" s="73">
        <f>IFERROR(COUNTIFS(PEDIDO!$AC:$AC,PORVENDEDOR!$B84,PEDIDO!$AA:$AA,$C$5,PEDIDO!$AK:$AK,1),0)</f>
        <v>0</v>
      </c>
      <c r="U84" s="296" t="str">
        <f t="shared" si="54"/>
        <v/>
      </c>
    </row>
    <row r="85" spans="1:21" x14ac:dyDescent="0.25">
      <c r="B85" s="46" t="s">
        <v>77</v>
      </c>
      <c r="C85" s="67">
        <f>IFERROR(COUNTIFS(CLIENTE!$AU:$AU,PORVENDEDOR!B85,CLIENTE!$BD:$BD,PORVENDEDOR!$C$5),0)</f>
        <v>0</v>
      </c>
      <c r="D85" s="36">
        <f>IFERROR(SUMIFS(FACTURA!$S:$S,FACTURA!$AC:$AC,PORVENDEDOR!B85,FACTURA!$AA:$AA,PORVENDEDOR!$C$5),0)</f>
        <v>0</v>
      </c>
      <c r="E85" s="31">
        <f>IFERROR(SUMIFS(FACTURA!$T:$T,FACTURA!$AF:$AF,PORVENDEDOR!E$81,FACTURA!$AC:$AC,PORVENDEDOR!$B85,FACTURA!$AA:$AA,PORVENDEDOR!$C$5),0)</f>
        <v>0</v>
      </c>
      <c r="F85" s="31">
        <f>IFERROR(SUMIFS(FACTURA!$T:$T,FACTURA!$AF:$AF,PORVENDEDOR!F$81,FACTURA!$AC:$AC,PORVENDEDOR!$B85,FACTURA!$AA:$AA,PORVENDEDOR!$C$5),0)</f>
        <v>0</v>
      </c>
      <c r="G85" s="18">
        <f>IFERROR(SUMIFS(FACTURA!$T:$T,FACTURA!$AF:$AF,PORVENDEDOR!G$81,FACTURA!$AC:$AC,PORVENDEDOR!$B85,FACTURA!$AA:$AA,PORVENDEDOR!$C$5),0)</f>
        <v>0</v>
      </c>
      <c r="H85" s="31">
        <f t="shared" si="49"/>
        <v>0</v>
      </c>
      <c r="I85" s="33" t="str">
        <f t="shared" si="47"/>
        <v/>
      </c>
      <c r="J85" s="269" t="str">
        <f t="shared" si="50"/>
        <v/>
      </c>
      <c r="K85" s="73">
        <f>IFERROR(COUNTIFS(FACTURA!$AC:$AC,PORVENDEDOR!$B85,FACTURA!$AA:$AA,$C$5,FACTURA!$AK:$AK,1),0)</f>
        <v>0</v>
      </c>
      <c r="L85" s="296" t="str">
        <f t="shared" si="51"/>
        <v/>
      </c>
      <c r="M85" s="36">
        <f>IFERROR(SUMIFS(PEDIDO!$S:$S,PEDIDO!$AC:$AC,PORVENDEDOR!B85,PEDIDO!$AA:$AA,PORVENDEDOR!$C$5),0)</f>
        <v>0</v>
      </c>
      <c r="N85" s="31">
        <f>IFERROR(SUMIFS(PEDIDO!$T:$T,PEDIDO!$AF:$AF,PORVENDEDOR!N$81,PEDIDO!$AC:$AC,PORVENDEDOR!$B85,PEDIDO!$AA:$AA,PORVENDEDOR!$C$5),0)</f>
        <v>0</v>
      </c>
      <c r="O85" s="31">
        <f>IFERROR(SUMIFS(PEDIDO!$T:$T,PEDIDO!$AF:$AF,PORVENDEDOR!O$81,PEDIDO!$AC:$AC,PORVENDEDOR!$B85,PEDIDO!$AA:$AA,PORVENDEDOR!$C$5),0)</f>
        <v>0</v>
      </c>
      <c r="P85" s="18">
        <f>IFERROR(SUMIFS(PEDIDO!$T:$T,PEDIDO!$AF:$AF,PORVENDEDOR!P$81,PEDIDO!$AC:$AC,PORVENDEDOR!$B85,PEDIDO!$AA:$AA,PORVENDEDOR!$C$5),0)</f>
        <v>0</v>
      </c>
      <c r="Q85" s="31">
        <f t="shared" si="52"/>
        <v>0</v>
      </c>
      <c r="R85" s="33" t="str">
        <f t="shared" si="48"/>
        <v/>
      </c>
      <c r="S85" s="269" t="str">
        <f t="shared" si="53"/>
        <v/>
      </c>
      <c r="T85" s="73">
        <f>IFERROR(COUNTIFS(PEDIDO!$AC:$AC,PORVENDEDOR!$B85,PEDIDO!$AA:$AA,$C$5,PEDIDO!$AK:$AK,1),0)</f>
        <v>0</v>
      </c>
      <c r="U85" s="296" t="str">
        <f t="shared" si="54"/>
        <v/>
      </c>
    </row>
    <row r="86" spans="1:21" x14ac:dyDescent="0.25">
      <c r="B86" s="46" t="s">
        <v>73</v>
      </c>
      <c r="C86" s="67">
        <f>IFERROR(COUNTIFS(CLIENTE!$AU:$AU,PORVENDEDOR!B86,CLIENTE!$BD:$BD,PORVENDEDOR!$C$5),0)</f>
        <v>0</v>
      </c>
      <c r="D86" s="36">
        <f>IFERROR(SUMIFS(FACTURA!$S:$S,FACTURA!$AC:$AC,PORVENDEDOR!B86,FACTURA!$AA:$AA,PORVENDEDOR!$C$5),0)</f>
        <v>0</v>
      </c>
      <c r="E86" s="31">
        <f>IFERROR(SUMIFS(FACTURA!$T:$T,FACTURA!$AF:$AF,PORVENDEDOR!E$81,FACTURA!$AC:$AC,PORVENDEDOR!$B86,FACTURA!$AA:$AA,PORVENDEDOR!$C$5),0)</f>
        <v>0</v>
      </c>
      <c r="F86" s="31">
        <f>IFERROR(SUMIFS(FACTURA!$T:$T,FACTURA!$AF:$AF,PORVENDEDOR!F$81,FACTURA!$AC:$AC,PORVENDEDOR!$B86,FACTURA!$AA:$AA,PORVENDEDOR!$C$5),0)</f>
        <v>0</v>
      </c>
      <c r="G86" s="18">
        <f>IFERROR(SUMIFS(FACTURA!$T:$T,FACTURA!$AF:$AF,PORVENDEDOR!G$81,FACTURA!$AC:$AC,PORVENDEDOR!$B86,FACTURA!$AA:$AA,PORVENDEDOR!$C$5),0)</f>
        <v>0</v>
      </c>
      <c r="H86" s="31">
        <f t="shared" si="49"/>
        <v>0</v>
      </c>
      <c r="I86" s="33" t="str">
        <f t="shared" si="47"/>
        <v/>
      </c>
      <c r="J86" s="269" t="str">
        <f t="shared" si="50"/>
        <v/>
      </c>
      <c r="K86" s="73">
        <f>IFERROR(COUNTIFS(FACTURA!$AC:$AC,PORVENDEDOR!$B86,FACTURA!$AA:$AA,$C$5,FACTURA!$AK:$AK,1),0)</f>
        <v>0</v>
      </c>
      <c r="L86" s="296" t="str">
        <f t="shared" si="51"/>
        <v/>
      </c>
      <c r="M86" s="36">
        <f>IFERROR(SUMIFS(PEDIDO!$S:$S,PEDIDO!$AC:$AC,PORVENDEDOR!B86,PEDIDO!$AA:$AA,PORVENDEDOR!$C$5),0)</f>
        <v>0</v>
      </c>
      <c r="N86" s="31">
        <f>IFERROR(SUMIFS(PEDIDO!$T:$T,PEDIDO!$AF:$AF,PORVENDEDOR!N$81,PEDIDO!$AC:$AC,PORVENDEDOR!$B86,PEDIDO!$AA:$AA,PORVENDEDOR!$C$5),0)</f>
        <v>0</v>
      </c>
      <c r="O86" s="31">
        <f>IFERROR(SUMIFS(PEDIDO!$T:$T,PEDIDO!$AF:$AF,PORVENDEDOR!O$81,PEDIDO!$AC:$AC,PORVENDEDOR!$B86,PEDIDO!$AA:$AA,PORVENDEDOR!$C$5),0)</f>
        <v>0</v>
      </c>
      <c r="P86" s="18">
        <f>IFERROR(SUMIFS(PEDIDO!$T:$T,PEDIDO!$AF:$AF,PORVENDEDOR!P$81,PEDIDO!$AC:$AC,PORVENDEDOR!$B86,PEDIDO!$AA:$AA,PORVENDEDOR!$C$5),0)</f>
        <v>0</v>
      </c>
      <c r="Q86" s="31">
        <f t="shared" si="52"/>
        <v>0</v>
      </c>
      <c r="R86" s="33" t="str">
        <f t="shared" si="48"/>
        <v/>
      </c>
      <c r="S86" s="269" t="str">
        <f t="shared" si="53"/>
        <v/>
      </c>
      <c r="T86" s="73">
        <f>IFERROR(COUNTIFS(PEDIDO!$AC:$AC,PORVENDEDOR!$B86,PEDIDO!$AA:$AA,$C$5,PEDIDO!$AK:$AK,1),0)</f>
        <v>0</v>
      </c>
      <c r="U86" s="296" t="str">
        <f t="shared" si="54"/>
        <v/>
      </c>
    </row>
    <row r="87" spans="1:21" x14ac:dyDescent="0.25">
      <c r="B87" s="46" t="s">
        <v>78</v>
      </c>
      <c r="C87" s="67">
        <f>IFERROR(COUNTIFS(CLIENTE!$AU:$AU,PORVENDEDOR!B87,CLIENTE!$BD:$BD,PORVENDEDOR!$C$5),0)</f>
        <v>0</v>
      </c>
      <c r="D87" s="36">
        <f>IFERROR(SUMIFS(FACTURA!$S:$S,FACTURA!$AC:$AC,PORVENDEDOR!B87,FACTURA!$AA:$AA,PORVENDEDOR!$C$5),0)</f>
        <v>0</v>
      </c>
      <c r="E87" s="31">
        <f>IFERROR(SUMIFS(FACTURA!$T:$T,FACTURA!$AF:$AF,PORVENDEDOR!E$81,FACTURA!$AC:$AC,PORVENDEDOR!$B87,FACTURA!$AA:$AA,PORVENDEDOR!$C$5),0)</f>
        <v>0</v>
      </c>
      <c r="F87" s="31">
        <f>IFERROR(SUMIFS(FACTURA!$T:$T,FACTURA!$AF:$AF,PORVENDEDOR!F$81,FACTURA!$AC:$AC,PORVENDEDOR!$B87,FACTURA!$AA:$AA,PORVENDEDOR!$C$5),0)</f>
        <v>0</v>
      </c>
      <c r="G87" s="18">
        <f>IFERROR(SUMIFS(FACTURA!$T:$T,FACTURA!$AF:$AF,PORVENDEDOR!G$81,FACTURA!$AC:$AC,PORVENDEDOR!$B87,FACTURA!$AA:$AA,PORVENDEDOR!$C$5),0)</f>
        <v>0</v>
      </c>
      <c r="H87" s="31">
        <f t="shared" si="49"/>
        <v>0</v>
      </c>
      <c r="I87" s="33" t="str">
        <f t="shared" si="47"/>
        <v/>
      </c>
      <c r="J87" s="269" t="str">
        <f t="shared" si="50"/>
        <v/>
      </c>
      <c r="K87" s="73">
        <f>IFERROR(COUNTIFS(FACTURA!$AC:$AC,PORVENDEDOR!$B87,FACTURA!$AA:$AA,$C$5,FACTURA!$AK:$AK,1),0)</f>
        <v>0</v>
      </c>
      <c r="L87" s="296" t="str">
        <f t="shared" si="51"/>
        <v/>
      </c>
      <c r="M87" s="36">
        <f>IFERROR(SUMIFS(PEDIDO!$S:$S,PEDIDO!$AC:$AC,PORVENDEDOR!B87,PEDIDO!$AA:$AA,PORVENDEDOR!$C$5),0)</f>
        <v>0</v>
      </c>
      <c r="N87" s="31">
        <f>IFERROR(SUMIFS(PEDIDO!$T:$T,PEDIDO!$AF:$AF,PORVENDEDOR!N$81,PEDIDO!$AC:$AC,PORVENDEDOR!$B87,PEDIDO!$AA:$AA,PORVENDEDOR!$C$5),0)</f>
        <v>0</v>
      </c>
      <c r="O87" s="31">
        <f>IFERROR(SUMIFS(PEDIDO!$T:$T,PEDIDO!$AF:$AF,PORVENDEDOR!O$81,PEDIDO!$AC:$AC,PORVENDEDOR!$B87,PEDIDO!$AA:$AA,PORVENDEDOR!$C$5),0)</f>
        <v>0</v>
      </c>
      <c r="P87" s="18">
        <f>IFERROR(SUMIFS(PEDIDO!$T:$T,PEDIDO!$AF:$AF,PORVENDEDOR!P$81,PEDIDO!$AC:$AC,PORVENDEDOR!$B87,PEDIDO!$AA:$AA,PORVENDEDOR!$C$5),0)</f>
        <v>0</v>
      </c>
      <c r="Q87" s="31">
        <f t="shared" si="52"/>
        <v>0</v>
      </c>
      <c r="R87" s="33" t="str">
        <f t="shared" si="48"/>
        <v/>
      </c>
      <c r="S87" s="269" t="str">
        <f t="shared" si="53"/>
        <v/>
      </c>
      <c r="T87" s="73">
        <f>IFERROR(COUNTIFS(PEDIDO!$AC:$AC,PORVENDEDOR!$B87,PEDIDO!$AA:$AA,$C$5,PEDIDO!$AK:$AK,1),0)</f>
        <v>0</v>
      </c>
      <c r="U87" s="296" t="str">
        <f t="shared" si="54"/>
        <v/>
      </c>
    </row>
    <row r="88" spans="1:21" x14ac:dyDescent="0.25">
      <c r="B88" s="47" t="s">
        <v>79</v>
      </c>
      <c r="C88" s="68">
        <f>IFERROR(COUNTIFS(CLIENTE!$AU:$AU,PORVENDEDOR!B88,CLIENTE!$BD:$BD,PORVENDEDOR!$C$5),0)</f>
        <v>0</v>
      </c>
      <c r="D88" s="37">
        <f>IFERROR(SUMIFS(FACTURA!$S:$S,FACTURA!$AC:$AC,PORVENDEDOR!B88,FACTURA!$AA:$AA,PORVENDEDOR!$C$5),0)</f>
        <v>0</v>
      </c>
      <c r="E88" s="38">
        <f>IFERROR(SUMIFS(FACTURA!$T:$T,FACTURA!$AF:$AF,PORVENDEDOR!E$81,FACTURA!$AC:$AC,PORVENDEDOR!$B88,FACTURA!$AA:$AA,PORVENDEDOR!$C$5),0)</f>
        <v>0</v>
      </c>
      <c r="F88" s="38">
        <f>IFERROR(SUMIFS(FACTURA!$T:$T,FACTURA!$AF:$AF,PORVENDEDOR!F$81,FACTURA!$AC:$AC,PORVENDEDOR!$B88,FACTURA!$AA:$AA,PORVENDEDOR!$C$5),0)</f>
        <v>0</v>
      </c>
      <c r="G88" s="72">
        <f>IFERROR(SUMIFS(FACTURA!$T:$T,FACTURA!$AF:$AF,PORVENDEDOR!G$81,FACTURA!$AC:$AC,PORVENDEDOR!$B88,FACTURA!$AA:$AA,PORVENDEDOR!$C$5),0)</f>
        <v>0</v>
      </c>
      <c r="H88" s="38">
        <f t="shared" si="49"/>
        <v>0</v>
      </c>
      <c r="I88" s="51" t="str">
        <f t="shared" si="47"/>
        <v/>
      </c>
      <c r="J88" s="270" t="str">
        <f t="shared" si="50"/>
        <v/>
      </c>
      <c r="K88" s="74">
        <f>IFERROR(COUNTIFS(FACTURA!$AC:$AC,PORVENDEDOR!$B88,FACTURA!$AA:$AA,$C$5,FACTURA!$AK:$AK,1),0)</f>
        <v>0</v>
      </c>
      <c r="L88" s="296" t="str">
        <f t="shared" si="51"/>
        <v/>
      </c>
      <c r="M88" s="37">
        <f>IFERROR(SUMIFS(PEDIDO!$S:$S,PEDIDO!$AC:$AC,PORVENDEDOR!B88,PEDIDO!$AA:$AA,PORVENDEDOR!$C$5),0)</f>
        <v>0</v>
      </c>
      <c r="N88" s="38">
        <f>IFERROR(SUMIFS(PEDIDO!$T:$T,PEDIDO!$AF:$AF,PORVENDEDOR!N$81,PEDIDO!$AC:$AC,PORVENDEDOR!$B88,PEDIDO!$AA:$AA,PORVENDEDOR!$C$5),0)</f>
        <v>0</v>
      </c>
      <c r="O88" s="38">
        <f>IFERROR(SUMIFS(PEDIDO!$T:$T,PEDIDO!$AF:$AF,PORVENDEDOR!O$81,PEDIDO!$AC:$AC,PORVENDEDOR!$B88,PEDIDO!$AA:$AA,PORVENDEDOR!$C$5),0)</f>
        <v>0</v>
      </c>
      <c r="P88" s="72">
        <f>IFERROR(SUMIFS(PEDIDO!$T:$T,PEDIDO!$AF:$AF,PORVENDEDOR!P$81,PEDIDO!$AC:$AC,PORVENDEDOR!$B88,PEDIDO!$AA:$AA,PORVENDEDOR!$C$5),0)</f>
        <v>0</v>
      </c>
      <c r="Q88" s="38">
        <f t="shared" si="52"/>
        <v>0</v>
      </c>
      <c r="R88" s="51" t="str">
        <f t="shared" si="48"/>
        <v/>
      </c>
      <c r="S88" s="270" t="str">
        <f t="shared" si="53"/>
        <v/>
      </c>
      <c r="T88" s="74">
        <f>IFERROR(COUNTIFS(PEDIDO!$AC:$AC,PORVENDEDOR!$B88,PEDIDO!$AA:$AA,$C$5,PEDIDO!$AK:$AK,1),0)</f>
        <v>0</v>
      </c>
      <c r="U88" s="296" t="str">
        <f t="shared" si="54"/>
        <v/>
      </c>
    </row>
    <row r="89" spans="1:21" x14ac:dyDescent="0.25">
      <c r="B89" s="45" t="s">
        <v>3</v>
      </c>
      <c r="C89" s="70">
        <f t="shared" ref="C89:H89" si="55">SUM(C82:C88)</f>
        <v>0</v>
      </c>
      <c r="D89" s="40">
        <f t="shared" si="55"/>
        <v>0</v>
      </c>
      <c r="E89" s="41">
        <f t="shared" si="55"/>
        <v>0</v>
      </c>
      <c r="F89" s="41">
        <f t="shared" si="55"/>
        <v>0</v>
      </c>
      <c r="G89" s="41">
        <f t="shared" si="55"/>
        <v>0</v>
      </c>
      <c r="H89" s="42">
        <f t="shared" si="55"/>
        <v>0</v>
      </c>
      <c r="I89" s="16"/>
      <c r="J89" s="14"/>
      <c r="K89" s="75">
        <f t="shared" ref="K89" si="56">SUM(K82:K88)</f>
        <v>0</v>
      </c>
      <c r="L89" s="297" t="str">
        <f>IFERROR(K89/C89,"")</f>
        <v/>
      </c>
      <c r="M89" s="92">
        <f>SUM(M82:M88)</f>
        <v>0</v>
      </c>
      <c r="N89" s="93">
        <f>SUM(N82:N88)</f>
        <v>0</v>
      </c>
      <c r="O89" s="93">
        <f>SUM(O82:O88)</f>
        <v>0</v>
      </c>
      <c r="P89" s="93">
        <f>SUM(P82:P88)</f>
        <v>0</v>
      </c>
      <c r="Q89" s="94">
        <f>SUM(Q82:Q88)</f>
        <v>0</v>
      </c>
      <c r="R89" s="16"/>
      <c r="T89" s="75">
        <f>SUM(T82:T88)</f>
        <v>0</v>
      </c>
      <c r="U89" s="297" t="str">
        <f t="shared" ref="U89" si="57">IFERROR(T89/C89,"")</f>
        <v/>
      </c>
    </row>
    <row r="91" spans="1:21" x14ac:dyDescent="0.25">
      <c r="A91" s="6" t="s">
        <v>155</v>
      </c>
    </row>
    <row r="93" spans="1:21" x14ac:dyDescent="0.25">
      <c r="C93" s="406" t="s">
        <v>149</v>
      </c>
      <c r="D93" s="406"/>
      <c r="E93" s="406" t="s">
        <v>150</v>
      </c>
      <c r="F93" s="406"/>
      <c r="G93" s="406"/>
      <c r="H93" s="406"/>
      <c r="I93" s="406" t="s">
        <v>153</v>
      </c>
      <c r="J93" s="406"/>
      <c r="K93" s="406"/>
      <c r="L93" s="406"/>
    </row>
    <row r="94" spans="1:21" x14ac:dyDescent="0.25">
      <c r="C94" s="113" t="s">
        <v>147</v>
      </c>
      <c r="D94" s="113" t="s">
        <v>148</v>
      </c>
      <c r="E94" s="114" t="s">
        <v>147</v>
      </c>
      <c r="F94" s="114" t="s">
        <v>148</v>
      </c>
      <c r="G94" s="114" t="s">
        <v>151</v>
      </c>
      <c r="H94" s="114" t="s">
        <v>152</v>
      </c>
      <c r="I94" s="114" t="s">
        <v>147</v>
      </c>
      <c r="J94" s="114" t="s">
        <v>148</v>
      </c>
      <c r="K94" s="114" t="s">
        <v>151</v>
      </c>
      <c r="L94" s="114" t="s">
        <v>152</v>
      </c>
    </row>
    <row r="95" spans="1:21" ht="19.899999999999999" customHeight="1" x14ac:dyDescent="0.25">
      <c r="C95" s="115">
        <f>IFERROR(INDEX(RESX!$M:$M,MATCH($C$5,RESX!$C:$C,0),1),"")</f>
        <v>0</v>
      </c>
      <c r="D95" s="116">
        <f>IFERROR(INDEX(RESX!$N:$N,MATCH($C$5,RESX!$C:$C,0),1),"")</f>
        <v>0</v>
      </c>
      <c r="E95" s="115">
        <f>IFERROR(SUMIFS(FACTURA!$S:$S,FACTURA!AA:AA,PORVENDEDOR!$C$5),"")</f>
        <v>0</v>
      </c>
      <c r="F95" s="117">
        <f>IFERROR(COUNTIFS(FACTURA!$AA:$AA,PORVENDEDOR!$C$5,FACTURA!$AM:$AM,1),"")</f>
        <v>0</v>
      </c>
      <c r="G95" s="118">
        <f>IFERROR(E95/C95,0)</f>
        <v>0</v>
      </c>
      <c r="H95" s="119">
        <f>IFERROR(F95/D95,0)</f>
        <v>0</v>
      </c>
      <c r="I95" s="115">
        <f>IFERROR(SUMIFS(PEDIDO!$S:$S,PEDIDO!AA:AA,PORVENDEDOR!$C$5),"")</f>
        <v>0</v>
      </c>
      <c r="J95" s="117">
        <f>IFERROR(COUNTIFS(PEDIDO!$AA:$AA,PORVENDEDOR!$C$5,PEDIDO!$AM:$AM,1),"")</f>
        <v>0</v>
      </c>
      <c r="K95" s="118">
        <f>IFERROR(I95/C95,0)</f>
        <v>0</v>
      </c>
      <c r="L95" s="119">
        <f>IFERROR(J95/D95,0)</f>
        <v>0</v>
      </c>
    </row>
  </sheetData>
  <mergeCells count="42">
    <mergeCell ref="U80:U81"/>
    <mergeCell ref="M65:M66"/>
    <mergeCell ref="N65:P65"/>
    <mergeCell ref="T65:T66"/>
    <mergeCell ref="U65:U66"/>
    <mergeCell ref="M64:T64"/>
    <mergeCell ref="Q65:Q66"/>
    <mergeCell ref="L65:L66"/>
    <mergeCell ref="I65:I66"/>
    <mergeCell ref="K65:K66"/>
    <mergeCell ref="C93:D93"/>
    <mergeCell ref="E93:H93"/>
    <mergeCell ref="I93:L93"/>
    <mergeCell ref="A2:H2"/>
    <mergeCell ref="A1:H1"/>
    <mergeCell ref="L80:L81"/>
    <mergeCell ref="D79:K79"/>
    <mergeCell ref="D14:E14"/>
    <mergeCell ref="F14:G14"/>
    <mergeCell ref="K80:K81"/>
    <mergeCell ref="D64:K64"/>
    <mergeCell ref="C4:F4"/>
    <mergeCell ref="C80:C81"/>
    <mergeCell ref="J65:J66"/>
    <mergeCell ref="C65:C66"/>
    <mergeCell ref="J80:J81"/>
    <mergeCell ref="D80:D81"/>
    <mergeCell ref="H80:H81"/>
    <mergeCell ref="D65:D66"/>
    <mergeCell ref="H65:H66"/>
    <mergeCell ref="S65:S66"/>
    <mergeCell ref="E65:G65"/>
    <mergeCell ref="R65:R66"/>
    <mergeCell ref="Q80:Q81"/>
    <mergeCell ref="I80:I81"/>
    <mergeCell ref="E80:G80"/>
    <mergeCell ref="M79:T79"/>
    <mergeCell ref="N80:P80"/>
    <mergeCell ref="T80:T81"/>
    <mergeCell ref="M80:M81"/>
    <mergeCell ref="R80:R81"/>
    <mergeCell ref="S80:S81"/>
  </mergeCells>
  <conditionalFormatting sqref="S32:AW32">
    <cfRule type="expression" dxfId="3" priority="4">
      <formula>S30</formula>
    </cfRule>
  </conditionalFormatting>
  <conditionalFormatting sqref="S33:AW33">
    <cfRule type="expression" dxfId="2" priority="3">
      <formula>S30</formula>
    </cfRule>
  </conditionalFormatting>
  <conditionalFormatting sqref="S49:AW49">
    <cfRule type="expression" dxfId="1" priority="2">
      <formula>S30</formula>
    </cfRule>
  </conditionalFormatting>
  <conditionalFormatting sqref="S51:AW51">
    <cfRule type="expression" dxfId="0" priority="1">
      <formula>S30</formula>
    </cfRule>
  </conditionalFormatting>
  <pageMargins left="0.7" right="0.7" top="0.75" bottom="0.75" header="0.3" footer="0.3"/>
  <pageSetup orientation="portrait" r:id="rId1"/>
  <ignoredErrors>
    <ignoredError sqref="L75 L89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RESX!$D$2:$D$21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velocimetro"/>
  <dimension ref="A1:M49"/>
  <sheetViews>
    <sheetView topLeftCell="A2" workbookViewId="0">
      <selection activeCell="L22" sqref="L22"/>
    </sheetView>
  </sheetViews>
  <sheetFormatPr baseColWidth="10" defaultRowHeight="15" x14ac:dyDescent="0.25"/>
  <sheetData>
    <row r="1" spans="1:12" ht="21.75" hidden="1" customHeight="1" x14ac:dyDescent="0.25"/>
    <row r="2" spans="1:12" x14ac:dyDescent="0.25">
      <c r="A2" s="428" t="s">
        <v>156</v>
      </c>
      <c r="B2" s="429"/>
      <c r="F2" s="428" t="s">
        <v>157</v>
      </c>
      <c r="G2" s="429"/>
      <c r="K2" s="428" t="s">
        <v>249</v>
      </c>
      <c r="L2" s="429"/>
    </row>
    <row r="3" spans="1:12" x14ac:dyDescent="0.25">
      <c r="A3" s="280">
        <v>0</v>
      </c>
      <c r="B3" s="58">
        <v>1</v>
      </c>
      <c r="F3" s="282">
        <v>0</v>
      </c>
      <c r="G3" s="56">
        <v>1</v>
      </c>
      <c r="K3" s="282">
        <v>0</v>
      </c>
      <c r="L3" s="56">
        <v>1</v>
      </c>
    </row>
    <row r="4" spans="1:12" x14ac:dyDescent="0.25">
      <c r="A4" s="280">
        <v>0.1</v>
      </c>
      <c r="B4" s="58">
        <v>1</v>
      </c>
      <c r="F4" s="280">
        <v>0.1</v>
      </c>
      <c r="G4" s="58">
        <v>1</v>
      </c>
      <c r="K4" s="280">
        <v>0.1</v>
      </c>
      <c r="L4" s="58">
        <v>1</v>
      </c>
    </row>
    <row r="5" spans="1:12" x14ac:dyDescent="0.25">
      <c r="A5" s="280">
        <v>0.2</v>
      </c>
      <c r="B5" s="58">
        <v>1</v>
      </c>
      <c r="F5" s="280">
        <v>0.2</v>
      </c>
      <c r="G5" s="58">
        <v>1</v>
      </c>
      <c r="K5" s="280">
        <v>0.2</v>
      </c>
      <c r="L5" s="58">
        <v>1</v>
      </c>
    </row>
    <row r="6" spans="1:12" x14ac:dyDescent="0.25">
      <c r="A6" s="280">
        <v>0.3</v>
      </c>
      <c r="B6" s="58">
        <v>1</v>
      </c>
      <c r="F6" s="280">
        <v>0.3</v>
      </c>
      <c r="G6" s="58">
        <v>1</v>
      </c>
      <c r="K6" s="280">
        <v>0.3</v>
      </c>
      <c r="L6" s="58">
        <v>1</v>
      </c>
    </row>
    <row r="7" spans="1:12" x14ac:dyDescent="0.25">
      <c r="A7" s="280">
        <v>0.4</v>
      </c>
      <c r="B7" s="58">
        <v>1</v>
      </c>
      <c r="F7" s="280">
        <v>0.4</v>
      </c>
      <c r="G7" s="58">
        <v>1</v>
      </c>
      <c r="K7" s="280">
        <v>0.4</v>
      </c>
      <c r="L7" s="58">
        <v>1</v>
      </c>
    </row>
    <row r="8" spans="1:12" x14ac:dyDescent="0.25">
      <c r="A8" s="280">
        <v>0.5</v>
      </c>
      <c r="B8" s="58">
        <v>1</v>
      </c>
      <c r="F8" s="280">
        <v>0.5</v>
      </c>
      <c r="G8" s="58">
        <v>1</v>
      </c>
      <c r="K8" s="280">
        <v>0.5</v>
      </c>
      <c r="L8" s="58">
        <v>1</v>
      </c>
    </row>
    <row r="9" spans="1:12" x14ac:dyDescent="0.25">
      <c r="A9" s="280">
        <v>0.6</v>
      </c>
      <c r="B9" s="58">
        <v>1</v>
      </c>
      <c r="F9" s="280">
        <v>0.6</v>
      </c>
      <c r="G9" s="58">
        <v>1</v>
      </c>
      <c r="K9" s="280">
        <v>0.6</v>
      </c>
      <c r="L9" s="58">
        <v>1</v>
      </c>
    </row>
    <row r="10" spans="1:12" x14ac:dyDescent="0.25">
      <c r="A10" s="280">
        <v>0.7</v>
      </c>
      <c r="B10" s="58">
        <v>1</v>
      </c>
      <c r="F10" s="280">
        <v>0.7</v>
      </c>
      <c r="G10" s="58">
        <v>1</v>
      </c>
      <c r="K10" s="280">
        <v>0.7</v>
      </c>
      <c r="L10" s="58">
        <v>1</v>
      </c>
    </row>
    <row r="11" spans="1:12" x14ac:dyDescent="0.25">
      <c r="A11" s="280">
        <v>0.8</v>
      </c>
      <c r="B11" s="58">
        <v>1</v>
      </c>
      <c r="F11" s="280">
        <v>0.8</v>
      </c>
      <c r="G11" s="58">
        <v>1</v>
      </c>
      <c r="K11" s="280">
        <v>0.8</v>
      </c>
      <c r="L11" s="58">
        <v>1</v>
      </c>
    </row>
    <row r="12" spans="1:12" x14ac:dyDescent="0.25">
      <c r="A12" s="280">
        <v>0.9</v>
      </c>
      <c r="B12" s="58">
        <v>1</v>
      </c>
      <c r="F12" s="280">
        <v>0.9</v>
      </c>
      <c r="G12" s="58">
        <v>1</v>
      </c>
      <c r="K12" s="280">
        <v>0.9</v>
      </c>
      <c r="L12" s="58">
        <v>1</v>
      </c>
    </row>
    <row r="13" spans="1:12" x14ac:dyDescent="0.25">
      <c r="A13" s="281">
        <v>1</v>
      </c>
      <c r="B13" s="60">
        <v>10</v>
      </c>
      <c r="F13" s="281">
        <v>1</v>
      </c>
      <c r="G13" s="60">
        <v>10</v>
      </c>
      <c r="K13" s="281">
        <v>1</v>
      </c>
      <c r="L13" s="60">
        <v>10</v>
      </c>
    </row>
    <row r="16" spans="1:12" x14ac:dyDescent="0.25">
      <c r="A16" s="283" t="s">
        <v>158</v>
      </c>
      <c r="B16" s="346">
        <f>IFERROR(RESUMEN!$S$19,0)</f>
        <v>0</v>
      </c>
      <c r="F16" s="283" t="s">
        <v>158</v>
      </c>
      <c r="G16" s="346">
        <f>IFERROR(RESUMEN!$Q$19,0)</f>
        <v>0</v>
      </c>
      <c r="K16" s="283" t="s">
        <v>158</v>
      </c>
      <c r="L16" s="346">
        <f>IFERROR(RESUMEN!$U$19,0)</f>
        <v>0</v>
      </c>
    </row>
    <row r="18" spans="1:13" x14ac:dyDescent="0.25">
      <c r="A18" s="284" t="s">
        <v>159</v>
      </c>
      <c r="B18" s="194">
        <f>B16*PI()</f>
        <v>0</v>
      </c>
      <c r="F18" s="284" t="s">
        <v>159</v>
      </c>
      <c r="G18" s="194">
        <f>+G16*PI()</f>
        <v>0</v>
      </c>
      <c r="K18" s="284" t="s">
        <v>159</v>
      </c>
      <c r="L18" s="194">
        <f>+L16*PI()</f>
        <v>0</v>
      </c>
    </row>
    <row r="20" spans="1:13" x14ac:dyDescent="0.25">
      <c r="A20" s="283" t="s">
        <v>160</v>
      </c>
      <c r="B20" s="285" t="s">
        <v>81</v>
      </c>
      <c r="C20" s="286" t="s">
        <v>161</v>
      </c>
      <c r="F20" s="283" t="s">
        <v>160</v>
      </c>
      <c r="G20" s="285" t="s">
        <v>81</v>
      </c>
      <c r="H20" s="286" t="s">
        <v>161</v>
      </c>
      <c r="K20" s="283" t="s">
        <v>160</v>
      </c>
      <c r="L20" s="342" t="s">
        <v>81</v>
      </c>
      <c r="M20" s="343" t="s">
        <v>161</v>
      </c>
    </row>
    <row r="21" spans="1:13" x14ac:dyDescent="0.25">
      <c r="A21" s="55">
        <v>1</v>
      </c>
      <c r="B21" s="13">
        <v>0</v>
      </c>
      <c r="C21" s="56">
        <v>0</v>
      </c>
      <c r="F21" s="55">
        <v>1</v>
      </c>
      <c r="G21" s="13">
        <v>0</v>
      </c>
      <c r="H21" s="56">
        <v>0</v>
      </c>
      <c r="K21" s="55">
        <v>1</v>
      </c>
      <c r="L21" s="13">
        <v>0</v>
      </c>
      <c r="M21" s="56">
        <v>0</v>
      </c>
    </row>
    <row r="22" spans="1:13" x14ac:dyDescent="0.25">
      <c r="A22" s="59">
        <v>2</v>
      </c>
      <c r="B22" s="47">
        <f>-COS(B18)</f>
        <v>-1</v>
      </c>
      <c r="C22" s="60">
        <f>SIN(B18)</f>
        <v>0</v>
      </c>
      <c r="F22" s="59">
        <v>2</v>
      </c>
      <c r="G22" s="47">
        <f>-COS(G18)</f>
        <v>-1</v>
      </c>
      <c r="H22" s="60">
        <f>+SIN(G18)</f>
        <v>0</v>
      </c>
      <c r="K22" s="59">
        <v>2</v>
      </c>
      <c r="L22" s="47">
        <f>-COS(L18)</f>
        <v>-1</v>
      </c>
      <c r="M22" s="60">
        <f>+SIN(L18)</f>
        <v>0</v>
      </c>
    </row>
    <row r="27" spans="1:13" x14ac:dyDescent="0.25">
      <c r="A27" s="6" t="s">
        <v>252</v>
      </c>
    </row>
    <row r="29" spans="1:13" x14ac:dyDescent="0.25">
      <c r="A29" s="428" t="s">
        <v>156</v>
      </c>
      <c r="B29" s="429"/>
      <c r="F29" s="428" t="s">
        <v>157</v>
      </c>
      <c r="G29" s="429"/>
    </row>
    <row r="30" spans="1:13" x14ac:dyDescent="0.25">
      <c r="A30" s="280">
        <v>0</v>
      </c>
      <c r="B30" s="58">
        <v>1</v>
      </c>
      <c r="F30" s="282">
        <v>0</v>
      </c>
      <c r="G30" s="56">
        <v>1</v>
      </c>
    </row>
    <row r="31" spans="1:13" x14ac:dyDescent="0.25">
      <c r="A31" s="280">
        <v>0.1</v>
      </c>
      <c r="B31" s="58">
        <v>1</v>
      </c>
      <c r="F31" s="280">
        <v>0.1</v>
      </c>
      <c r="G31" s="58">
        <v>1</v>
      </c>
    </row>
    <row r="32" spans="1:13" x14ac:dyDescent="0.25">
      <c r="A32" s="280">
        <v>0.2</v>
      </c>
      <c r="B32" s="58">
        <v>1</v>
      </c>
      <c r="F32" s="280">
        <v>0.2</v>
      </c>
      <c r="G32" s="58">
        <v>1</v>
      </c>
    </row>
    <row r="33" spans="1:8" x14ac:dyDescent="0.25">
      <c r="A33" s="280">
        <v>0.3</v>
      </c>
      <c r="B33" s="58">
        <v>1</v>
      </c>
      <c r="F33" s="280">
        <v>0.3</v>
      </c>
      <c r="G33" s="58">
        <v>1</v>
      </c>
    </row>
    <row r="34" spans="1:8" x14ac:dyDescent="0.25">
      <c r="A34" s="280">
        <v>0.4</v>
      </c>
      <c r="B34" s="58">
        <v>1</v>
      </c>
      <c r="F34" s="280">
        <v>0.4</v>
      </c>
      <c r="G34" s="58">
        <v>1</v>
      </c>
    </row>
    <row r="35" spans="1:8" x14ac:dyDescent="0.25">
      <c r="A35" s="280">
        <v>0.5</v>
      </c>
      <c r="B35" s="58">
        <v>1</v>
      </c>
      <c r="F35" s="280">
        <v>0.5</v>
      </c>
      <c r="G35" s="58">
        <v>1</v>
      </c>
    </row>
    <row r="36" spans="1:8" x14ac:dyDescent="0.25">
      <c r="A36" s="280">
        <v>0.6</v>
      </c>
      <c r="B36" s="58">
        <v>1</v>
      </c>
      <c r="F36" s="280">
        <v>0.6</v>
      </c>
      <c r="G36" s="58">
        <v>1</v>
      </c>
    </row>
    <row r="37" spans="1:8" x14ac:dyDescent="0.25">
      <c r="A37" s="280">
        <v>0.7</v>
      </c>
      <c r="B37" s="58">
        <v>1</v>
      </c>
      <c r="F37" s="280">
        <v>0.7</v>
      </c>
      <c r="G37" s="58">
        <v>1</v>
      </c>
    </row>
    <row r="38" spans="1:8" x14ac:dyDescent="0.25">
      <c r="A38" s="280">
        <v>0.8</v>
      </c>
      <c r="B38" s="58">
        <v>1</v>
      </c>
      <c r="F38" s="280">
        <v>0.8</v>
      </c>
      <c r="G38" s="58">
        <v>1</v>
      </c>
    </row>
    <row r="39" spans="1:8" x14ac:dyDescent="0.25">
      <c r="A39" s="280">
        <v>0.9</v>
      </c>
      <c r="B39" s="58">
        <v>1</v>
      </c>
      <c r="F39" s="280">
        <v>0.9</v>
      </c>
      <c r="G39" s="58">
        <v>1</v>
      </c>
    </row>
    <row r="40" spans="1:8" x14ac:dyDescent="0.25">
      <c r="A40" s="281">
        <v>1</v>
      </c>
      <c r="B40" s="60">
        <v>10</v>
      </c>
      <c r="F40" s="281">
        <v>1</v>
      </c>
      <c r="G40" s="60">
        <v>10</v>
      </c>
    </row>
    <row r="43" spans="1:8" x14ac:dyDescent="0.25">
      <c r="A43" s="283" t="s">
        <v>158</v>
      </c>
      <c r="B43" s="349">
        <f>IFERROR(PORVENDEDOR!$AQ$5,0)</f>
        <v>0</v>
      </c>
      <c r="F43" s="283" t="s">
        <v>158</v>
      </c>
      <c r="G43" s="349">
        <f>IFERROR(PORVENDEDOR!$AR$5,0)</f>
        <v>0</v>
      </c>
    </row>
    <row r="45" spans="1:8" x14ac:dyDescent="0.25">
      <c r="A45" s="284" t="s">
        <v>159</v>
      </c>
      <c r="B45" s="194">
        <f>B43*PI()</f>
        <v>0</v>
      </c>
      <c r="F45" s="284" t="s">
        <v>159</v>
      </c>
      <c r="G45" s="194">
        <f>+G43*PI()</f>
        <v>0</v>
      </c>
    </row>
    <row r="47" spans="1:8" x14ac:dyDescent="0.25">
      <c r="A47" s="283" t="s">
        <v>160</v>
      </c>
      <c r="B47" s="342" t="s">
        <v>81</v>
      </c>
      <c r="C47" s="343" t="s">
        <v>161</v>
      </c>
      <c r="F47" s="283" t="s">
        <v>160</v>
      </c>
      <c r="G47" s="342" t="s">
        <v>81</v>
      </c>
      <c r="H47" s="343" t="s">
        <v>161</v>
      </c>
    </row>
    <row r="48" spans="1:8" x14ac:dyDescent="0.25">
      <c r="A48" s="55">
        <v>1</v>
      </c>
      <c r="B48" s="13">
        <v>0</v>
      </c>
      <c r="C48" s="56">
        <v>0</v>
      </c>
      <c r="F48" s="55">
        <v>1</v>
      </c>
      <c r="G48" s="13">
        <v>0</v>
      </c>
      <c r="H48" s="56">
        <v>0</v>
      </c>
    </row>
    <row r="49" spans="1:8" x14ac:dyDescent="0.25">
      <c r="A49" s="59">
        <v>2</v>
      </c>
      <c r="B49" s="47">
        <f>-COS(B45)</f>
        <v>-1</v>
      </c>
      <c r="C49" s="60">
        <f>SIN(B45)</f>
        <v>0</v>
      </c>
      <c r="F49" s="59">
        <v>2</v>
      </c>
      <c r="G49" s="47">
        <f>-COS(G45)</f>
        <v>-1</v>
      </c>
      <c r="H49" s="60">
        <f>+SIN(G45)</f>
        <v>0</v>
      </c>
    </row>
  </sheetData>
  <mergeCells count="5">
    <mergeCell ref="A2:B2"/>
    <mergeCell ref="F2:G2"/>
    <mergeCell ref="K2:L2"/>
    <mergeCell ref="A29:B29"/>
    <mergeCell ref="F29:G2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factura"/>
  <dimension ref="A1:AR2"/>
  <sheetViews>
    <sheetView zoomScale="85" zoomScaleNormal="8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7" max="7" width="12" customWidth="1"/>
    <col min="30" max="30" width="17.28515625" bestFit="1" customWidth="1"/>
  </cols>
  <sheetData>
    <row r="1" spans="1:44" x14ac:dyDescent="0.25">
      <c r="A1" s="195" t="s">
        <v>105</v>
      </c>
      <c r="B1" s="195" t="s">
        <v>175</v>
      </c>
      <c r="C1" s="195" t="s">
        <v>176</v>
      </c>
      <c r="D1" s="195" t="s">
        <v>177</v>
      </c>
      <c r="E1" s="195" t="s">
        <v>178</v>
      </c>
      <c r="F1" s="195" t="s">
        <v>114</v>
      </c>
      <c r="G1" s="195" t="s">
        <v>179</v>
      </c>
      <c r="H1" s="195" t="s">
        <v>112</v>
      </c>
      <c r="I1" s="195" t="s">
        <v>113</v>
      </c>
      <c r="J1" s="195" t="s">
        <v>115</v>
      </c>
      <c r="K1" s="195" t="s">
        <v>180</v>
      </c>
      <c r="L1" s="195" t="s">
        <v>181</v>
      </c>
      <c r="M1" s="195" t="s">
        <v>107</v>
      </c>
      <c r="N1" s="195" t="s">
        <v>11</v>
      </c>
      <c r="O1" s="195" t="s">
        <v>182</v>
      </c>
      <c r="P1" s="195" t="s">
        <v>183</v>
      </c>
      <c r="Q1" s="195" t="s">
        <v>184</v>
      </c>
      <c r="R1" s="195" t="s">
        <v>185</v>
      </c>
      <c r="S1" s="195" t="s">
        <v>186</v>
      </c>
      <c r="T1" s="195" t="s">
        <v>187</v>
      </c>
      <c r="U1" s="195" t="s">
        <v>51</v>
      </c>
      <c r="V1" s="195" t="s">
        <v>188</v>
      </c>
      <c r="W1" s="195" t="s">
        <v>189</v>
      </c>
      <c r="X1" s="195" t="s">
        <v>190</v>
      </c>
      <c r="Y1" s="195" t="s">
        <v>110</v>
      </c>
      <c r="Z1" s="195" t="s">
        <v>191</v>
      </c>
      <c r="AA1" s="195" t="s">
        <v>167</v>
      </c>
      <c r="AB1" s="195" t="s">
        <v>168</v>
      </c>
      <c r="AC1" s="195" t="s">
        <v>192</v>
      </c>
      <c r="AD1" s="195" t="s">
        <v>193</v>
      </c>
      <c r="AE1" s="195" t="s">
        <v>194</v>
      </c>
      <c r="AF1" s="195" t="s">
        <v>195</v>
      </c>
      <c r="AG1" s="195" t="s">
        <v>12</v>
      </c>
      <c r="AH1" s="195" t="s">
        <v>13</v>
      </c>
      <c r="AI1" s="195" t="s">
        <v>14</v>
      </c>
      <c r="AJ1" s="197" t="s">
        <v>210</v>
      </c>
      <c r="AK1" s="247" t="s">
        <v>213</v>
      </c>
      <c r="AL1" s="247" t="s">
        <v>214</v>
      </c>
      <c r="AM1" s="277" t="s">
        <v>224</v>
      </c>
      <c r="AN1" s="277" t="s">
        <v>225</v>
      </c>
      <c r="AO1" s="277" t="s">
        <v>234</v>
      </c>
      <c r="AP1" s="277" t="s">
        <v>205</v>
      </c>
      <c r="AQ1" s="277" t="s">
        <v>206</v>
      </c>
      <c r="AR1" s="277" t="s">
        <v>207</v>
      </c>
    </row>
    <row r="2" spans="1:44" x14ac:dyDescent="0.25">
      <c r="A2" s="65"/>
      <c r="B2" s="65"/>
      <c r="C2" s="65"/>
      <c r="D2" s="65"/>
      <c r="E2" s="65"/>
      <c r="F2" s="65"/>
      <c r="G2" s="196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</row>
  </sheetData>
  <autoFilter ref="A1:AR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pedido"/>
  <dimension ref="A1:AR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7" max="7" width="17.5703125" customWidth="1"/>
    <col min="30" max="30" width="17.28515625" bestFit="1" customWidth="1"/>
  </cols>
  <sheetData>
    <row r="1" spans="1:44" x14ac:dyDescent="0.25">
      <c r="A1" s="195" t="s">
        <v>105</v>
      </c>
      <c r="B1" s="195" t="s">
        <v>175</v>
      </c>
      <c r="C1" s="195" t="s">
        <v>176</v>
      </c>
      <c r="D1" s="195" t="s">
        <v>177</v>
      </c>
      <c r="E1" s="195" t="s">
        <v>178</v>
      </c>
      <c r="F1" s="195" t="s">
        <v>114</v>
      </c>
      <c r="G1" s="195" t="s">
        <v>179</v>
      </c>
      <c r="H1" s="195" t="s">
        <v>112</v>
      </c>
      <c r="I1" s="195" t="s">
        <v>113</v>
      </c>
      <c r="J1" s="195" t="s">
        <v>115</v>
      </c>
      <c r="K1" s="195" t="s">
        <v>180</v>
      </c>
      <c r="L1" s="195" t="s">
        <v>181</v>
      </c>
      <c r="M1" s="195" t="s">
        <v>107</v>
      </c>
      <c r="N1" s="195" t="s">
        <v>11</v>
      </c>
      <c r="O1" s="195" t="s">
        <v>182</v>
      </c>
      <c r="P1" s="195" t="s">
        <v>183</v>
      </c>
      <c r="Q1" s="195" t="s">
        <v>184</v>
      </c>
      <c r="R1" s="195" t="s">
        <v>185</v>
      </c>
      <c r="S1" s="195" t="s">
        <v>186</v>
      </c>
      <c r="T1" s="195" t="s">
        <v>187</v>
      </c>
      <c r="U1" s="195" t="s">
        <v>51</v>
      </c>
      <c r="V1" s="195" t="s">
        <v>188</v>
      </c>
      <c r="W1" s="195" t="s">
        <v>189</v>
      </c>
      <c r="X1" s="195" t="s">
        <v>190</v>
      </c>
      <c r="Y1" s="195" t="s">
        <v>110</v>
      </c>
      <c r="Z1" s="195" t="s">
        <v>191</v>
      </c>
      <c r="AA1" s="195" t="s">
        <v>167</v>
      </c>
      <c r="AB1" s="195" t="s">
        <v>168</v>
      </c>
      <c r="AC1" s="195" t="s">
        <v>192</v>
      </c>
      <c r="AD1" s="195" t="s">
        <v>193</v>
      </c>
      <c r="AE1" s="195" t="s">
        <v>194</v>
      </c>
      <c r="AF1" s="195" t="s">
        <v>195</v>
      </c>
      <c r="AG1" s="195" t="s">
        <v>12</v>
      </c>
      <c r="AH1" s="195" t="s">
        <v>13</v>
      </c>
      <c r="AI1" s="195" t="s">
        <v>14</v>
      </c>
      <c r="AJ1" s="197" t="s">
        <v>210</v>
      </c>
      <c r="AK1" s="247" t="s">
        <v>213</v>
      </c>
      <c r="AL1" s="247" t="s">
        <v>214</v>
      </c>
      <c r="AM1" s="277" t="s">
        <v>224</v>
      </c>
      <c r="AN1" s="277" t="s">
        <v>225</v>
      </c>
      <c r="AO1" s="277" t="s">
        <v>234</v>
      </c>
      <c r="AP1" s="277" t="s">
        <v>205</v>
      </c>
      <c r="AQ1" s="277" t="s">
        <v>206</v>
      </c>
      <c r="AR1" s="277" t="s">
        <v>207</v>
      </c>
    </row>
    <row r="2" spans="1:44" x14ac:dyDescent="0.25">
      <c r="A2" s="65"/>
      <c r="B2" s="65"/>
      <c r="C2" s="65"/>
      <c r="D2" s="65"/>
      <c r="E2" s="65"/>
      <c r="F2" s="65"/>
      <c r="G2" s="196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</row>
  </sheetData>
  <autoFilter ref="A1:AR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visita"/>
  <dimension ref="A1:AM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sheetData>
    <row r="1" spans="1:39" x14ac:dyDescent="0.25">
      <c r="A1" s="195" t="s">
        <v>105</v>
      </c>
      <c r="B1" s="195" t="s">
        <v>106</v>
      </c>
      <c r="C1" s="195" t="s">
        <v>107</v>
      </c>
      <c r="D1" s="195" t="s">
        <v>11</v>
      </c>
      <c r="E1" s="195" t="s">
        <v>108</v>
      </c>
      <c r="F1" s="195" t="s">
        <v>109</v>
      </c>
      <c r="G1" s="195" t="s">
        <v>110</v>
      </c>
      <c r="H1" s="195" t="s">
        <v>111</v>
      </c>
      <c r="I1" s="195" t="s">
        <v>112</v>
      </c>
      <c r="J1" s="195" t="s">
        <v>113</v>
      </c>
      <c r="K1" s="195" t="s">
        <v>114</v>
      </c>
      <c r="L1" s="195" t="s">
        <v>115</v>
      </c>
      <c r="M1" s="195" t="s">
        <v>116</v>
      </c>
      <c r="N1" s="195" t="s">
        <v>117</v>
      </c>
      <c r="O1" s="195" t="s">
        <v>118</v>
      </c>
      <c r="P1" s="195" t="s">
        <v>119</v>
      </c>
      <c r="Q1" s="195" t="s">
        <v>170</v>
      </c>
      <c r="R1" s="195" t="s">
        <v>171</v>
      </c>
      <c r="S1" s="195" t="s">
        <v>172</v>
      </c>
      <c r="T1" s="195" t="s">
        <v>173</v>
      </c>
      <c r="U1" s="195" t="s">
        <v>120</v>
      </c>
      <c r="V1" s="195" t="s">
        <v>121</v>
      </c>
      <c r="W1" s="195" t="s">
        <v>122</v>
      </c>
      <c r="X1" s="195" t="s">
        <v>123</v>
      </c>
      <c r="Y1" s="195" t="s">
        <v>124</v>
      </c>
      <c r="Z1" s="195" t="s">
        <v>125</v>
      </c>
      <c r="AA1" s="195" t="s">
        <v>126</v>
      </c>
      <c r="AB1" s="195" t="s">
        <v>127</v>
      </c>
      <c r="AC1" s="195" t="s">
        <v>128</v>
      </c>
      <c r="AD1" s="195" t="s">
        <v>51</v>
      </c>
      <c r="AE1" s="195" t="s">
        <v>52</v>
      </c>
      <c r="AF1" s="195" t="s">
        <v>50</v>
      </c>
      <c r="AG1" s="195" t="s">
        <v>129</v>
      </c>
      <c r="AH1" s="195" t="s">
        <v>130</v>
      </c>
      <c r="AI1" s="195" t="s">
        <v>131</v>
      </c>
      <c r="AJ1" s="195" t="s">
        <v>132</v>
      </c>
      <c r="AK1" s="195" t="s">
        <v>167</v>
      </c>
      <c r="AL1" s="195" t="s">
        <v>168</v>
      </c>
      <c r="AM1" s="195" t="s">
        <v>169</v>
      </c>
    </row>
    <row r="2" spans="1:39" x14ac:dyDescent="0.2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196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</row>
  </sheetData>
  <autoFilter ref="A1:AM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cliente"/>
  <dimension ref="A1:BI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sheetData>
    <row r="1" spans="1:61" x14ac:dyDescent="0.25">
      <c r="A1" s="195" t="s">
        <v>16</v>
      </c>
      <c r="B1" s="195" t="s">
        <v>17</v>
      </c>
      <c r="C1" s="195" t="s">
        <v>18</v>
      </c>
      <c r="D1" s="195" t="s">
        <v>19</v>
      </c>
      <c r="E1" s="195" t="s">
        <v>20</v>
      </c>
      <c r="F1" s="195" t="s">
        <v>21</v>
      </c>
      <c r="G1" s="195" t="s">
        <v>22</v>
      </c>
      <c r="H1" s="195" t="s">
        <v>23</v>
      </c>
      <c r="I1" s="195" t="s">
        <v>24</v>
      </c>
      <c r="J1" s="195" t="s">
        <v>25</v>
      </c>
      <c r="K1" s="195" t="s">
        <v>26</v>
      </c>
      <c r="L1" s="195" t="s">
        <v>9</v>
      </c>
      <c r="M1" s="195" t="s">
        <v>27</v>
      </c>
      <c r="N1" s="195" t="s">
        <v>28</v>
      </c>
      <c r="O1" s="195" t="s">
        <v>29</v>
      </c>
      <c r="P1" s="195" t="s">
        <v>30</v>
      </c>
      <c r="Q1" s="195" t="s">
        <v>31</v>
      </c>
      <c r="R1" s="195" t="s">
        <v>32</v>
      </c>
      <c r="S1" s="195" t="s">
        <v>33</v>
      </c>
      <c r="T1" s="195" t="s">
        <v>10</v>
      </c>
      <c r="U1" s="195" t="s">
        <v>34</v>
      </c>
      <c r="V1" s="195" t="s">
        <v>35</v>
      </c>
      <c r="W1" s="195" t="s">
        <v>36</v>
      </c>
      <c r="X1" s="195" t="s">
        <v>37</v>
      </c>
      <c r="Y1" s="195" t="s">
        <v>38</v>
      </c>
      <c r="Z1" s="195" t="s">
        <v>39</v>
      </c>
      <c r="AA1" s="195" t="s">
        <v>40</v>
      </c>
      <c r="AB1" s="195" t="s">
        <v>41</v>
      </c>
      <c r="AC1" s="195" t="s">
        <v>42</v>
      </c>
      <c r="AD1" s="195" t="s">
        <v>43</v>
      </c>
      <c r="AE1" s="195" t="s">
        <v>44</v>
      </c>
      <c r="AF1" s="195" t="s">
        <v>45</v>
      </c>
      <c r="AG1" s="195" t="s">
        <v>46</v>
      </c>
      <c r="AH1" s="195" t="s">
        <v>47</v>
      </c>
      <c r="AI1" s="195" t="s">
        <v>48</v>
      </c>
      <c r="AJ1" s="195" t="s">
        <v>49</v>
      </c>
      <c r="AK1" s="195" t="s">
        <v>50</v>
      </c>
      <c r="AL1" s="195" t="s">
        <v>51</v>
      </c>
      <c r="AM1" s="195" t="s">
        <v>52</v>
      </c>
      <c r="AN1" s="195" t="s">
        <v>53</v>
      </c>
      <c r="AO1" s="195" t="s">
        <v>54</v>
      </c>
      <c r="AP1" s="195" t="s">
        <v>55</v>
      </c>
      <c r="AQ1" s="195" t="s">
        <v>56</v>
      </c>
      <c r="AR1" s="195" t="s">
        <v>57</v>
      </c>
      <c r="AS1" s="195" t="s">
        <v>58</v>
      </c>
      <c r="AT1" s="195" t="s">
        <v>59</v>
      </c>
      <c r="AU1" s="195" t="s">
        <v>60</v>
      </c>
      <c r="AV1" s="195" t="s">
        <v>61</v>
      </c>
      <c r="AW1" s="195" t="s">
        <v>62</v>
      </c>
      <c r="AX1" s="195" t="s">
        <v>63</v>
      </c>
      <c r="AY1" s="195" t="s">
        <v>64</v>
      </c>
      <c r="AZ1" s="195" t="s">
        <v>65</v>
      </c>
      <c r="BA1" s="195" t="s">
        <v>66</v>
      </c>
      <c r="BB1" s="195" t="s">
        <v>67</v>
      </c>
      <c r="BC1" s="195" t="s">
        <v>68</v>
      </c>
      <c r="BD1" s="195" t="s">
        <v>167</v>
      </c>
      <c r="BE1" s="195" t="s">
        <v>168</v>
      </c>
      <c r="BF1" s="195" t="s">
        <v>210</v>
      </c>
      <c r="BG1" s="195" t="s">
        <v>211</v>
      </c>
      <c r="BH1" s="195" t="s">
        <v>212</v>
      </c>
      <c r="BI1" s="197" t="s">
        <v>245</v>
      </c>
    </row>
    <row r="2" spans="1:61" x14ac:dyDescent="0.2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</row>
  </sheetData>
  <autoFilter ref="A1:BI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vendedor"/>
  <dimension ref="A1:T2"/>
  <sheetViews>
    <sheetView zoomScale="85" zoomScaleNormal="85" workbookViewId="0">
      <pane ySplit="1" topLeftCell="A2" activePane="bottomLeft" state="frozen"/>
      <selection pane="bottomLeft" activeCell="I2" sqref="I2"/>
    </sheetView>
  </sheetViews>
  <sheetFormatPr baseColWidth="10" defaultRowHeight="15" x14ac:dyDescent="0.25"/>
  <sheetData>
    <row r="1" spans="1:20" x14ac:dyDescent="0.25">
      <c r="A1" s="195" t="s">
        <v>105</v>
      </c>
      <c r="B1" s="195" t="s">
        <v>11</v>
      </c>
      <c r="C1" s="195" t="s">
        <v>182</v>
      </c>
      <c r="D1" s="195" t="s">
        <v>47</v>
      </c>
      <c r="E1" s="195" t="s">
        <v>110</v>
      </c>
      <c r="F1" s="195" t="s">
        <v>191</v>
      </c>
      <c r="G1" s="195" t="s">
        <v>167</v>
      </c>
      <c r="H1" s="195" t="s">
        <v>168</v>
      </c>
      <c r="I1" s="195" t="s">
        <v>114</v>
      </c>
      <c r="J1" s="195" t="s">
        <v>174</v>
      </c>
      <c r="K1" s="195" t="s">
        <v>226</v>
      </c>
      <c r="L1" s="195" t="s">
        <v>227</v>
      </c>
      <c r="M1" s="195" t="s">
        <v>196</v>
      </c>
      <c r="N1" s="195" t="s">
        <v>197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7" t="s">
        <v>107</v>
      </c>
      <c r="T1" s="197" t="s">
        <v>234</v>
      </c>
    </row>
    <row r="2" spans="1:20" x14ac:dyDescent="0.2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</row>
  </sheetData>
  <autoFilter ref="A1:T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feriado"/>
  <dimension ref="A1:B1"/>
  <sheetViews>
    <sheetView zoomScale="85" zoomScaleNormal="85" workbookViewId="0">
      <selection activeCell="A2" sqref="A2"/>
    </sheetView>
  </sheetViews>
  <sheetFormatPr baseColWidth="10" defaultRowHeight="15" x14ac:dyDescent="0.25"/>
  <cols>
    <col min="1" max="1" width="13" style="355" customWidth="1"/>
    <col min="2" max="2" width="35" customWidth="1"/>
  </cols>
  <sheetData>
    <row r="1" spans="1:2" x14ac:dyDescent="0.25">
      <c r="A1" s="354" t="s">
        <v>256</v>
      </c>
      <c r="B1" s="194" t="s">
        <v>257</v>
      </c>
    </row>
  </sheetData>
  <autoFilter ref="A1:B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x"/>
  <dimension ref="A1:Q22"/>
  <sheetViews>
    <sheetView zoomScale="85" zoomScaleNormal="85" workbookViewId="0">
      <pane ySplit="1" topLeftCell="A2" activePane="bottomLeft" state="frozen"/>
      <selection pane="bottomLeft" activeCell="Q2" sqref="Q2"/>
    </sheetView>
  </sheetViews>
  <sheetFormatPr baseColWidth="10" defaultRowHeight="15" x14ac:dyDescent="0.25"/>
  <cols>
    <col min="1" max="1" width="10.140625" customWidth="1"/>
    <col min="4" max="4" width="21.85546875" customWidth="1"/>
    <col min="12" max="12" width="14.5703125" customWidth="1"/>
    <col min="13" max="13" width="13.7109375" customWidth="1"/>
    <col min="14" max="14" width="12" customWidth="1"/>
    <col min="15" max="15" width="19.140625" bestFit="1" customWidth="1"/>
  </cols>
  <sheetData>
    <row r="1" spans="1:17" x14ac:dyDescent="0.25">
      <c r="A1" s="194" t="s">
        <v>169</v>
      </c>
      <c r="B1" s="194" t="s">
        <v>105</v>
      </c>
      <c r="C1" s="194" t="s">
        <v>198</v>
      </c>
      <c r="D1" s="194" t="s">
        <v>199</v>
      </c>
      <c r="E1" s="194" t="s">
        <v>174</v>
      </c>
      <c r="F1" s="194" t="s">
        <v>200</v>
      </c>
      <c r="G1" s="194" t="s">
        <v>173</v>
      </c>
      <c r="H1" s="194" t="s">
        <v>201</v>
      </c>
      <c r="I1" s="194" t="s">
        <v>202</v>
      </c>
      <c r="J1" s="194" t="s">
        <v>203</v>
      </c>
      <c r="K1" s="194" t="s">
        <v>204</v>
      </c>
      <c r="L1" s="197" t="s">
        <v>261</v>
      </c>
      <c r="M1" s="197" t="s">
        <v>226</v>
      </c>
      <c r="N1" s="197" t="s">
        <v>227</v>
      </c>
      <c r="O1" s="197" t="s">
        <v>260</v>
      </c>
      <c r="P1" s="194" t="s">
        <v>259</v>
      </c>
      <c r="Q1" s="194" t="s">
        <v>262</v>
      </c>
    </row>
    <row r="2" spans="1:17" x14ac:dyDescent="0.25">
      <c r="A2">
        <v>1</v>
      </c>
      <c r="B2" t="str">
        <f>IFERROR(INDEX(VENDEDOR!$A:$A,MATCH(A2,VENDEDOR!$N:$N,),1),"")</f>
        <v/>
      </c>
      <c r="C2" t="str">
        <f>IFERROR(INDEX(VENDEDOR!$G:$G,MATCH(A2,VENDEDOR!$N:$N,),1),"")</f>
        <v/>
      </c>
      <c r="D2" t="str">
        <f>IFERROR(INDEX(VENDEDOR!$H:$H,MATCH(A2,VENDEDOR!$N:$N,),1),"")</f>
        <v/>
      </c>
      <c r="E2">
        <f>IFERROR(SUMIFS(VENDEDOR!$J:$J,VENDEDOR!$G:$G,C2),"")</f>
        <v>0</v>
      </c>
      <c r="F2">
        <f>IFERROR(SUMIFS(FACTURA!$T:$T,FACTURA!$AA:$AA,C2),"")</f>
        <v>0</v>
      </c>
      <c r="G2">
        <f>IFERROR(SUMIFS(PEDIDO!$T:$T,PEDIDO!$AA:$AA,C2),"")</f>
        <v>0</v>
      </c>
      <c r="H2">
        <f>IFERROR(SUMIFS(COMISION!$F:$F,COMISION!$G:$G,C2),"")</f>
        <v>0</v>
      </c>
      <c r="I2" t="str">
        <f>IFERROR((F2/E2),"")</f>
        <v/>
      </c>
      <c r="J2" t="str">
        <f>IFERROR((G2/E2),"")</f>
        <v/>
      </c>
      <c r="K2" t="str">
        <f>IFERROR(H2/E2,"")</f>
        <v/>
      </c>
      <c r="L2" t="str">
        <f>IFERROR(RANK(K2,$K$2:$K$21),"")</f>
        <v/>
      </c>
      <c r="M2">
        <f>IFERROR(SUMIFS(VENDEDOR!$K:$K,VENDEDOR!$G:$G,C2),"")</f>
        <v>0</v>
      </c>
      <c r="N2">
        <f>IFERROR(SUMIFS(VENDEDOR!$L:$L,VENDEDOR!$G:$G,C2),"")</f>
        <v>0</v>
      </c>
      <c r="O2" t="str">
        <f>IFERROR(RANK(I2,$I$2:$I$21),"")</f>
        <v/>
      </c>
      <c r="P2">
        <f>IFERROR(VENDEDOR!$I$2,"-")</f>
        <v>0</v>
      </c>
      <c r="Q2" t="str">
        <f>IFERROR(IF(P2="REP",L2,O2),0)</f>
        <v/>
      </c>
    </row>
    <row r="3" spans="1:17" x14ac:dyDescent="0.25">
      <c r="A3">
        <v>2</v>
      </c>
      <c r="B3" t="str">
        <f>IFERROR(INDEX(VENDEDOR!$A:$A,MATCH(A3,VENDEDOR!$N:$N,),1),"")</f>
        <v/>
      </c>
      <c r="C3" t="str">
        <f>IFERROR(INDEX(VENDEDOR!$G:$G,MATCH(A3,VENDEDOR!$N:$N,),1),"")</f>
        <v/>
      </c>
      <c r="D3" t="str">
        <f>IFERROR(INDEX(VENDEDOR!$H:$H,MATCH(A3,VENDEDOR!$N:$N,),1),"")</f>
        <v/>
      </c>
      <c r="E3">
        <f>IFERROR(SUMIFS(VENDEDOR!$J:$J,VENDEDOR!$G:$G,C3),"")</f>
        <v>0</v>
      </c>
      <c r="F3">
        <f>IFERROR(SUMIFS(FACTURA!$T:$T,FACTURA!$AA:$AA,C3),"")</f>
        <v>0</v>
      </c>
      <c r="G3">
        <f>IFERROR(SUMIFS(PEDIDO!$T:$T,PEDIDO!$AA:$AA,C3),"")</f>
        <v>0</v>
      </c>
      <c r="H3">
        <f>IFERROR(SUMIFS(COMISION!$F:$F,COMISION!$G:$G,C3),"")</f>
        <v>0</v>
      </c>
      <c r="I3" t="str">
        <f t="shared" ref="I3:I21" si="0">IFERROR((F3/E3),"")</f>
        <v/>
      </c>
      <c r="J3" t="str">
        <f t="shared" ref="J3:J21" si="1">IFERROR((G3/E3),"")</f>
        <v/>
      </c>
      <c r="K3" t="str">
        <f t="shared" ref="K3:K21" si="2">IFERROR(H3/E3,"")</f>
        <v/>
      </c>
      <c r="L3" t="str">
        <f t="shared" ref="L3:L22" si="3">IFERROR(RANK(K3,$K$2:$K$21),"")</f>
        <v/>
      </c>
      <c r="M3">
        <f>IFERROR(SUMIFS(VENDEDOR!$K:$K,VENDEDOR!$G:$G,C3),"")</f>
        <v>0</v>
      </c>
      <c r="N3">
        <f>IFERROR(SUMIFS(VENDEDOR!$L:$L,VENDEDOR!$G:$G,C3),"")</f>
        <v>0</v>
      </c>
      <c r="O3" t="str">
        <f t="shared" ref="O3:O21" si="4">IFERROR(RANK(I3,$I$2:$I$21),"")</f>
        <v/>
      </c>
      <c r="P3">
        <f>IFERROR(VENDEDOR!$I$2,"-")</f>
        <v>0</v>
      </c>
      <c r="Q3" t="str">
        <f t="shared" ref="Q3:Q21" si="5">IFERROR(IF(P3="REP",L3,O3),0)</f>
        <v/>
      </c>
    </row>
    <row r="4" spans="1:17" x14ac:dyDescent="0.25">
      <c r="A4">
        <v>3</v>
      </c>
      <c r="B4" t="str">
        <f>IFERROR(INDEX(VENDEDOR!$A:$A,MATCH(A4,VENDEDOR!$N:$N,),1),"")</f>
        <v/>
      </c>
      <c r="C4" t="str">
        <f>IFERROR(INDEX(VENDEDOR!$G:$G,MATCH(A4,VENDEDOR!$N:$N,),1),"")</f>
        <v/>
      </c>
      <c r="D4" t="str">
        <f>IFERROR(INDEX(VENDEDOR!$H:$H,MATCH(A4,VENDEDOR!$N:$N,),1),"")</f>
        <v/>
      </c>
      <c r="E4">
        <f>IFERROR(SUMIFS(VENDEDOR!$J:$J,VENDEDOR!$G:$G,C4),"")</f>
        <v>0</v>
      </c>
      <c r="F4">
        <f>IFERROR(SUMIFS(FACTURA!$T:$T,FACTURA!$AA:$AA,C4),"")</f>
        <v>0</v>
      </c>
      <c r="G4">
        <f>IFERROR(SUMIFS(PEDIDO!$T:$T,PEDIDO!$AA:$AA,C4),"")</f>
        <v>0</v>
      </c>
      <c r="H4">
        <f>IFERROR(SUMIFS(COMISION!$F:$F,COMISION!$G:$G,C4),"")</f>
        <v>0</v>
      </c>
      <c r="I4" t="str">
        <f t="shared" si="0"/>
        <v/>
      </c>
      <c r="J4" t="str">
        <f t="shared" si="1"/>
        <v/>
      </c>
      <c r="K4" t="str">
        <f t="shared" si="2"/>
        <v/>
      </c>
      <c r="L4" t="str">
        <f t="shared" si="3"/>
        <v/>
      </c>
      <c r="M4">
        <f>IFERROR(SUMIFS(VENDEDOR!$K:$K,VENDEDOR!$G:$G,C4),"")</f>
        <v>0</v>
      </c>
      <c r="N4">
        <f>IFERROR(SUMIFS(VENDEDOR!$L:$L,VENDEDOR!$G:$G,C4),"")</f>
        <v>0</v>
      </c>
      <c r="O4" t="str">
        <f t="shared" si="4"/>
        <v/>
      </c>
      <c r="P4">
        <f>IFERROR(VENDEDOR!$I$2,"-")</f>
        <v>0</v>
      </c>
      <c r="Q4" t="str">
        <f t="shared" si="5"/>
        <v/>
      </c>
    </row>
    <row r="5" spans="1:17" x14ac:dyDescent="0.25">
      <c r="A5">
        <v>4</v>
      </c>
      <c r="B5" t="str">
        <f>IFERROR(INDEX(VENDEDOR!$A:$A,MATCH(A5,VENDEDOR!$N:$N,),1),"")</f>
        <v/>
      </c>
      <c r="C5" t="str">
        <f>IFERROR(INDEX(VENDEDOR!$G:$G,MATCH(A5,VENDEDOR!$N:$N,),1),"")</f>
        <v/>
      </c>
      <c r="D5" t="str">
        <f>IFERROR(INDEX(VENDEDOR!$H:$H,MATCH(A5,VENDEDOR!$N:$N,),1),"")</f>
        <v/>
      </c>
      <c r="E5">
        <f>IFERROR(SUMIFS(VENDEDOR!$J:$J,VENDEDOR!$G:$G,C5),"")</f>
        <v>0</v>
      </c>
      <c r="F5">
        <f>IFERROR(SUMIFS(FACTURA!$T:$T,FACTURA!$AA:$AA,C5),"")</f>
        <v>0</v>
      </c>
      <c r="G5">
        <f>IFERROR(SUMIFS(PEDIDO!$T:$T,PEDIDO!$AA:$AA,C5),"")</f>
        <v>0</v>
      </c>
      <c r="H5">
        <f>IFERROR(SUMIFS(COMISION!$F:$F,COMISION!$G:$G,C5),"")</f>
        <v>0</v>
      </c>
      <c r="I5" t="str">
        <f t="shared" si="0"/>
        <v/>
      </c>
      <c r="J5" t="str">
        <f t="shared" si="1"/>
        <v/>
      </c>
      <c r="K5" t="str">
        <f t="shared" si="2"/>
        <v/>
      </c>
      <c r="L5" t="str">
        <f t="shared" si="3"/>
        <v/>
      </c>
      <c r="M5">
        <f>IFERROR(SUMIFS(VENDEDOR!$K:$K,VENDEDOR!$G:$G,C5),"")</f>
        <v>0</v>
      </c>
      <c r="N5">
        <f>IFERROR(SUMIFS(VENDEDOR!$L:$L,VENDEDOR!$G:$G,C5),"")</f>
        <v>0</v>
      </c>
      <c r="O5" t="str">
        <f t="shared" si="4"/>
        <v/>
      </c>
      <c r="P5">
        <f>IFERROR(VENDEDOR!$I$2,"-")</f>
        <v>0</v>
      </c>
      <c r="Q5" t="str">
        <f t="shared" si="5"/>
        <v/>
      </c>
    </row>
    <row r="6" spans="1:17" x14ac:dyDescent="0.25">
      <c r="A6">
        <v>5</v>
      </c>
      <c r="B6" t="str">
        <f>IFERROR(INDEX(VENDEDOR!$A:$A,MATCH(A6,VENDEDOR!$N:$N,),1),"")</f>
        <v/>
      </c>
      <c r="C6" t="str">
        <f>IFERROR(INDEX(VENDEDOR!$G:$G,MATCH(A6,VENDEDOR!$N:$N,),1),"")</f>
        <v/>
      </c>
      <c r="D6" t="str">
        <f>IFERROR(INDEX(VENDEDOR!$H:$H,MATCH(A6,VENDEDOR!$N:$N,),1),"")</f>
        <v/>
      </c>
      <c r="E6">
        <f>IFERROR(SUMIFS(VENDEDOR!$J:$J,VENDEDOR!$G:$G,C6),"")</f>
        <v>0</v>
      </c>
      <c r="F6">
        <f>IFERROR(SUMIFS(FACTURA!$T:$T,FACTURA!$AA:$AA,C6),"")</f>
        <v>0</v>
      </c>
      <c r="G6">
        <f>IFERROR(SUMIFS(PEDIDO!$T:$T,PEDIDO!$AA:$AA,C6),"")</f>
        <v>0</v>
      </c>
      <c r="H6">
        <f>IFERROR(SUMIFS(COMISION!$F:$F,COMISION!$G:$G,C6),"")</f>
        <v>0</v>
      </c>
      <c r="I6" t="str">
        <f t="shared" si="0"/>
        <v/>
      </c>
      <c r="J6" t="str">
        <f t="shared" si="1"/>
        <v/>
      </c>
      <c r="K6" t="str">
        <f t="shared" si="2"/>
        <v/>
      </c>
      <c r="L6" t="str">
        <f t="shared" si="3"/>
        <v/>
      </c>
      <c r="M6">
        <f>IFERROR(SUMIFS(VENDEDOR!$K:$K,VENDEDOR!$G:$G,C6),"")</f>
        <v>0</v>
      </c>
      <c r="N6">
        <f>IFERROR(SUMIFS(VENDEDOR!$L:$L,VENDEDOR!$G:$G,C6),"")</f>
        <v>0</v>
      </c>
      <c r="O6" t="str">
        <f t="shared" si="4"/>
        <v/>
      </c>
      <c r="P6">
        <f>IFERROR(VENDEDOR!$I$2,"-")</f>
        <v>0</v>
      </c>
      <c r="Q6" t="str">
        <f t="shared" si="5"/>
        <v/>
      </c>
    </row>
    <row r="7" spans="1:17" x14ac:dyDescent="0.25">
      <c r="A7">
        <v>6</v>
      </c>
      <c r="B7" t="str">
        <f>IFERROR(INDEX(VENDEDOR!$A:$A,MATCH(A7,VENDEDOR!$N:$N,),1),"")</f>
        <v/>
      </c>
      <c r="C7" t="str">
        <f>IFERROR(INDEX(VENDEDOR!$G:$G,MATCH(A7,VENDEDOR!$N:$N,),1),"")</f>
        <v/>
      </c>
      <c r="D7" t="str">
        <f>IFERROR(INDEX(VENDEDOR!$H:$H,MATCH(A7,VENDEDOR!$N:$N,),1),"")</f>
        <v/>
      </c>
      <c r="E7">
        <f>IFERROR(SUMIFS(VENDEDOR!$J:$J,VENDEDOR!$G:$G,C7),"")</f>
        <v>0</v>
      </c>
      <c r="F7">
        <f>IFERROR(SUMIFS(FACTURA!$T:$T,FACTURA!$AA:$AA,C7),"")</f>
        <v>0</v>
      </c>
      <c r="G7">
        <f>IFERROR(SUMIFS(PEDIDO!$T:$T,PEDIDO!$AA:$AA,C7),"")</f>
        <v>0</v>
      </c>
      <c r="H7">
        <f>IFERROR(SUMIFS(COMISION!$F:$F,COMISION!$G:$G,C7),"")</f>
        <v>0</v>
      </c>
      <c r="I7" t="str">
        <f t="shared" si="0"/>
        <v/>
      </c>
      <c r="J7" t="str">
        <f t="shared" si="1"/>
        <v/>
      </c>
      <c r="K7" t="str">
        <f t="shared" si="2"/>
        <v/>
      </c>
      <c r="L7" t="str">
        <f t="shared" si="3"/>
        <v/>
      </c>
      <c r="M7">
        <f>IFERROR(SUMIFS(VENDEDOR!$K:$K,VENDEDOR!$G:$G,C7),"")</f>
        <v>0</v>
      </c>
      <c r="N7">
        <f>IFERROR(SUMIFS(VENDEDOR!$L:$L,VENDEDOR!$G:$G,C7),"")</f>
        <v>0</v>
      </c>
      <c r="O7" t="str">
        <f t="shared" si="4"/>
        <v/>
      </c>
      <c r="P7">
        <f>IFERROR(VENDEDOR!$I$2,"-")</f>
        <v>0</v>
      </c>
      <c r="Q7" t="str">
        <f t="shared" si="5"/>
        <v/>
      </c>
    </row>
    <row r="8" spans="1:17" x14ac:dyDescent="0.25">
      <c r="A8">
        <v>7</v>
      </c>
      <c r="B8" t="str">
        <f>IFERROR(INDEX(VENDEDOR!$A:$A,MATCH(A8,VENDEDOR!$N:$N,),1),"")</f>
        <v/>
      </c>
      <c r="C8" t="str">
        <f>IFERROR(INDEX(VENDEDOR!$G:$G,MATCH(A8,VENDEDOR!$N:$N,),1),"")</f>
        <v/>
      </c>
      <c r="D8" t="str">
        <f>IFERROR(INDEX(VENDEDOR!$H:$H,MATCH(A8,VENDEDOR!$N:$N,),1),"")</f>
        <v/>
      </c>
      <c r="E8">
        <f>IFERROR(SUMIFS(VENDEDOR!$J:$J,VENDEDOR!$G:$G,C8),"")</f>
        <v>0</v>
      </c>
      <c r="F8">
        <f>IFERROR(SUMIFS(FACTURA!$T:$T,FACTURA!$AA:$AA,C8),"")</f>
        <v>0</v>
      </c>
      <c r="G8">
        <f>IFERROR(SUMIFS(PEDIDO!$T:$T,PEDIDO!$AA:$AA,C8),"")</f>
        <v>0</v>
      </c>
      <c r="H8">
        <f>IFERROR(SUMIFS(COMISION!$F:$F,COMISION!$G:$G,C8),"")</f>
        <v>0</v>
      </c>
      <c r="I8" t="str">
        <f t="shared" si="0"/>
        <v/>
      </c>
      <c r="J8" t="str">
        <f t="shared" si="1"/>
        <v/>
      </c>
      <c r="K8" t="str">
        <f t="shared" si="2"/>
        <v/>
      </c>
      <c r="L8" t="str">
        <f t="shared" si="3"/>
        <v/>
      </c>
      <c r="M8">
        <f>IFERROR(SUMIFS(VENDEDOR!$K:$K,VENDEDOR!$G:$G,C8),"")</f>
        <v>0</v>
      </c>
      <c r="N8">
        <f>IFERROR(SUMIFS(VENDEDOR!$L:$L,VENDEDOR!$G:$G,C8),"")</f>
        <v>0</v>
      </c>
      <c r="O8" t="str">
        <f t="shared" si="4"/>
        <v/>
      </c>
      <c r="P8">
        <f>IFERROR(VENDEDOR!$I$2,"-")</f>
        <v>0</v>
      </c>
      <c r="Q8" t="str">
        <f t="shared" si="5"/>
        <v/>
      </c>
    </row>
    <row r="9" spans="1:17" x14ac:dyDescent="0.25">
      <c r="A9">
        <v>8</v>
      </c>
      <c r="B9" t="str">
        <f>IFERROR(INDEX(VENDEDOR!$A:$A,MATCH(A9,VENDEDOR!$N:$N,),1),"")</f>
        <v/>
      </c>
      <c r="C9" t="str">
        <f>IFERROR(INDEX(VENDEDOR!$G:$G,MATCH(A9,VENDEDOR!$N:$N,),1),"")</f>
        <v/>
      </c>
      <c r="D9" t="str">
        <f>IFERROR(INDEX(VENDEDOR!$H:$H,MATCH(A9,VENDEDOR!$N:$N,),1),"")</f>
        <v/>
      </c>
      <c r="E9">
        <f>IFERROR(SUMIFS(VENDEDOR!$J:$J,VENDEDOR!$G:$G,C9),"")</f>
        <v>0</v>
      </c>
      <c r="F9">
        <f>IFERROR(SUMIFS(FACTURA!$T:$T,FACTURA!$AA:$AA,C9),"")</f>
        <v>0</v>
      </c>
      <c r="G9">
        <f>IFERROR(SUMIFS(PEDIDO!$T:$T,PEDIDO!$AA:$AA,C9),"")</f>
        <v>0</v>
      </c>
      <c r="H9">
        <f>IFERROR(SUMIFS(COMISION!$F:$F,COMISION!$G:$G,C9),"")</f>
        <v>0</v>
      </c>
      <c r="I9" t="str">
        <f t="shared" si="0"/>
        <v/>
      </c>
      <c r="J9" t="str">
        <f t="shared" si="1"/>
        <v/>
      </c>
      <c r="K9" t="str">
        <f t="shared" si="2"/>
        <v/>
      </c>
      <c r="L9" t="str">
        <f t="shared" si="3"/>
        <v/>
      </c>
      <c r="M9">
        <f>IFERROR(SUMIFS(VENDEDOR!$K:$K,VENDEDOR!$G:$G,C9),"")</f>
        <v>0</v>
      </c>
      <c r="N9">
        <f>IFERROR(SUMIFS(VENDEDOR!$L:$L,VENDEDOR!$G:$G,C9),"")</f>
        <v>0</v>
      </c>
      <c r="O9" t="str">
        <f t="shared" si="4"/>
        <v/>
      </c>
      <c r="P9">
        <f>IFERROR(VENDEDOR!$I$2,"-")</f>
        <v>0</v>
      </c>
      <c r="Q9" t="str">
        <f t="shared" si="5"/>
        <v/>
      </c>
    </row>
    <row r="10" spans="1:17" x14ac:dyDescent="0.25">
      <c r="A10">
        <v>9</v>
      </c>
      <c r="B10" t="str">
        <f>IFERROR(INDEX(VENDEDOR!$A:$A,MATCH(A10,VENDEDOR!$N:$N,),1),"")</f>
        <v/>
      </c>
      <c r="C10" t="str">
        <f>IFERROR(INDEX(VENDEDOR!$G:$G,MATCH(A10,VENDEDOR!$N:$N,),1),"")</f>
        <v/>
      </c>
      <c r="D10" t="str">
        <f>IFERROR(INDEX(VENDEDOR!$H:$H,MATCH(A10,VENDEDOR!$N:$N,),1),"")</f>
        <v/>
      </c>
      <c r="E10">
        <f>IFERROR(SUMIFS(VENDEDOR!$J:$J,VENDEDOR!$G:$G,C10),"")</f>
        <v>0</v>
      </c>
      <c r="F10">
        <f>IFERROR(SUMIFS(FACTURA!$T:$T,FACTURA!$AA:$AA,C10),"")</f>
        <v>0</v>
      </c>
      <c r="G10">
        <f>IFERROR(SUMIFS(PEDIDO!$T:$T,PEDIDO!$AA:$AA,C10),"")</f>
        <v>0</v>
      </c>
      <c r="H10">
        <f>IFERROR(SUMIFS(COMISION!$F:$F,COMISION!$G:$G,C10),"")</f>
        <v>0</v>
      </c>
      <c r="I10" t="str">
        <f t="shared" si="0"/>
        <v/>
      </c>
      <c r="J10" t="str">
        <f t="shared" si="1"/>
        <v/>
      </c>
      <c r="K10" t="str">
        <f t="shared" si="2"/>
        <v/>
      </c>
      <c r="L10" t="str">
        <f t="shared" si="3"/>
        <v/>
      </c>
      <c r="M10">
        <f>IFERROR(SUMIFS(VENDEDOR!$K:$K,VENDEDOR!$G:$G,C10),"")</f>
        <v>0</v>
      </c>
      <c r="N10">
        <f>IFERROR(SUMIFS(VENDEDOR!$L:$L,VENDEDOR!$G:$G,C10),"")</f>
        <v>0</v>
      </c>
      <c r="O10" t="str">
        <f t="shared" si="4"/>
        <v/>
      </c>
      <c r="P10">
        <f>IFERROR(VENDEDOR!$I$2,"-")</f>
        <v>0</v>
      </c>
      <c r="Q10" t="str">
        <f t="shared" si="5"/>
        <v/>
      </c>
    </row>
    <row r="11" spans="1:17" x14ac:dyDescent="0.25">
      <c r="A11">
        <v>10</v>
      </c>
      <c r="B11" t="str">
        <f>IFERROR(INDEX(VENDEDOR!$A:$A,MATCH(A11,VENDEDOR!$N:$N,),1),"")</f>
        <v/>
      </c>
      <c r="C11" t="str">
        <f>IFERROR(INDEX(VENDEDOR!$G:$G,MATCH(A11,VENDEDOR!$N:$N,),1),"")</f>
        <v/>
      </c>
      <c r="D11" t="str">
        <f>IFERROR(INDEX(VENDEDOR!$H:$H,MATCH(A11,VENDEDOR!$N:$N,),1),"")</f>
        <v/>
      </c>
      <c r="E11">
        <f>IFERROR(SUMIFS(VENDEDOR!$J:$J,VENDEDOR!$G:$G,C11),"")</f>
        <v>0</v>
      </c>
      <c r="F11">
        <f>IFERROR(SUMIFS(FACTURA!$T:$T,FACTURA!$AA:$AA,C11),"")</f>
        <v>0</v>
      </c>
      <c r="G11">
        <f>IFERROR(SUMIFS(PEDIDO!$T:$T,PEDIDO!$AA:$AA,C11),"")</f>
        <v>0</v>
      </c>
      <c r="H11">
        <f>IFERROR(SUMIFS(COMISION!$F:$F,COMISION!$G:$G,C11),"")</f>
        <v>0</v>
      </c>
      <c r="I11" t="str">
        <f t="shared" si="0"/>
        <v/>
      </c>
      <c r="J11" t="str">
        <f t="shared" si="1"/>
        <v/>
      </c>
      <c r="K11" t="str">
        <f t="shared" si="2"/>
        <v/>
      </c>
      <c r="L11" t="str">
        <f t="shared" si="3"/>
        <v/>
      </c>
      <c r="M11">
        <f>IFERROR(SUMIFS(VENDEDOR!$K:$K,VENDEDOR!$G:$G,C11),"")</f>
        <v>0</v>
      </c>
      <c r="N11">
        <f>IFERROR(SUMIFS(VENDEDOR!$L:$L,VENDEDOR!$G:$G,C11),"")</f>
        <v>0</v>
      </c>
      <c r="O11" t="str">
        <f t="shared" si="4"/>
        <v/>
      </c>
      <c r="P11">
        <f>IFERROR(VENDEDOR!$I$2,"-")</f>
        <v>0</v>
      </c>
      <c r="Q11" t="str">
        <f t="shared" si="5"/>
        <v/>
      </c>
    </row>
    <row r="12" spans="1:17" x14ac:dyDescent="0.25">
      <c r="A12">
        <v>11</v>
      </c>
      <c r="B12" t="str">
        <f>IFERROR(INDEX(VENDEDOR!$A:$A,MATCH(A12,VENDEDOR!$N:$N,),1),"")</f>
        <v/>
      </c>
      <c r="C12" t="str">
        <f>IFERROR(INDEX(VENDEDOR!$G:$G,MATCH(A12,VENDEDOR!$N:$N,),1),"")</f>
        <v/>
      </c>
      <c r="D12" t="str">
        <f>IFERROR(INDEX(VENDEDOR!$H:$H,MATCH(A12,VENDEDOR!$N:$N,),1),"")</f>
        <v/>
      </c>
      <c r="E12">
        <f>IFERROR(SUMIFS(VENDEDOR!$J:$J,VENDEDOR!$G:$G,C12),"")</f>
        <v>0</v>
      </c>
      <c r="F12">
        <f>IFERROR(SUMIFS(FACTURA!$T:$T,FACTURA!$AA:$AA,C12),"")</f>
        <v>0</v>
      </c>
      <c r="G12">
        <f>IFERROR(SUMIFS(PEDIDO!$T:$T,PEDIDO!$AA:$AA,C12),"")</f>
        <v>0</v>
      </c>
      <c r="H12">
        <f>IFERROR(SUMIFS(COMISION!$F:$F,COMISION!$G:$G,C12),"")</f>
        <v>0</v>
      </c>
      <c r="I12" t="str">
        <f t="shared" si="0"/>
        <v/>
      </c>
      <c r="J12" t="str">
        <f t="shared" si="1"/>
        <v/>
      </c>
      <c r="K12" t="str">
        <f t="shared" si="2"/>
        <v/>
      </c>
      <c r="L12" t="str">
        <f t="shared" si="3"/>
        <v/>
      </c>
      <c r="M12">
        <f>IFERROR(SUMIFS(VENDEDOR!$K:$K,VENDEDOR!$G:$G,C12),"")</f>
        <v>0</v>
      </c>
      <c r="N12">
        <f>IFERROR(SUMIFS(VENDEDOR!$L:$L,VENDEDOR!$G:$G,C12),"")</f>
        <v>0</v>
      </c>
      <c r="O12" t="str">
        <f t="shared" si="4"/>
        <v/>
      </c>
      <c r="P12">
        <f>IFERROR(VENDEDOR!$I$2,"-")</f>
        <v>0</v>
      </c>
      <c r="Q12" t="str">
        <f t="shared" si="5"/>
        <v/>
      </c>
    </row>
    <row r="13" spans="1:17" x14ac:dyDescent="0.25">
      <c r="A13">
        <v>12</v>
      </c>
      <c r="B13" t="str">
        <f>IFERROR(INDEX(VENDEDOR!$A:$A,MATCH(A13,VENDEDOR!$N:$N,),1),"")</f>
        <v/>
      </c>
      <c r="C13" t="str">
        <f>IFERROR(INDEX(VENDEDOR!$G:$G,MATCH(A13,VENDEDOR!$N:$N,),1),"")</f>
        <v/>
      </c>
      <c r="D13" t="str">
        <f>IFERROR(INDEX(VENDEDOR!$H:$H,MATCH(A13,VENDEDOR!$N:$N,),1),"")</f>
        <v/>
      </c>
      <c r="E13">
        <f>IFERROR(SUMIFS(VENDEDOR!$J:$J,VENDEDOR!$G:$G,C13),"")</f>
        <v>0</v>
      </c>
      <c r="F13">
        <f>IFERROR(SUMIFS(FACTURA!$T:$T,FACTURA!$AA:$AA,C13),"")</f>
        <v>0</v>
      </c>
      <c r="G13">
        <f>IFERROR(SUMIFS(PEDIDO!$T:$T,PEDIDO!$AA:$AA,C13),"")</f>
        <v>0</v>
      </c>
      <c r="H13">
        <f>IFERROR(SUMIFS(COMISION!$F:$F,COMISION!$G:$G,C13),"")</f>
        <v>0</v>
      </c>
      <c r="I13" t="str">
        <f t="shared" si="0"/>
        <v/>
      </c>
      <c r="J13" t="str">
        <f t="shared" si="1"/>
        <v/>
      </c>
      <c r="K13" t="str">
        <f t="shared" si="2"/>
        <v/>
      </c>
      <c r="L13" t="str">
        <f t="shared" si="3"/>
        <v/>
      </c>
      <c r="M13">
        <f>IFERROR(SUMIFS(VENDEDOR!$K:$K,VENDEDOR!$G:$G,C13),"")</f>
        <v>0</v>
      </c>
      <c r="N13">
        <f>IFERROR(SUMIFS(VENDEDOR!$L:$L,VENDEDOR!$G:$G,C13),"")</f>
        <v>0</v>
      </c>
      <c r="O13" t="str">
        <f t="shared" si="4"/>
        <v/>
      </c>
      <c r="P13">
        <f>IFERROR(VENDEDOR!$I$2,"-")</f>
        <v>0</v>
      </c>
      <c r="Q13" t="str">
        <f t="shared" si="5"/>
        <v/>
      </c>
    </row>
    <row r="14" spans="1:17" x14ac:dyDescent="0.25">
      <c r="A14">
        <v>13</v>
      </c>
      <c r="B14" t="str">
        <f>IFERROR(INDEX(VENDEDOR!$A:$A,MATCH(A14,VENDEDOR!$N:$N,),1),"")</f>
        <v/>
      </c>
      <c r="C14" t="str">
        <f>IFERROR(INDEX(VENDEDOR!$G:$G,MATCH(A14,VENDEDOR!$N:$N,),1),"")</f>
        <v/>
      </c>
      <c r="D14" t="str">
        <f>IFERROR(INDEX(VENDEDOR!$H:$H,MATCH(A14,VENDEDOR!$N:$N,),1),"")</f>
        <v/>
      </c>
      <c r="E14">
        <f>IFERROR(SUMIFS(VENDEDOR!$J:$J,VENDEDOR!$G:$G,C14),"")</f>
        <v>0</v>
      </c>
      <c r="F14">
        <f>IFERROR(SUMIFS(FACTURA!$T:$T,FACTURA!$AA:$AA,C14),"")</f>
        <v>0</v>
      </c>
      <c r="G14">
        <f>IFERROR(SUMIFS(PEDIDO!$T:$T,PEDIDO!$AA:$AA,C14),"")</f>
        <v>0</v>
      </c>
      <c r="H14">
        <f>IFERROR(SUMIFS(COMISION!$F:$F,COMISION!$G:$G,C14),"")</f>
        <v>0</v>
      </c>
      <c r="I14" t="str">
        <f t="shared" si="0"/>
        <v/>
      </c>
      <c r="J14" t="str">
        <f t="shared" si="1"/>
        <v/>
      </c>
      <c r="K14" t="str">
        <f t="shared" si="2"/>
        <v/>
      </c>
      <c r="L14" t="str">
        <f t="shared" si="3"/>
        <v/>
      </c>
      <c r="M14">
        <f>IFERROR(SUMIFS(VENDEDOR!$K:$K,VENDEDOR!$G:$G,C14),"")</f>
        <v>0</v>
      </c>
      <c r="N14">
        <f>IFERROR(SUMIFS(VENDEDOR!$L:$L,VENDEDOR!$G:$G,C14),"")</f>
        <v>0</v>
      </c>
      <c r="O14" t="str">
        <f t="shared" si="4"/>
        <v/>
      </c>
      <c r="P14">
        <f>IFERROR(VENDEDOR!$I$2,"-")</f>
        <v>0</v>
      </c>
      <c r="Q14" t="str">
        <f t="shared" si="5"/>
        <v/>
      </c>
    </row>
    <row r="15" spans="1:17" x14ac:dyDescent="0.25">
      <c r="A15">
        <v>14</v>
      </c>
      <c r="B15" t="str">
        <f>IFERROR(INDEX(VENDEDOR!$A:$A,MATCH(A15,VENDEDOR!$N:$N,),1),"")</f>
        <v/>
      </c>
      <c r="C15" t="str">
        <f>IFERROR(INDEX(VENDEDOR!$G:$G,MATCH(A15,VENDEDOR!$N:$N,),1),"")</f>
        <v/>
      </c>
      <c r="D15" t="str">
        <f>IFERROR(INDEX(VENDEDOR!$H:$H,MATCH(A15,VENDEDOR!$N:$N,),1),"")</f>
        <v/>
      </c>
      <c r="E15">
        <f>IFERROR(SUMIFS(VENDEDOR!$J:$J,VENDEDOR!$G:$G,C15),"")</f>
        <v>0</v>
      </c>
      <c r="F15">
        <f>IFERROR(SUMIFS(FACTURA!$T:$T,FACTURA!$AA:$AA,C15),"")</f>
        <v>0</v>
      </c>
      <c r="G15">
        <f>IFERROR(SUMIFS(PEDIDO!$T:$T,PEDIDO!$AA:$AA,C15),"")</f>
        <v>0</v>
      </c>
      <c r="H15">
        <f>IFERROR(SUMIFS(COMISION!$F:$F,COMISION!$G:$G,C15),"")</f>
        <v>0</v>
      </c>
      <c r="I15" t="str">
        <f t="shared" si="0"/>
        <v/>
      </c>
      <c r="J15" t="str">
        <f t="shared" si="1"/>
        <v/>
      </c>
      <c r="K15" t="str">
        <f t="shared" si="2"/>
        <v/>
      </c>
      <c r="L15" t="str">
        <f t="shared" si="3"/>
        <v/>
      </c>
      <c r="M15">
        <f>IFERROR(SUMIFS(VENDEDOR!$K:$K,VENDEDOR!$G:$G,C15),"")</f>
        <v>0</v>
      </c>
      <c r="N15">
        <f>IFERROR(SUMIFS(VENDEDOR!$L:$L,VENDEDOR!$G:$G,C15),"")</f>
        <v>0</v>
      </c>
      <c r="O15" t="str">
        <f t="shared" si="4"/>
        <v/>
      </c>
      <c r="P15">
        <f>IFERROR(VENDEDOR!$I$2,"-")</f>
        <v>0</v>
      </c>
      <c r="Q15" t="str">
        <f t="shared" si="5"/>
        <v/>
      </c>
    </row>
    <row r="16" spans="1:17" x14ac:dyDescent="0.25">
      <c r="A16">
        <v>15</v>
      </c>
      <c r="B16" t="str">
        <f>IFERROR(INDEX(VENDEDOR!$A:$A,MATCH(A16,VENDEDOR!$N:$N,),1),"")</f>
        <v/>
      </c>
      <c r="C16" t="str">
        <f>IFERROR(INDEX(VENDEDOR!$G:$G,MATCH(A16,VENDEDOR!$N:$N,),1),"")</f>
        <v/>
      </c>
      <c r="D16" t="str">
        <f>IFERROR(INDEX(VENDEDOR!$H:$H,MATCH(A16,VENDEDOR!$N:$N,),1),"")</f>
        <v/>
      </c>
      <c r="E16">
        <f>IFERROR(SUMIFS(VENDEDOR!$J:$J,VENDEDOR!$G:$G,C16),"")</f>
        <v>0</v>
      </c>
      <c r="F16">
        <f>IFERROR(SUMIFS(FACTURA!$T:$T,FACTURA!$AA:$AA,C16),"")</f>
        <v>0</v>
      </c>
      <c r="G16">
        <f>IFERROR(SUMIFS(PEDIDO!$T:$T,PEDIDO!$AA:$AA,C16),"")</f>
        <v>0</v>
      </c>
      <c r="H16">
        <f>IFERROR(SUMIFS(COMISION!$F:$F,COMISION!$G:$G,C16),"")</f>
        <v>0</v>
      </c>
      <c r="I16" t="str">
        <f t="shared" si="0"/>
        <v/>
      </c>
      <c r="J16" t="str">
        <f t="shared" si="1"/>
        <v/>
      </c>
      <c r="K16" t="str">
        <f t="shared" si="2"/>
        <v/>
      </c>
      <c r="L16" t="str">
        <f t="shared" si="3"/>
        <v/>
      </c>
      <c r="M16">
        <f>IFERROR(SUMIFS(VENDEDOR!$K:$K,VENDEDOR!$G:$G,C16),"")</f>
        <v>0</v>
      </c>
      <c r="N16">
        <f>IFERROR(SUMIFS(VENDEDOR!$L:$L,VENDEDOR!$G:$G,C16),"")</f>
        <v>0</v>
      </c>
      <c r="O16" t="str">
        <f t="shared" si="4"/>
        <v/>
      </c>
      <c r="P16">
        <f>IFERROR(VENDEDOR!$I$2,"-")</f>
        <v>0</v>
      </c>
      <c r="Q16" t="str">
        <f t="shared" si="5"/>
        <v/>
      </c>
    </row>
    <row r="17" spans="1:17" x14ac:dyDescent="0.25">
      <c r="A17">
        <v>16</v>
      </c>
      <c r="B17" t="str">
        <f>IFERROR(INDEX(VENDEDOR!$A:$A,MATCH(A17,VENDEDOR!$N:$N,),1),"")</f>
        <v/>
      </c>
      <c r="C17" t="str">
        <f>IFERROR(INDEX(VENDEDOR!$G:$G,MATCH(A17,VENDEDOR!$N:$N,),1),"")</f>
        <v/>
      </c>
      <c r="D17" t="str">
        <f>IFERROR(INDEX(VENDEDOR!$H:$H,MATCH(A17,VENDEDOR!$N:$N,),1),"")</f>
        <v/>
      </c>
      <c r="E17">
        <f>IFERROR(SUMIFS(VENDEDOR!$J:$J,VENDEDOR!$G:$G,C17),"")</f>
        <v>0</v>
      </c>
      <c r="F17">
        <f>IFERROR(SUMIFS(FACTURA!$T:$T,FACTURA!$AA:$AA,C17),"")</f>
        <v>0</v>
      </c>
      <c r="G17">
        <f>IFERROR(SUMIFS(PEDIDO!$T:$T,PEDIDO!$AA:$AA,C17),"")</f>
        <v>0</v>
      </c>
      <c r="H17">
        <f>IFERROR(SUMIFS(COMISION!$F:$F,COMISION!$G:$G,C17),"")</f>
        <v>0</v>
      </c>
      <c r="I17" t="str">
        <f t="shared" si="0"/>
        <v/>
      </c>
      <c r="J17" t="str">
        <f t="shared" si="1"/>
        <v/>
      </c>
      <c r="K17" t="str">
        <f t="shared" si="2"/>
        <v/>
      </c>
      <c r="L17" t="str">
        <f t="shared" si="3"/>
        <v/>
      </c>
      <c r="M17">
        <f>IFERROR(SUMIFS(VENDEDOR!$K:$K,VENDEDOR!$G:$G,C17),"")</f>
        <v>0</v>
      </c>
      <c r="N17">
        <f>IFERROR(SUMIFS(VENDEDOR!$L:$L,VENDEDOR!$G:$G,C17),"")</f>
        <v>0</v>
      </c>
      <c r="O17" t="str">
        <f t="shared" si="4"/>
        <v/>
      </c>
      <c r="P17">
        <f>IFERROR(VENDEDOR!$I$2,"-")</f>
        <v>0</v>
      </c>
      <c r="Q17" t="str">
        <f t="shared" si="5"/>
        <v/>
      </c>
    </row>
    <row r="18" spans="1:17" x14ac:dyDescent="0.25">
      <c r="A18">
        <v>17</v>
      </c>
      <c r="B18" t="str">
        <f>IFERROR(INDEX(VENDEDOR!$A:$A,MATCH(A18,VENDEDOR!$N:$N,),1),"")</f>
        <v/>
      </c>
      <c r="C18" t="str">
        <f>IFERROR(INDEX(VENDEDOR!$G:$G,MATCH(A18,VENDEDOR!$N:$N,),1),"")</f>
        <v/>
      </c>
      <c r="D18" t="str">
        <f>IFERROR(INDEX(VENDEDOR!$H:$H,MATCH(A18,VENDEDOR!$N:$N,),1),"")</f>
        <v/>
      </c>
      <c r="E18">
        <f>IFERROR(SUMIFS(VENDEDOR!$J:$J,VENDEDOR!$G:$G,C18),"")</f>
        <v>0</v>
      </c>
      <c r="F18">
        <f>IFERROR(SUMIFS(FACTURA!$T:$T,FACTURA!$AA:$AA,C18),"")</f>
        <v>0</v>
      </c>
      <c r="G18">
        <f>IFERROR(SUMIFS(PEDIDO!$T:$T,PEDIDO!$AA:$AA,C18),"")</f>
        <v>0</v>
      </c>
      <c r="H18">
        <f>IFERROR(SUMIFS(COMISION!$F:$F,COMISION!$G:$G,C18),"")</f>
        <v>0</v>
      </c>
      <c r="I18" t="str">
        <f t="shared" si="0"/>
        <v/>
      </c>
      <c r="J18" t="str">
        <f t="shared" si="1"/>
        <v/>
      </c>
      <c r="K18" t="str">
        <f t="shared" si="2"/>
        <v/>
      </c>
      <c r="L18" t="str">
        <f t="shared" si="3"/>
        <v/>
      </c>
      <c r="M18">
        <f>IFERROR(SUMIFS(VENDEDOR!$K:$K,VENDEDOR!$G:$G,C18),"")</f>
        <v>0</v>
      </c>
      <c r="N18">
        <f>IFERROR(SUMIFS(VENDEDOR!$L:$L,VENDEDOR!$G:$G,C18),"")</f>
        <v>0</v>
      </c>
      <c r="O18" t="str">
        <f t="shared" si="4"/>
        <v/>
      </c>
      <c r="P18">
        <f>IFERROR(VENDEDOR!$I$2,"-")</f>
        <v>0</v>
      </c>
      <c r="Q18" t="str">
        <f t="shared" si="5"/>
        <v/>
      </c>
    </row>
    <row r="19" spans="1:17" x14ac:dyDescent="0.25">
      <c r="A19">
        <v>18</v>
      </c>
      <c r="B19" t="str">
        <f>IFERROR(INDEX(VENDEDOR!$A:$A,MATCH(A19,VENDEDOR!$N:$N,),1),"")</f>
        <v/>
      </c>
      <c r="C19" t="str">
        <f>IFERROR(INDEX(VENDEDOR!$G:$G,MATCH(A19,VENDEDOR!$N:$N,),1),"")</f>
        <v/>
      </c>
      <c r="D19" t="str">
        <f>IFERROR(INDEX(VENDEDOR!$H:$H,MATCH(A19,VENDEDOR!$N:$N,),1),"")</f>
        <v/>
      </c>
      <c r="E19">
        <f>IFERROR(SUMIFS(VENDEDOR!$J:$J,VENDEDOR!$G:$G,C19),"")</f>
        <v>0</v>
      </c>
      <c r="F19">
        <f>IFERROR(SUMIFS(FACTURA!$T:$T,FACTURA!$AA:$AA,C19),"")</f>
        <v>0</v>
      </c>
      <c r="G19">
        <f>IFERROR(SUMIFS(PEDIDO!$T:$T,PEDIDO!$AA:$AA,C19),"")</f>
        <v>0</v>
      </c>
      <c r="H19">
        <f>IFERROR(SUMIFS(COMISION!$F:$F,COMISION!$G:$G,C19),"")</f>
        <v>0</v>
      </c>
      <c r="I19" t="str">
        <f t="shared" si="0"/>
        <v/>
      </c>
      <c r="J19" t="str">
        <f t="shared" si="1"/>
        <v/>
      </c>
      <c r="K19" t="str">
        <f t="shared" si="2"/>
        <v/>
      </c>
      <c r="L19" t="str">
        <f t="shared" si="3"/>
        <v/>
      </c>
      <c r="M19">
        <f>IFERROR(SUMIFS(VENDEDOR!$K:$K,VENDEDOR!$G:$G,C19),"")</f>
        <v>0</v>
      </c>
      <c r="N19">
        <f>IFERROR(SUMIFS(VENDEDOR!$L:$L,VENDEDOR!$G:$G,C19),"")</f>
        <v>0</v>
      </c>
      <c r="O19" t="str">
        <f t="shared" si="4"/>
        <v/>
      </c>
      <c r="P19">
        <f>IFERROR(VENDEDOR!$I$2,"-")</f>
        <v>0</v>
      </c>
      <c r="Q19" t="str">
        <f t="shared" si="5"/>
        <v/>
      </c>
    </row>
    <row r="20" spans="1:17" x14ac:dyDescent="0.25">
      <c r="A20">
        <v>19</v>
      </c>
      <c r="B20" t="str">
        <f>IFERROR(INDEX(VENDEDOR!$A:$A,MATCH(A20,VENDEDOR!$N:$N,),1),"")</f>
        <v/>
      </c>
      <c r="C20" t="str">
        <f>IFERROR(INDEX(VENDEDOR!$G:$G,MATCH(A20,VENDEDOR!$N:$N,),1),"")</f>
        <v/>
      </c>
      <c r="D20" t="str">
        <f>IFERROR(INDEX(VENDEDOR!$H:$H,MATCH(A20,VENDEDOR!$N:$N,),1),"")</f>
        <v/>
      </c>
      <c r="E20">
        <f>IFERROR(SUMIFS(VENDEDOR!$J:$J,VENDEDOR!$G:$G,C20),"")</f>
        <v>0</v>
      </c>
      <c r="F20">
        <f>IFERROR(SUMIFS(FACTURA!$T:$T,FACTURA!$AA:$AA,C20),"")</f>
        <v>0</v>
      </c>
      <c r="G20">
        <f>IFERROR(SUMIFS(PEDIDO!$T:$T,PEDIDO!$AA:$AA,C20),"")</f>
        <v>0</v>
      </c>
      <c r="H20">
        <f>IFERROR(SUMIFS(COMISION!$F:$F,COMISION!$G:$G,C20),"")</f>
        <v>0</v>
      </c>
      <c r="I20" t="str">
        <f t="shared" si="0"/>
        <v/>
      </c>
      <c r="J20" t="str">
        <f t="shared" si="1"/>
        <v/>
      </c>
      <c r="K20" t="str">
        <f t="shared" si="2"/>
        <v/>
      </c>
      <c r="L20" t="str">
        <f t="shared" si="3"/>
        <v/>
      </c>
      <c r="M20">
        <f>IFERROR(SUMIFS(VENDEDOR!$K:$K,VENDEDOR!$G:$G,C20),"")</f>
        <v>0</v>
      </c>
      <c r="N20">
        <f>IFERROR(SUMIFS(VENDEDOR!$L:$L,VENDEDOR!$G:$G,C20),"")</f>
        <v>0</v>
      </c>
      <c r="O20" t="str">
        <f t="shared" si="4"/>
        <v/>
      </c>
      <c r="P20">
        <f>IFERROR(VENDEDOR!$I$2,"-")</f>
        <v>0</v>
      </c>
      <c r="Q20" t="str">
        <f t="shared" si="5"/>
        <v/>
      </c>
    </row>
    <row r="21" spans="1:17" x14ac:dyDescent="0.25">
      <c r="A21">
        <v>20</v>
      </c>
      <c r="B21" t="str">
        <f>IFERROR(INDEX(VENDEDOR!$A:$A,MATCH(A21,VENDEDOR!$N:$N,),1),"")</f>
        <v/>
      </c>
      <c r="C21" t="str">
        <f>IFERROR(INDEX(VENDEDOR!$G:$G,MATCH(A21,VENDEDOR!$N:$N,),1),"")</f>
        <v/>
      </c>
      <c r="D21" t="str">
        <f>IFERROR(INDEX(VENDEDOR!$H:$H,MATCH(A21,VENDEDOR!$N:$N,),1),"")</f>
        <v/>
      </c>
      <c r="E21">
        <f>IFERROR(SUMIFS(VENDEDOR!$J:$J,VENDEDOR!$G:$G,C21),"")</f>
        <v>0</v>
      </c>
      <c r="F21">
        <f>IFERROR(SUMIFS(FACTURA!$T:$T,FACTURA!$AA:$AA,C21),"")</f>
        <v>0</v>
      </c>
      <c r="G21">
        <f>IFERROR(SUMIFS(PEDIDO!$T:$T,PEDIDO!$AA:$AA,C21),"")</f>
        <v>0</v>
      </c>
      <c r="H21">
        <f>IFERROR(SUMIFS(COMISION!$F:$F,COMISION!$G:$G,C21),"")</f>
        <v>0</v>
      </c>
      <c r="I21" t="str">
        <f t="shared" si="0"/>
        <v/>
      </c>
      <c r="J21" t="str">
        <f t="shared" si="1"/>
        <v/>
      </c>
      <c r="K21" t="str">
        <f t="shared" si="2"/>
        <v/>
      </c>
      <c r="L21" t="str">
        <f t="shared" si="3"/>
        <v/>
      </c>
      <c r="M21">
        <f>IFERROR(SUMIFS(VENDEDOR!$K:$K,VENDEDOR!$G:$G,C21),"")</f>
        <v>0</v>
      </c>
      <c r="N21">
        <f>IFERROR(SUMIFS(VENDEDOR!$L:$L,VENDEDOR!$G:$G,C21),"")</f>
        <v>0</v>
      </c>
      <c r="O21" t="str">
        <f t="shared" si="4"/>
        <v/>
      </c>
      <c r="P21">
        <f>IFERROR(VENDEDOR!$I$2,"-")</f>
        <v>0</v>
      </c>
      <c r="Q21" t="str">
        <f t="shared" si="5"/>
        <v/>
      </c>
    </row>
    <row r="22" spans="1:17" x14ac:dyDescent="0.25">
      <c r="L22" t="str">
        <f t="shared" si="3"/>
        <v/>
      </c>
      <c r="N22">
        <f>IFERROR(SUMIFS(VENDEDOR!$L:$L,VENDEDOR!$G:$G,C22),"")</f>
        <v>0</v>
      </c>
    </row>
  </sheetData>
  <autoFilter ref="A1:Q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comision"/>
  <dimension ref="A1:H2"/>
  <sheetViews>
    <sheetView zoomScale="85" zoomScaleNormal="85" workbookViewId="0">
      <pane ySplit="1" topLeftCell="A2" activePane="bottomLeft" state="frozen"/>
      <selection pane="bottomLeft" activeCell="G1" sqref="G1"/>
    </sheetView>
  </sheetViews>
  <sheetFormatPr baseColWidth="10" defaultRowHeight="15" x14ac:dyDescent="0.25"/>
  <cols>
    <col min="8" max="8" width="37.140625" bestFit="1" customWidth="1"/>
  </cols>
  <sheetData>
    <row r="1" spans="1:8" x14ac:dyDescent="0.25">
      <c r="A1" s="195" t="s">
        <v>105</v>
      </c>
      <c r="B1" s="195" t="s">
        <v>107</v>
      </c>
      <c r="C1" s="195" t="s">
        <v>114</v>
      </c>
      <c r="D1" s="195" t="s">
        <v>11</v>
      </c>
      <c r="E1" s="195" t="s">
        <v>248</v>
      </c>
      <c r="F1" s="195" t="s">
        <v>247</v>
      </c>
      <c r="G1" s="195" t="s">
        <v>167</v>
      </c>
      <c r="H1" s="195" t="s">
        <v>168</v>
      </c>
    </row>
    <row r="2" spans="1:8" x14ac:dyDescent="0.25">
      <c r="A2" s="65"/>
      <c r="B2" s="65"/>
      <c r="C2" s="65"/>
      <c r="D2" s="65"/>
      <c r="E2" s="65"/>
      <c r="F2" s="65"/>
      <c r="G2" s="65"/>
      <c r="H2" s="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7</vt:i4>
      </vt:variant>
    </vt:vector>
  </HeadingPairs>
  <TitlesOfParts>
    <vt:vector size="16" baseType="lpstr">
      <vt:lpstr>RESUMEN</vt:lpstr>
      <vt:lpstr>PORVENDEDOR</vt:lpstr>
      <vt:lpstr>FACTURA</vt:lpstr>
      <vt:lpstr>PEDIDO</vt:lpstr>
      <vt:lpstr>VISITA</vt:lpstr>
      <vt:lpstr>CLIENTE</vt:lpstr>
      <vt:lpstr>VENDEDOR</vt:lpstr>
      <vt:lpstr>FERIADO</vt:lpstr>
      <vt:lpstr>RESX</vt:lpstr>
      <vt:lpstr>CLIENTE!FcDetalle</vt:lpstr>
      <vt:lpstr>COMISION!FcDetalle</vt:lpstr>
      <vt:lpstr>FACTURA!FcDetalle</vt:lpstr>
      <vt:lpstr>FERIADO!FcDetalle</vt:lpstr>
      <vt:lpstr>PEDIDO!FcDetalle</vt:lpstr>
      <vt:lpstr>VENDEDOR!FcDetalle</vt:lpstr>
      <vt:lpstr>VISITA!FcDetalle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2015-03-10T14:20:49Z</dcterms:created>
  <dcterms:modified xsi:type="dcterms:W3CDTF">2015-05-27T20:50:39Z</dcterms:modified>
</cp:coreProperties>
</file>